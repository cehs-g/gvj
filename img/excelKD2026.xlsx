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zdevumi" sheetId="1" r:id="rId4"/>
    <sheet state="visible" name="skola" sheetId="2" r:id="rId5"/>
    <sheet state="visible" name="lapa2" sheetId="3" r:id="rId6"/>
    <sheet state="visible" name="zals" sheetId="4" r:id="rId7"/>
    <sheet state="visible" name="perimetrs" sheetId="5" r:id="rId8"/>
    <sheet state="visible" name="laukums" sheetId="6" r:id="rId9"/>
    <sheet state="visible" name="vienādsānu" sheetId="7" r:id="rId10"/>
    <sheet state="visible" name="taisnleņķa" sheetId="8" r:id="rId11"/>
    <sheet state="visible" name="dati1" sheetId="9" r:id="rId12"/>
    <sheet state="visible" name="dati2" sheetId="10" r:id="rId13"/>
    <sheet state="visible" name="pirkums" sheetId="11" r:id="rId14"/>
    <sheet state="visible" name="cenas" sheetId="12" r:id="rId15"/>
    <sheet state="visible" name="Sheet2" sheetId="13" r:id="rId16"/>
    <sheet state="visible" name="Sheet3" sheetId="14" r:id="rId17"/>
    <sheet state="visible" name="velo" sheetId="15" r:id="rId18"/>
    <sheet state="visible" name="pH" sheetId="16" r:id="rId19"/>
  </sheets>
  <definedNames>
    <definedName name="_xlchart.v1.3">velo!$C$2:$C$1487</definedName>
    <definedName name="_xlchart.v1.0">velo!$C$2:$C$1487</definedName>
    <definedName name="_xlchart.v1.1">velo!$G$1</definedName>
    <definedName name="_xlchart.v1.5">velo!$G$2:$G$1487</definedName>
    <definedName name="_xlchart.v1.4">velo!$G$1</definedName>
    <definedName name="_xlchart.v1.2">velo!$G$2:$G$1487</definedName>
    <definedName hidden="1" localSheetId="8" name="_xlnm._FilterDatabase">dati1!$A$3:$M$71</definedName>
  </definedNames>
  <calcPr/>
  <pivotCaches>
    <pivotCache cacheId="0" r:id="rId20"/>
    <pivotCache cacheId="1" r:id="rId21"/>
  </pivotCaches>
  <extLst>
    <ext uri="GoogleSheetsCustomDataVersion2">
      <go:sheetsCustomData xmlns:go="http://customooxmlschemas.google.com/" r:id="rId22" roundtripDataChecksum="3pMk741iBZ32ST2YyLKDfMAIS4XmUnn+aNlX48gNpJU="/>
    </ext>
  </extLst>
</workbook>
</file>

<file path=xl/sharedStrings.xml><?xml version="1.0" encoding="utf-8"?>
<sst xmlns="http://schemas.openxmlformats.org/spreadsheetml/2006/main" count="9153" uniqueCount="3930">
  <si>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skola </t>
    </r>
    <r>
      <rPr>
        <rFont val="Arial"/>
        <color rgb="FF231F20"/>
        <sz val="11.0"/>
      </rPr>
      <t xml:space="preserve">formatēt šūnu apgabala </t>
    </r>
    <r>
      <rPr>
        <rFont val="Arial"/>
        <b/>
        <i/>
        <color rgb="FF231F20"/>
        <sz val="11.0"/>
      </rPr>
      <t>B2:B12</t>
    </r>
    <r>
      <rPr>
        <rFont val="Arial"/>
        <i/>
        <color rgb="FF231F20"/>
        <sz val="11.0"/>
      </rPr>
      <t xml:space="preserve"> </t>
    </r>
    <r>
      <rPr>
        <rFont val="Arial"/>
        <color rgb="FF231F20"/>
        <sz val="11.0"/>
      </rPr>
      <t>nelietojot tūkstošu atdalītāju.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</si>
  <si>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skola </t>
    </r>
    <r>
      <rPr>
        <rFont val="Arial"/>
        <color rgb="FF231F20"/>
        <sz val="11.0"/>
      </rPr>
      <t xml:space="preserve">šūnā </t>
    </r>
    <r>
      <rPr>
        <rFont val="Arial"/>
        <b/>
        <i/>
        <color rgb="FF231F20"/>
        <sz val="11.0"/>
      </rPr>
      <t xml:space="preserve">D1 </t>
    </r>
    <r>
      <rPr>
        <rFont val="Arial"/>
        <b/>
        <color rgb="FF231F20"/>
        <sz val="11.0"/>
      </rPr>
      <t>datuma formātā</t>
    </r>
    <r>
      <rPr>
        <rFont val="Arial"/>
        <color rgb="FF231F20"/>
        <sz val="11.0"/>
      </rPr>
      <t xml:space="preserve"> ievadīt datumu </t>
    </r>
    <r>
      <rPr>
        <rFont val="Arial"/>
        <b/>
        <i/>
        <color rgb="FF231F20"/>
        <sz val="11.0"/>
      </rPr>
      <t>pirmdiena, 2015. gada 12. janvāris</t>
    </r>
    <r>
      <rPr>
        <rFont val="Arial"/>
        <color rgb="FF231F20"/>
        <sz val="11.0"/>
      </rPr>
      <t>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</si>
  <si>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skola </t>
    </r>
    <r>
      <rPr>
        <rFont val="Arial"/>
        <color rgb="FF231F20"/>
        <sz val="11.0"/>
      </rPr>
      <t xml:space="preserve">aizpildīt kolonnu </t>
    </r>
    <r>
      <rPr>
        <rFont val="Arial"/>
        <b/>
        <i/>
        <color rgb="FF231F20"/>
        <sz val="11.0"/>
      </rPr>
      <t xml:space="preserve">F </t>
    </r>
    <r>
      <rPr>
        <rFont val="Arial"/>
        <color rgb="FF231F20"/>
        <sz val="11.0"/>
      </rPr>
      <t>ar visu 2015. gada sestdienu datumiem.</t>
    </r>
  </si>
  <si>
    <r>
      <rPr>
        <rFont val="Arial"/>
        <color rgb="FF231F20"/>
        <sz val="11.0"/>
      </rPr>
      <t xml:space="preserve">Darblapu </t>
    </r>
    <r>
      <rPr>
        <rFont val="Arial"/>
        <b/>
        <i/>
        <color rgb="FF231F20"/>
        <sz val="11.0"/>
      </rPr>
      <t xml:space="preserve">lapa2 </t>
    </r>
    <r>
      <rPr>
        <rFont val="Arial"/>
        <color rgb="FF231F20"/>
        <sz val="11.0"/>
      </rPr>
      <t>pārvietot uz jaunu, tukšu darbgrāmatu, jauno darbgrāmatu saglabāt kā veidni ar nosaukumu</t>
    </r>
    <r>
      <rPr>
        <rFont val="Arial"/>
        <i/>
        <color rgb="FF231F20"/>
        <sz val="11.0"/>
      </rPr>
      <t xml:space="preserve"> </t>
    </r>
    <r>
      <rPr>
        <rFont val="Arial"/>
        <b/>
        <i/>
        <color rgb="FF231F20"/>
        <sz val="11.0"/>
      </rPr>
      <t>zals</t>
    </r>
    <r>
      <rPr>
        <rFont val="Arial"/>
        <color rgb="FF231F20"/>
        <sz val="11.0"/>
      </rPr>
      <t xml:space="preserve"> un aizvērt.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</si>
  <si>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perimetrs </t>
    </r>
    <r>
      <rPr>
        <rFont val="Arial"/>
        <color rgb="FF231F20"/>
        <sz val="11.0"/>
      </rPr>
      <t xml:space="preserve">izveidot līniju diagrammu, izmantojot datus no šūnu apgabala </t>
    </r>
    <r>
      <rPr>
        <rFont val="Arial"/>
        <b/>
        <i/>
        <color rgb="FF231F20"/>
        <sz val="11.0"/>
      </rPr>
      <t>B2:C2;E2;B11:C18;E11:E18.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</si>
  <si>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laukums </t>
    </r>
    <r>
      <rPr>
        <rFont val="Arial"/>
        <color rgb="FF231F20"/>
        <sz val="11.0"/>
      </rPr>
      <t xml:space="preserve">dotajam grafikam pievienot virsrakstu </t>
    </r>
    <r>
      <rPr>
        <rFont val="Arial"/>
        <b/>
        <i/>
        <color rgb="FF231F20"/>
        <sz val="11.0"/>
      </rPr>
      <t>Laukums</t>
    </r>
    <r>
      <rPr>
        <rFont val="Arial"/>
        <color rgb="FF231F20"/>
        <sz val="11.0"/>
      </rPr>
      <t>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</si>
  <si>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šūnas </t>
    </r>
    <r>
      <rPr>
        <rFont val="Arial"/>
        <b/>
        <i/>
        <color rgb="FF231F20"/>
        <sz val="11.0"/>
      </rPr>
      <t xml:space="preserve">A1 </t>
    </r>
    <r>
      <rPr>
        <rFont val="Arial"/>
        <color rgb="FF231F20"/>
        <sz val="11.0"/>
      </rPr>
      <t xml:space="preserve">saturu centrēt šūnu apgabalā </t>
    </r>
    <r>
      <rPr>
        <rFont val="Arial"/>
        <b/>
        <i/>
        <color rgb="FF231F20"/>
        <sz val="11.0"/>
      </rPr>
      <t>A1:K1</t>
    </r>
    <r>
      <rPr>
        <rFont val="Arial"/>
        <color rgb="FF231F20"/>
        <sz val="11.0"/>
      </rPr>
      <t>.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</si>
  <si>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šūnā </t>
    </r>
    <r>
      <rPr>
        <rFont val="Arial"/>
        <b/>
        <i/>
        <color rgb="FF231F20"/>
        <sz val="11.0"/>
      </rPr>
      <t xml:space="preserve">K2 </t>
    </r>
    <r>
      <rPr>
        <rFont val="Arial"/>
        <color rgb="FF231F20"/>
        <sz val="11.0"/>
      </rPr>
      <t>veikt teksta aplaušanu.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</si>
  <si>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šūnā </t>
    </r>
    <r>
      <rPr>
        <rFont val="Arial"/>
        <b/>
        <i/>
        <color rgb="FF231F20"/>
        <sz val="11.0"/>
      </rPr>
      <t xml:space="preserve">J3 </t>
    </r>
    <r>
      <rPr>
        <rFont val="Arial"/>
        <color rgb="FF231F20"/>
        <sz val="11.0"/>
      </rPr>
      <t xml:space="preserve">ievadīt formulu, kas aprēķina, cik leņķu vērtības ir dotas </t>
    </r>
    <r>
      <rPr>
        <rFont val="Arial"/>
        <b/>
        <i/>
        <color rgb="FF231F20"/>
        <sz val="11.0"/>
      </rPr>
      <t xml:space="preserve">A </t>
    </r>
    <r>
      <rPr>
        <rFont val="Arial"/>
        <color rgb="FF231F20"/>
        <sz val="11.0"/>
      </rPr>
      <t>kolonnā.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</si>
  <si>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šūnā </t>
    </r>
    <r>
      <rPr>
        <rFont val="Arial"/>
        <b/>
        <i/>
        <color rgb="FF231F20"/>
        <sz val="11.0"/>
      </rPr>
      <t xml:space="preserve">K3 </t>
    </r>
    <r>
      <rPr>
        <rFont val="Arial"/>
        <color rgb="FF231F20"/>
        <sz val="11.0"/>
      </rPr>
      <t xml:space="preserve">ievadīt formulu, kas aprēķina lielāko no </t>
    </r>
    <r>
      <rPr>
        <rFont val="Arial"/>
        <b/>
        <i/>
        <color rgb="FF231F20"/>
        <sz val="11.0"/>
      </rPr>
      <t xml:space="preserve">A </t>
    </r>
    <r>
      <rPr>
        <rFont val="Arial"/>
        <color rgb="FF231F20"/>
        <sz val="11.0"/>
      </rPr>
      <t>kolonnā dotajiem leņķiem.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</si>
  <si>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šūnu apgabalā </t>
    </r>
    <r>
      <rPr>
        <rFont val="Arial"/>
        <b/>
        <i/>
        <color rgb="FF231F20"/>
        <sz val="11.0"/>
      </rPr>
      <t xml:space="preserve">B3:B70 </t>
    </r>
    <r>
      <rPr>
        <rFont val="Arial"/>
        <color rgb="FF231F20"/>
        <sz val="11.0"/>
      </rPr>
      <t xml:space="preserve">ievadīt formulu, kas izmantojot datus no kolonnas </t>
    </r>
    <r>
      <rPr>
        <rFont val="Arial"/>
        <b/>
        <i/>
        <color rgb="FF231F20"/>
        <sz val="11.0"/>
      </rPr>
      <t>A</t>
    </r>
    <r>
      <rPr>
        <rFont val="Arial"/>
        <color rgb="FF231F20"/>
        <sz val="11.0"/>
      </rPr>
      <t>, aprēķina vienādsānu trijstūra leņķi pie pamata.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</si>
  <si>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>vienādsānu</t>
    </r>
    <r>
      <rPr>
        <rFont val="Arial"/>
        <color rgb="FF231F20"/>
        <sz val="11.0"/>
      </rPr>
      <t xml:space="preserve"> šūnu apgabalā</t>
    </r>
    <r>
      <rPr>
        <rFont val="Arial"/>
        <b/>
        <i/>
        <color rgb="FF231F20"/>
        <sz val="11.0"/>
      </rPr>
      <t xml:space="preserve"> C3:C70</t>
    </r>
    <r>
      <rPr>
        <rFont val="Arial"/>
        <color rgb="FF231F20"/>
        <sz val="11.0"/>
      </rPr>
      <t xml:space="preserve"> ievadīt formulu, kas izmantojot datus no kolonnām </t>
    </r>
    <r>
      <rPr>
        <rFont val="Arial"/>
        <b/>
        <i/>
        <color rgb="FF231F20"/>
        <sz val="11.0"/>
      </rPr>
      <t>D</t>
    </r>
    <r>
      <rPr>
        <rFont val="Arial"/>
        <color rgb="FF231F20"/>
        <sz val="11.0"/>
      </rPr>
      <t xml:space="preserve">, </t>
    </r>
    <r>
      <rPr>
        <rFont val="Arial"/>
        <i/>
        <color rgb="FF231F20"/>
        <sz val="11.0"/>
      </rPr>
      <t>E</t>
    </r>
    <r>
      <rPr>
        <rFont val="Arial"/>
        <color rgb="FF231F20"/>
        <sz val="11.0"/>
      </rPr>
      <t xml:space="preserve"> un </t>
    </r>
    <r>
      <rPr>
        <rFont val="Arial"/>
        <b/>
        <i/>
        <color rgb="FF231F20"/>
        <sz val="11.0"/>
      </rPr>
      <t>F</t>
    </r>
    <r>
      <rPr>
        <rFont val="Arial"/>
        <color rgb="FF231F20"/>
        <sz val="11.0"/>
      </rPr>
      <t xml:space="preserve"> pēc Hērona formulas aprēķina trijstūra laukumu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</si>
  <si>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šūnu apgabalā </t>
    </r>
    <r>
      <rPr>
        <rFont val="Arial"/>
        <b/>
        <i/>
        <color rgb="FF231F20"/>
        <sz val="11.0"/>
      </rPr>
      <t xml:space="preserve">H3:H70 </t>
    </r>
    <r>
      <rPr>
        <rFont val="Arial"/>
        <color rgb="FF231F20"/>
        <sz val="11.0"/>
      </rPr>
      <t xml:space="preserve">ievadīt formulu, kas izmantojot datus no kolonnām </t>
    </r>
    <r>
      <rPr>
        <rFont val="Arial"/>
        <b/>
        <i/>
        <color rgb="FF231F20"/>
        <sz val="11.0"/>
      </rPr>
      <t>D</t>
    </r>
    <r>
      <rPr>
        <rFont val="Arial"/>
        <color rgb="FF231F20"/>
        <sz val="11.0"/>
      </rPr>
      <t xml:space="preserve"> un</t>
    </r>
    <r>
      <rPr>
        <rFont val="Arial"/>
        <b/>
        <i/>
        <color rgb="FF231F20"/>
        <sz val="11.0"/>
      </rPr>
      <t xml:space="preserve"> E</t>
    </r>
    <r>
      <rPr>
        <rFont val="Arial"/>
        <color rgb="FF231F20"/>
        <sz val="11.0"/>
      </rPr>
      <t>, aprēķina  vienādsānu trijstūra augstumu pret pamatu.</t>
    </r>
  </si>
  <si>
    <r>
      <rPr>
        <rFont val="Arial"/>
        <color theme="1"/>
        <sz val="11.0"/>
      </rPr>
      <t>D</t>
    </r>
    <r>
      <rPr>
        <rFont val="Arial"/>
        <color rgb="FF231F20"/>
        <sz val="11.0"/>
      </rPr>
      <t xml:space="preserve">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šūnu apgabalā </t>
    </r>
    <r>
      <rPr>
        <rFont val="Arial"/>
        <b/>
        <i/>
        <color rgb="FF231F20"/>
        <sz val="11.0"/>
      </rPr>
      <t xml:space="preserve">G3:G70 </t>
    </r>
    <r>
      <rPr>
        <rFont val="Arial"/>
        <color rgb="FF231F20"/>
        <sz val="11.0"/>
      </rPr>
      <t xml:space="preserve">dota formula, kas kļūdaini aprēķina </t>
    </r>
    <r>
      <rPr>
        <rFont val="Arial"/>
        <color theme="1"/>
        <sz val="11.0"/>
      </rPr>
      <t>vienādsānu trijstūra perimetru pēc sakarības p=a+b+c. Izlabot kļūdu, nemainot izmantoto funkciju.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</si>
  <si>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šūnu apgabalā </t>
    </r>
    <r>
      <rPr>
        <rFont val="Arial"/>
        <b/>
        <i/>
        <color rgb="FF231F20"/>
        <sz val="11.0"/>
      </rPr>
      <t xml:space="preserve">I3:I70 </t>
    </r>
    <r>
      <rPr>
        <rFont val="Arial"/>
        <color rgb="FF231F20"/>
        <sz val="11.0"/>
      </rPr>
      <t xml:space="preserve">ievadīt formulu, kas aprēķina vienādsānu trijstūra tipu. Formulai jāparāda teksts „platleņķa”, ja </t>
    </r>
    <r>
      <rPr>
        <rFont val="Arial"/>
        <b/>
        <i/>
        <color rgb="FF231F20"/>
        <sz val="11.0"/>
      </rPr>
      <t xml:space="preserve">A </t>
    </r>
    <r>
      <rPr>
        <rFont val="Arial"/>
        <color rgb="FF231F20"/>
        <sz val="11.0"/>
      </rPr>
      <t>kolonnā dotais leņķis ir lielāks par 90, vai arī teksts „cits” pretējā gadījumā.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</si>
  <si>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taisnleņķa </t>
    </r>
    <r>
      <rPr>
        <rFont val="Arial"/>
        <color rgb="FF231F20"/>
        <sz val="11.0"/>
      </rPr>
      <t xml:space="preserve">šūnu apgabalā </t>
    </r>
    <r>
      <rPr>
        <rFont val="Arial"/>
        <b/>
        <i/>
        <color rgb="FF231F20"/>
        <sz val="11.0"/>
      </rPr>
      <t xml:space="preserve">B4:G9 </t>
    </r>
    <r>
      <rPr>
        <rFont val="Arial"/>
        <color rgb="FF231F20"/>
        <sz val="11.0"/>
      </rPr>
      <t>ievadīt formulu, kas izmantojot dotos datus, aprēķina visu taisnleņķa trijstūru laukumus.</t>
    </r>
  </si>
  <si>
    <r>
      <rPr>
        <rFont val="Arial"/>
        <color rgb="FF231F20"/>
        <sz val="11.0"/>
      </rPr>
      <t xml:space="preserve">Darblapai </t>
    </r>
    <r>
      <rPr>
        <rFont val="Arial"/>
        <b/>
        <i/>
        <color rgb="FF231F20"/>
        <sz val="11.0"/>
      </rPr>
      <t xml:space="preserve">dati2 </t>
    </r>
    <r>
      <rPr>
        <rFont val="Arial"/>
        <color rgb="FF231F20"/>
        <sz val="11.0"/>
      </rPr>
      <t>iesaldēt pirmās trīs rindas.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</si>
  <si>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dati2 </t>
    </r>
    <r>
      <rPr>
        <rFont val="Arial"/>
        <color rgb="FF231F20"/>
        <sz val="11.0"/>
      </rPr>
      <t xml:space="preserve">formatēt šūnu apgabala </t>
    </r>
    <r>
      <rPr>
        <rFont val="Arial"/>
        <b/>
        <i/>
        <color rgb="FF231F20"/>
        <sz val="11.0"/>
      </rPr>
      <t xml:space="preserve">G4:N71 </t>
    </r>
    <r>
      <rPr>
        <rFont val="Arial"/>
        <color rgb="FF231F20"/>
        <sz val="11.0"/>
      </rPr>
      <t>datus kā decimālskaitļus ar trīs cipariem aiz komata.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</si>
  <si>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dati2 </t>
    </r>
    <r>
      <rPr>
        <rFont val="Arial"/>
        <color rgb="FF231F20"/>
        <sz val="11.0"/>
      </rPr>
      <t xml:space="preserve">šūnā </t>
    </r>
    <r>
      <rPr>
        <rFont val="Arial"/>
        <b/>
        <i/>
        <color rgb="FF231F20"/>
        <sz val="11.0"/>
      </rPr>
      <t xml:space="preserve">N2 </t>
    </r>
    <r>
      <rPr>
        <rFont val="Arial"/>
        <color rgb="FF231F20"/>
        <sz val="11.0"/>
      </rPr>
      <t>ievadīt formulu, kas aprēķina vidējo  no  dotajiem  trijstūru perimetriem.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</si>
  <si>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dati1 </t>
    </r>
    <r>
      <rPr>
        <rFont val="Arial"/>
        <color rgb="FF231F20"/>
        <sz val="11.0"/>
      </rPr>
      <t xml:space="preserve">sakārtot šūnu apgabala </t>
    </r>
    <r>
      <rPr>
        <rFont val="Arial"/>
        <b/>
        <i/>
        <color rgb="FF231F20"/>
        <sz val="11.0"/>
      </rPr>
      <t xml:space="preserve">A4:M71 </t>
    </r>
    <r>
      <rPr>
        <rFont val="Arial"/>
        <color rgb="FF231F20"/>
        <sz val="11.0"/>
      </rPr>
      <t>datus augošā secībā pēc laukuma vērtības.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</si>
  <si>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dati1 </t>
    </r>
    <r>
      <rPr>
        <rFont val="Arial"/>
        <color rgb="FF231F20"/>
        <sz val="11.0"/>
      </rPr>
      <t xml:space="preserve">šūnu apgabalā </t>
    </r>
    <r>
      <rPr>
        <rFont val="Arial"/>
        <b/>
        <i/>
        <color rgb="FF231F20"/>
        <sz val="11.0"/>
      </rPr>
      <t xml:space="preserve">N4:N71 </t>
    </r>
    <r>
      <rPr>
        <rFont val="Arial"/>
        <color rgb="FF231F20"/>
        <sz val="11.0"/>
      </rPr>
      <t xml:space="preserve">ievadīt formulu, kas pēc </t>
    </r>
    <r>
      <rPr>
        <rFont val="Arial"/>
        <b/>
        <i/>
        <color rgb="FF231F20"/>
        <sz val="11.0"/>
      </rPr>
      <t>G</t>
    </r>
    <r>
      <rPr>
        <rFont val="Arial"/>
        <color rgb="FF231F20"/>
        <sz val="11.0"/>
      </rPr>
      <t xml:space="preserve">, </t>
    </r>
    <r>
      <rPr>
        <rFont val="Arial"/>
        <b/>
        <i/>
        <color rgb="FF231F20"/>
        <sz val="11.0"/>
      </rPr>
      <t xml:space="preserve">H </t>
    </r>
    <r>
      <rPr>
        <rFont val="Arial"/>
        <color rgb="FF231F20"/>
        <sz val="11.0"/>
      </rPr>
      <t xml:space="preserve">un </t>
    </r>
    <r>
      <rPr>
        <rFont val="Arial"/>
        <b/>
        <i/>
        <color rgb="FF231F20"/>
        <sz val="11.0"/>
      </rPr>
      <t xml:space="preserve">I </t>
    </r>
    <r>
      <rPr>
        <rFont val="Arial"/>
        <color rgb="FF231F20"/>
        <sz val="11.0"/>
      </rPr>
      <t xml:space="preserve">kolonnās dotajām leņķu vērtībām nosaka atbilstošā trijstūra tipu. Formulai jāparāda teksts </t>
    </r>
    <r>
      <rPr>
        <rFont val="Arial"/>
        <b/>
        <color rgb="FF231F20"/>
        <sz val="11.0"/>
      </rPr>
      <t>ir šaurleņķa</t>
    </r>
    <r>
      <rPr>
        <rFont val="Arial"/>
        <color rgb="FF231F20"/>
        <sz val="11.0"/>
      </rPr>
      <t xml:space="preserve">, ja neviens no leņķiem nav lielāks par 90o, vai arī teksts </t>
    </r>
    <r>
      <rPr>
        <rFont val="Arial"/>
        <b/>
        <color rgb="FF231F20"/>
        <sz val="11.0"/>
      </rPr>
      <t xml:space="preserve">nav šaurleņķa </t>
    </r>
    <r>
      <rPr>
        <rFont val="Arial"/>
        <color rgb="FF231F20"/>
        <sz val="11.0"/>
      </rPr>
      <t>pretējā gadījumā.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</si>
  <si>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pirkums </t>
    </r>
    <r>
      <rPr>
        <rFont val="Arial"/>
        <color rgb="FF231F20"/>
        <sz val="11.0"/>
      </rPr>
      <t>šūnu apgabalā D</t>
    </r>
    <r>
      <rPr>
        <rFont val="Arial"/>
        <b/>
        <i/>
        <color rgb="FF231F20"/>
        <sz val="11.0"/>
      </rPr>
      <t xml:space="preserve">2:D27 </t>
    </r>
    <r>
      <rPr>
        <rFont val="Arial"/>
        <color rgb="FF231F20"/>
        <sz val="11.0"/>
      </rPr>
      <t xml:space="preserve">ievadīt formulu, kas aprēķina maksu par katru pirkumu, ņemot vērā detaļu skaitu, atlaides un cenu no darblapas </t>
    </r>
    <r>
      <rPr>
        <rFont val="Arial"/>
        <b/>
        <i/>
        <color rgb="FF231F20"/>
        <sz val="11.0"/>
      </rPr>
      <t>cena</t>
    </r>
    <r>
      <rPr>
        <rFont val="Arial"/>
        <color rgb="FF231F20"/>
        <sz val="11.0"/>
      </rPr>
      <t>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</si>
  <si>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pirkums </t>
    </r>
    <r>
      <rPr>
        <rFont val="Arial"/>
        <color rgb="FF231F20"/>
        <sz val="11.0"/>
      </rPr>
      <t xml:space="preserve">šūnā </t>
    </r>
    <r>
      <rPr>
        <rFont val="Arial"/>
        <b/>
        <i/>
        <color rgb="FF231F20"/>
        <sz val="11.0"/>
      </rPr>
      <t xml:space="preserve">D28 </t>
    </r>
    <r>
      <rPr>
        <rFont val="Arial"/>
        <color rgb="FF231F20"/>
        <sz val="11.0"/>
      </rPr>
      <t>ievadīt formulu, kas aprēķina pirkuma kopsummu.</t>
    </r>
  </si>
  <si>
    <r>
      <rPr>
        <rFont val="Arial"/>
        <color theme="1"/>
        <sz val="11.0"/>
      </rPr>
      <t xml:space="preserve">No lapas </t>
    </r>
    <r>
      <rPr>
        <rFont val="Arial"/>
        <b/>
        <i/>
        <color theme="1"/>
        <sz val="11.0"/>
      </rPr>
      <t>velo</t>
    </r>
    <r>
      <rPr>
        <rFont val="Arial"/>
        <color theme="1"/>
        <sz val="11.0"/>
      </rPr>
      <t xml:space="preserve"> datiem jaunā darblapā iegūt kopsavilkuma tabulu, kurā būtu redzams cik bija dalībnieku, kuru vārds ir </t>
    </r>
    <r>
      <rPr>
        <rFont val="Arial"/>
        <b/>
        <i/>
        <color theme="1"/>
        <sz val="11.0"/>
      </rPr>
      <t>Kārlis</t>
    </r>
    <r>
      <rPr>
        <rFont val="Arial"/>
        <color theme="1"/>
        <sz val="11.0"/>
      </rPr>
      <t>.</t>
    </r>
  </si>
  <si>
    <r>
      <rPr>
        <rFont val="Arial"/>
        <color theme="1"/>
        <sz val="11.0"/>
      </rPr>
      <t xml:space="preserve">No lapas </t>
    </r>
    <r>
      <rPr>
        <rFont val="Arial"/>
        <b/>
        <i/>
        <color theme="1"/>
        <sz val="11.0"/>
      </rPr>
      <t>velo</t>
    </r>
    <r>
      <rPr>
        <rFont val="Arial"/>
        <color theme="1"/>
        <sz val="11.0"/>
      </rPr>
      <t xml:space="preserve"> datiem jaunā darblapā iegūt kopsavilkuma tabulu, kurā būtu redzams, kāds bija katras kalnu velosipēdu (mtb) grupas dalībnieku vidējais ātrums.</t>
    </r>
  </si>
  <si>
    <r>
      <rPr>
        <rFont val="Arial"/>
        <color theme="1"/>
        <sz val="11.0"/>
      </rPr>
      <t xml:space="preserve">No lapas </t>
    </r>
    <r>
      <rPr>
        <rFont val="Arial"/>
        <b/>
        <i/>
        <color theme="1"/>
        <sz val="11.0"/>
      </rPr>
      <t>velo</t>
    </r>
    <r>
      <rPr>
        <rFont val="Arial"/>
        <color theme="1"/>
        <sz val="11.0"/>
      </rPr>
      <t xml:space="preserve"> </t>
    </r>
    <r>
      <rPr>
        <rFont val="Arial"/>
        <b/>
        <i/>
        <color theme="1"/>
        <sz val="11.0"/>
      </rPr>
      <t>G</t>
    </r>
    <r>
      <rPr>
        <rFont val="Arial"/>
        <color theme="1"/>
        <sz val="11.0"/>
      </rPr>
      <t xml:space="preserve"> kolonnas datiem izveidot histogrammu, kurā būtu redzams dalībnieku skaita sadalījums pēc vidējā ātruma intervālos pa 5km/h.</t>
    </r>
  </si>
  <si>
    <r>
      <rPr>
        <rFont val="Arial"/>
        <color theme="1"/>
        <sz val="11.0"/>
      </rPr>
      <t xml:space="preserve">Attēlot darblapā </t>
    </r>
    <r>
      <rPr>
        <rFont val="Arial"/>
        <b/>
        <i/>
        <color theme="1"/>
        <sz val="11.0"/>
      </rPr>
      <t>pH</t>
    </r>
    <r>
      <rPr>
        <rFont val="Arial"/>
        <color theme="1"/>
        <sz val="11.0"/>
      </rPr>
      <t xml:space="preserve"> dotos datus izkliedes diagrammā  ar pievienotu </t>
    </r>
    <r>
      <rPr>
        <rFont val="Arial"/>
        <b/>
        <color theme="1"/>
        <sz val="11.0"/>
      </rPr>
      <t>polinomiālu</t>
    </r>
    <r>
      <rPr>
        <rFont val="Arial"/>
        <color theme="1"/>
        <sz val="11.0"/>
      </rPr>
      <t xml:space="preserve"> tendenču līkni un tās raksturlielumiem - vienādojumu un korelācijas koeficientu.</t>
    </r>
  </si>
  <si>
    <r>
      <rPr>
        <rFont val="Arial"/>
        <color theme="1"/>
        <sz val="11.0"/>
      </rPr>
      <t xml:space="preserve">Darblapā </t>
    </r>
    <r>
      <rPr>
        <rFont val="Arial"/>
        <b/>
        <i/>
        <color theme="1"/>
        <sz val="11.0"/>
      </rPr>
      <t>pH</t>
    </r>
    <r>
      <rPr>
        <rFont val="Arial"/>
        <color theme="1"/>
        <sz val="11.0"/>
      </rPr>
      <t xml:space="preserve"> uzraksti formulu, kas atrod </t>
    </r>
    <r>
      <rPr>
        <rFont val="Arial"/>
        <b/>
        <color theme="1"/>
        <sz val="11.0"/>
      </rPr>
      <t>lineāru</t>
    </r>
    <r>
      <rPr>
        <rFont val="Arial"/>
        <color theme="1"/>
        <sz val="11.0"/>
      </rPr>
      <t xml:space="preserve"> sakarību (taisnes vienādojumu) starp pielieto nātrija hidroksīdu un pH līmeni.</t>
    </r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</si>
  <si>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</si>
  <si>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</si>
  <si>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</si>
  <si>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</si>
  <si>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</si>
  <si>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</si>
  <si>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</si>
  <si>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</si>
  <si>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</si>
  <si>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</si>
  <si>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</si>
  <si>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</si>
  <si>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rPr>
        <rFont val="Arial"/>
        <color rgb="FF231F20"/>
        <sz val="11.0"/>
      </rPr>
      <t xml:space="preserve">Ddarblapā </t>
    </r>
    <r>
      <rPr>
        <rFont val="Arial"/>
        <b/>
        <i/>
        <color rgb="FF231F20"/>
        <sz val="11.0"/>
      </rPr>
      <t xml:space="preserve">skola </t>
    </r>
    <r>
      <rPr>
        <rFont val="Arial"/>
        <color rgb="FF231F20"/>
        <sz val="11.0"/>
      </rPr>
      <t xml:space="preserve">šūnu apgabalu </t>
    </r>
    <r>
      <rPr>
        <rFont val="Arial"/>
        <b/>
        <i/>
        <color rgb="FF231F20"/>
        <sz val="11.0"/>
      </rPr>
      <t xml:space="preserve">B2:B12 </t>
    </r>
    <r>
      <rPr>
        <rFont val="Arial"/>
        <i/>
        <color rgb="FF231F20"/>
        <sz val="11.0"/>
      </rPr>
      <t>formatēt, nelietojot tūkstošu atdalītāju.</t>
    </r>
  </si>
  <si>
    <t>1 punkts</t>
  </si>
  <si>
    <r>
      <rPr>
        <rFont val="Arial"/>
        <color rgb="FF231F20"/>
        <sz val="11.0"/>
      </rPr>
      <t xml:space="preserve">Ddarblapā </t>
    </r>
    <r>
      <rPr>
        <rFont val="Arial"/>
        <b/>
        <i/>
        <color rgb="FF231F20"/>
        <sz val="11.0"/>
      </rPr>
      <t xml:space="preserve">skola </t>
    </r>
    <r>
      <rPr>
        <rFont val="Arial"/>
        <color rgb="FF231F20"/>
        <sz val="11.0"/>
      </rPr>
      <t xml:space="preserve">šūnā </t>
    </r>
    <r>
      <rPr>
        <rFont val="Arial"/>
        <b/>
        <i/>
        <color rgb="FF231F20"/>
        <sz val="11.0"/>
      </rPr>
      <t xml:space="preserve">D1 </t>
    </r>
    <r>
      <rPr>
        <rFont val="Arial"/>
        <color rgb="FF231F20"/>
        <sz val="11.0"/>
        <u/>
      </rPr>
      <t>datuma formātā</t>
    </r>
    <r>
      <rPr>
        <rFont val="Arial"/>
        <color rgb="FF231F20"/>
        <sz val="11.0"/>
      </rPr>
      <t xml:space="preserve"> ievadīt datumu </t>
    </r>
    <r>
      <rPr>
        <rFont val="Arial"/>
        <b/>
        <i/>
        <color rgb="FF231F20"/>
        <sz val="11.0"/>
      </rPr>
      <t>pirmdiena, 2015. gada 12. janvāris</t>
    </r>
    <r>
      <rPr>
        <rFont val="Arial"/>
        <color rgb="FF231F20"/>
        <sz val="11.0"/>
      </rPr>
      <t>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</si>
  <si>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skola </t>
    </r>
    <r>
      <rPr>
        <rFont val="Arial"/>
        <color rgb="FF231F20"/>
        <sz val="11.0"/>
      </rPr>
      <t>aizpildīt kolonnu</t>
    </r>
    <r>
      <rPr>
        <rFont val="Arial"/>
        <b/>
        <color rgb="FF231F20"/>
        <sz val="11.0"/>
      </rPr>
      <t xml:space="preserve"> F</t>
    </r>
    <r>
      <rPr>
        <rFont val="Arial"/>
        <b/>
        <i/>
        <color rgb="FF231F20"/>
        <sz val="11.0"/>
      </rPr>
      <t xml:space="preserve"> </t>
    </r>
    <r>
      <rPr>
        <rFont val="Arial"/>
        <color rgb="FF231F20"/>
        <sz val="11.0"/>
      </rPr>
      <t xml:space="preserve">ar visu </t>
    </r>
    <r>
      <rPr>
        <rFont val="Arial"/>
        <b/>
        <i/>
        <color rgb="FF231F20"/>
        <sz val="11.0"/>
      </rPr>
      <t>2015</t>
    </r>
    <r>
      <rPr>
        <rFont val="Arial"/>
        <color rgb="FF231F20"/>
        <sz val="11.0"/>
      </rPr>
      <t xml:space="preserve">. gada </t>
    </r>
    <r>
      <rPr>
        <rFont val="Arial"/>
        <b/>
        <i/>
        <color rgb="FF231F20"/>
        <sz val="11.0"/>
      </rPr>
      <t>sestdienu</t>
    </r>
    <r>
      <rPr>
        <rFont val="Arial"/>
        <color rgb="FF231F20"/>
        <sz val="11.0"/>
      </rPr>
      <t xml:space="preserve"> datumiem.</t>
    </r>
  </si>
  <si>
    <t>Taisnleņķa trijstūru perimetri</t>
  </si>
  <si>
    <t>leņķis1</t>
  </si>
  <si>
    <t>leņķis2</t>
  </si>
  <si>
    <t>leņķis3</t>
  </si>
  <si>
    <t>hipotenūza</t>
  </si>
  <si>
    <t>perimetrs</t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</si>
  <si>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perimetrs </t>
    </r>
    <r>
      <rPr>
        <rFont val="Arial"/>
        <color rgb="FF231F20"/>
        <sz val="11.0"/>
      </rPr>
      <t xml:space="preserve">izveidot līniju diagrammu, izmantojot datus no šūnu apgabala </t>
    </r>
    <r>
      <rPr>
        <rFont val="Arial"/>
        <b/>
        <i/>
        <color rgb="FF231F20"/>
        <sz val="11.0"/>
      </rPr>
      <t>B2:C2;E2;B11:C18;E11:E18.</t>
    </r>
  </si>
  <si>
    <t>2 punkti</t>
  </si>
  <si>
    <t>Taisnleņķa trijstūru laukumi</t>
  </si>
  <si>
    <t>laukums</t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</si>
  <si>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laukums </t>
    </r>
    <r>
      <rPr>
        <rFont val="Arial"/>
        <color rgb="FF231F20"/>
        <sz val="11.0"/>
      </rPr>
      <t xml:space="preserve">dotajam grafikam pievienot virsrakstu </t>
    </r>
    <r>
      <rPr>
        <rFont val="Arial"/>
        <b/>
        <i/>
        <color rgb="FF231F20"/>
        <sz val="11.0"/>
      </rPr>
      <t>Laukums</t>
    </r>
    <r>
      <rPr>
        <rFont val="Arial"/>
        <color rgb="FF231F20"/>
        <sz val="11.0"/>
      </rPr>
      <t>.</t>
    </r>
  </si>
  <si>
    <t>Aprēķini vienādsānu trijstūrī</t>
  </si>
  <si>
    <t>alfa (leņķis pret pamatu)</t>
  </si>
  <si>
    <t>beta (leņķis pie pamata)</t>
  </si>
  <si>
    <t>S (laukums)</t>
  </si>
  <si>
    <t>a (pamats)</t>
  </si>
  <si>
    <t>b (sānu mala)</t>
  </si>
  <si>
    <t>c (sānu mala)</t>
  </si>
  <si>
    <t>p (perimetrs)</t>
  </si>
  <si>
    <t>h (augstums)</t>
  </si>
  <si>
    <t>tips</t>
  </si>
  <si>
    <t>skaits</t>
  </si>
  <si>
    <t>lielākais leņķis</t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</si>
  <si>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šūnas </t>
    </r>
    <r>
      <rPr>
        <rFont val="Arial"/>
        <b/>
        <i/>
        <color rgb="FF231F20"/>
        <sz val="11.0"/>
      </rPr>
      <t xml:space="preserve">A1 </t>
    </r>
    <r>
      <rPr>
        <rFont val="Arial"/>
        <color rgb="FF231F20"/>
        <sz val="11.0"/>
      </rPr>
      <t xml:space="preserve">saturu centrēt šūnu apgabalā </t>
    </r>
    <r>
      <rPr>
        <rFont val="Arial"/>
        <b/>
        <i/>
        <color rgb="FF231F20"/>
        <sz val="11.0"/>
      </rPr>
      <t>A1:K1</t>
    </r>
    <r>
      <rPr>
        <rFont val="Arial"/>
        <color rgb="FF231F20"/>
        <sz val="11.0"/>
      </rPr>
      <t>.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</si>
  <si>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šūnā </t>
    </r>
    <r>
      <rPr>
        <rFont val="Arial"/>
        <b/>
        <i/>
        <color rgb="FF231F20"/>
        <sz val="11.0"/>
      </rPr>
      <t xml:space="preserve">K2 </t>
    </r>
    <r>
      <rPr>
        <rFont val="Arial"/>
        <color rgb="FF231F20"/>
        <sz val="11.0"/>
      </rPr>
      <t>veikt teksta aplaušanu.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</si>
  <si>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šūnā </t>
    </r>
    <r>
      <rPr>
        <rFont val="Arial"/>
        <b/>
        <i/>
        <color rgb="FF231F20"/>
        <sz val="11.0"/>
      </rPr>
      <t xml:space="preserve">J3 </t>
    </r>
    <r>
      <rPr>
        <rFont val="Arial"/>
        <color rgb="FF231F20"/>
        <sz val="11.0"/>
      </rPr>
      <t xml:space="preserve">ievadīt formulu, kas aprēķina, cik leņķu vērtības ir dotas </t>
    </r>
    <r>
      <rPr>
        <rFont val="Arial"/>
        <b/>
        <i/>
        <color rgb="FF231F20"/>
        <sz val="11.0"/>
      </rPr>
      <t xml:space="preserve">A </t>
    </r>
    <r>
      <rPr>
        <rFont val="Arial"/>
        <color rgb="FF231F20"/>
        <sz val="11.0"/>
      </rPr>
      <t>kolonnā.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</si>
  <si>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šūnā </t>
    </r>
    <r>
      <rPr>
        <rFont val="Arial"/>
        <b/>
        <i/>
        <color rgb="FF231F20"/>
        <sz val="11.0"/>
      </rPr>
      <t xml:space="preserve">K3 </t>
    </r>
    <r>
      <rPr>
        <rFont val="Arial"/>
        <color rgb="FF231F20"/>
        <sz val="11.0"/>
      </rPr>
      <t xml:space="preserve">ievadīt formulu, kas aprēķina lielāko no </t>
    </r>
    <r>
      <rPr>
        <rFont val="Arial"/>
        <b/>
        <i/>
        <color rgb="FF231F20"/>
        <sz val="11.0"/>
      </rPr>
      <t xml:space="preserve">A </t>
    </r>
    <r>
      <rPr>
        <rFont val="Arial"/>
        <color rgb="FF231F20"/>
        <sz val="11.0"/>
      </rPr>
      <t>kolonnā dotajiem leņķiem.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</si>
  <si>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šūnu apgabalā </t>
    </r>
    <r>
      <rPr>
        <rFont val="Arial"/>
        <b/>
        <i/>
        <color rgb="FF231F20"/>
        <sz val="11.0"/>
      </rPr>
      <t xml:space="preserve">B3:B70 </t>
    </r>
    <r>
      <rPr>
        <rFont val="Arial"/>
        <color rgb="FF231F20"/>
        <sz val="11.0"/>
      </rPr>
      <t xml:space="preserve">ievadīt formulu, kas izmantojot datus no kolonnas </t>
    </r>
    <r>
      <rPr>
        <rFont val="Arial"/>
        <b/>
        <i/>
        <color rgb="FF231F20"/>
        <sz val="11.0"/>
      </rPr>
      <t>A</t>
    </r>
    <r>
      <rPr>
        <rFont val="Arial"/>
        <color rgb="FF231F20"/>
        <sz val="11.0"/>
      </rPr>
      <t>, aprēķina vienādsānu trijstūra leņķi pie pamata.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</si>
  <si>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šūnu apgabalā </t>
    </r>
    <r>
      <rPr>
        <rFont val="Arial"/>
        <b/>
        <i/>
        <color rgb="FF231F20"/>
        <sz val="11.0"/>
      </rPr>
      <t>C</t>
    </r>
    <r>
      <rPr>
        <rFont val="Arial"/>
        <b/>
        <i/>
        <color rgb="FF231F20"/>
        <sz val="11.0"/>
      </rPr>
      <t xml:space="preserve">3:C70 </t>
    </r>
    <r>
      <rPr>
        <rFont val="Arial"/>
        <color rgb="FF231F20"/>
        <sz val="11.0"/>
      </rPr>
      <t xml:space="preserve">ievadīt formulu, kas izmantojot datus no kolonnām </t>
    </r>
    <r>
      <rPr>
        <rFont val="Arial"/>
        <b/>
        <i/>
        <color rgb="FF231F20"/>
        <sz val="11.0"/>
      </rPr>
      <t>D</t>
    </r>
    <r>
      <rPr>
        <rFont val="Arial"/>
        <color rgb="FF231F20"/>
        <sz val="11.0"/>
      </rPr>
      <t xml:space="preserve">, </t>
    </r>
    <r>
      <rPr>
        <rFont val="Arial"/>
        <b/>
        <i/>
        <color rgb="FF231F20"/>
        <sz val="11.0"/>
      </rPr>
      <t>E</t>
    </r>
    <r>
      <rPr>
        <rFont val="Arial"/>
        <color rgb="FF231F20"/>
        <sz val="11.0"/>
      </rPr>
      <t xml:space="preserve"> un </t>
    </r>
    <r>
      <rPr>
        <rFont val="Arial"/>
        <b/>
        <i/>
        <color rgb="FF231F20"/>
        <sz val="11.0"/>
      </rPr>
      <t xml:space="preserve">F </t>
    </r>
    <r>
      <rPr>
        <rFont val="Arial"/>
        <color rgb="FF231F20"/>
        <sz val="11.0"/>
      </rPr>
      <t>pēc Hērona formulas aprēķina trijstūra laukumu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</si>
  <si>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šūnu apgabalā </t>
    </r>
    <r>
      <rPr>
        <rFont val="Arial"/>
        <b/>
        <i/>
        <color rgb="FF231F20"/>
        <sz val="11.0"/>
      </rPr>
      <t xml:space="preserve">H3:H70 </t>
    </r>
    <r>
      <rPr>
        <rFont val="Arial"/>
        <color rgb="FF231F20"/>
        <sz val="11.0"/>
      </rPr>
      <t xml:space="preserve">ievadīt formulu, kas izmantojot datus no kolonnām </t>
    </r>
    <r>
      <rPr>
        <rFont val="Arial"/>
        <b/>
        <i/>
        <color rgb="FF231F20"/>
        <sz val="11.0"/>
      </rPr>
      <t>D</t>
    </r>
    <r>
      <rPr>
        <rFont val="Arial"/>
        <color rgb="FF231F20"/>
        <sz val="11.0"/>
      </rPr>
      <t xml:space="preserve"> un</t>
    </r>
    <r>
      <rPr>
        <rFont val="Arial"/>
        <b/>
        <i/>
        <color rgb="FF231F20"/>
        <sz val="11.0"/>
      </rPr>
      <t xml:space="preserve"> E</t>
    </r>
    <r>
      <rPr>
        <rFont val="Arial"/>
        <color rgb="FF231F20"/>
        <sz val="11.0"/>
      </rPr>
      <t>, aprēķina  vienādsānu trijstūra augstumu pret pamatu.</t>
    </r>
  </si>
  <si>
    <r>
      <rPr>
        <rFont val="Arial"/>
        <color theme="1"/>
        <sz val="11.0"/>
      </rPr>
      <t>D</t>
    </r>
    <r>
      <rPr>
        <rFont val="Arial"/>
        <color rgb="FF231F20"/>
        <sz val="11.0"/>
      </rPr>
      <t xml:space="preserve">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šūnu apgabalā </t>
    </r>
    <r>
      <rPr>
        <rFont val="Arial"/>
        <b/>
        <i/>
        <color rgb="FF231F20"/>
        <sz val="11.0"/>
      </rPr>
      <t xml:space="preserve">G3:G70 </t>
    </r>
    <r>
      <rPr>
        <rFont val="Arial"/>
        <color rgb="FF231F20"/>
        <sz val="11.0"/>
      </rPr>
      <t xml:space="preserve">dota formula, kas kļūdaini aprēķina </t>
    </r>
    <r>
      <rPr>
        <rFont val="Arial"/>
        <color theme="1"/>
        <sz val="11.0"/>
      </rPr>
      <t>vienādsānu trijstūra perimetru pēc sakarības p=a+b+c. Izlabot kļūdu, nemainot izmantoto funkciju.</t>
    </r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</si>
  <si>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vienādsānu </t>
    </r>
    <r>
      <rPr>
        <rFont val="Arial"/>
        <color rgb="FF231F20"/>
        <sz val="11.0"/>
      </rPr>
      <t xml:space="preserve">šūnu apgabalā </t>
    </r>
    <r>
      <rPr>
        <rFont val="Arial"/>
        <b/>
        <i/>
        <color rgb="FF231F20"/>
        <sz val="11.0"/>
      </rPr>
      <t xml:space="preserve">I3:I70 </t>
    </r>
    <r>
      <rPr>
        <rFont val="Arial"/>
        <color rgb="FF231F20"/>
        <sz val="11.0"/>
      </rPr>
      <t xml:space="preserve">ievadīt formulu, kas aprēķina vienādsānu trijstūra tipu. Formulai jāparāda teksts „platleņķa”, ja </t>
    </r>
    <r>
      <rPr>
        <rFont val="Arial"/>
        <b/>
        <i/>
        <color rgb="FF231F20"/>
        <sz val="11.0"/>
      </rPr>
      <t xml:space="preserve">A </t>
    </r>
    <r>
      <rPr>
        <rFont val="Arial"/>
        <color rgb="FF231F20"/>
        <sz val="11.0"/>
      </rPr>
      <t>kolonnā dotais leņķis ir lielāks par 90, vai arī teksts „cits” pretējā gadījumā.</t>
    </r>
  </si>
  <si>
    <t>Aprēķināt visu iespējamo taisnleņķa trijstūru laukumus</t>
  </si>
  <si>
    <t>leņķis grādos</t>
  </si>
  <si>
    <r>
      <rPr>
        <rFont val="Arial"/>
        <color rgb="FF231F20"/>
        <sz val="11.0"/>
      </rPr>
      <t xml:space="preserve">Darblapas </t>
    </r>
    <r>
      <rPr>
        <rFont val="Arial"/>
        <b/>
        <i/>
        <color rgb="FF231F20"/>
        <sz val="11.0"/>
      </rPr>
      <t xml:space="preserve">taisnleņķa </t>
    </r>
    <r>
      <rPr>
        <rFont val="Arial"/>
        <color rgb="FF231F20"/>
        <sz val="11.0"/>
      </rPr>
      <t xml:space="preserve">šūnu apgabalā </t>
    </r>
    <r>
      <rPr>
        <rFont val="Arial"/>
        <b/>
        <i/>
        <color rgb="FF231F20"/>
        <sz val="11.0"/>
      </rPr>
      <t xml:space="preserve">B4:G9 </t>
    </r>
    <r>
      <rPr>
        <rFont val="Arial"/>
        <color rgb="FF231F20"/>
        <sz val="11.0"/>
      </rPr>
      <t>ievadīt formulu, kas izmantojot dotos datus, aprēķina visu taisnleņķa trijstūru laukumus.</t>
    </r>
  </si>
  <si>
    <t>3 punkti</t>
  </si>
  <si>
    <t>Aprēķini trijstūrī</t>
  </si>
  <si>
    <t>Trijstūra virsotņu koordinātes</t>
  </si>
  <si>
    <t>x1</t>
  </si>
  <si>
    <t>y1</t>
  </si>
  <si>
    <t>x2</t>
  </si>
  <si>
    <t>y2</t>
  </si>
  <si>
    <t>x3</t>
  </si>
  <si>
    <t>y3</t>
  </si>
  <si>
    <t>mala1</t>
  </si>
  <si>
    <t>mala2</t>
  </si>
  <si>
    <t>mala3</t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</si>
  <si>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dati1 </t>
    </r>
    <r>
      <rPr>
        <rFont val="Arial"/>
        <color rgb="FF231F20"/>
        <sz val="11.0"/>
      </rPr>
      <t xml:space="preserve">sakārtot šūnu apgabala </t>
    </r>
    <r>
      <rPr>
        <rFont val="Arial"/>
        <b/>
        <i/>
        <color rgb="FF231F20"/>
        <sz val="11.0"/>
      </rPr>
      <t xml:space="preserve">A4:M71 </t>
    </r>
    <r>
      <rPr>
        <rFont val="Arial"/>
        <color rgb="FF231F20"/>
        <sz val="11.0"/>
      </rPr>
      <t>datus augošā secībā pēc laukuma vērtības.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</si>
  <si>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dati1 </t>
    </r>
    <r>
      <rPr>
        <rFont val="Arial"/>
        <color rgb="FF231F20"/>
        <sz val="11.0"/>
      </rPr>
      <t xml:space="preserve">šūnu apgabalā </t>
    </r>
    <r>
      <rPr>
        <rFont val="Arial"/>
        <b/>
        <i/>
        <color rgb="FF231F20"/>
        <sz val="11.0"/>
      </rPr>
      <t xml:space="preserve">N4:N71 </t>
    </r>
    <r>
      <rPr>
        <rFont val="Arial"/>
        <color rgb="FF231F20"/>
        <sz val="11.0"/>
      </rPr>
      <t xml:space="preserve">ievadīt formulu, kas pēc </t>
    </r>
    <r>
      <rPr>
        <rFont val="Arial"/>
        <b/>
        <i/>
        <color rgb="FF231F20"/>
        <sz val="11.0"/>
      </rPr>
      <t>G</t>
    </r>
    <r>
      <rPr>
        <rFont val="Arial"/>
        <color rgb="FF231F20"/>
        <sz val="11.0"/>
      </rPr>
      <t xml:space="preserve">, </t>
    </r>
    <r>
      <rPr>
        <rFont val="Arial"/>
        <b/>
        <i/>
        <color rgb="FF231F20"/>
        <sz val="11.0"/>
      </rPr>
      <t xml:space="preserve">H </t>
    </r>
    <r>
      <rPr>
        <rFont val="Arial"/>
        <color rgb="FF231F20"/>
        <sz val="11.0"/>
      </rPr>
      <t xml:space="preserve">un </t>
    </r>
    <r>
      <rPr>
        <rFont val="Arial"/>
        <b/>
        <i/>
        <color rgb="FF231F20"/>
        <sz val="11.0"/>
      </rPr>
      <t xml:space="preserve">I </t>
    </r>
    <r>
      <rPr>
        <rFont val="Arial"/>
        <color rgb="FF231F20"/>
        <sz val="11.0"/>
      </rPr>
      <t xml:space="preserve">kolonnās dotajām leņķu vērtībām nosaka atbilstošā trijstūra tipu. Formulai jāparāda teksts </t>
    </r>
    <r>
      <rPr>
        <rFont val="Arial"/>
        <b/>
        <color rgb="FF231F20"/>
        <sz val="11.0"/>
      </rPr>
      <t>ir šaurleņķa</t>
    </r>
    <r>
      <rPr>
        <rFont val="Arial"/>
        <color rgb="FF231F20"/>
        <sz val="11.0"/>
      </rPr>
      <t>, ja neviens no leņķiem nav lielāks par 90</t>
    </r>
    <r>
      <rPr>
        <rFont val="Arial"/>
        <color rgb="FF231F20"/>
        <sz val="6.0"/>
        <vertAlign val="superscript"/>
      </rPr>
      <t>o</t>
    </r>
    <r>
      <rPr>
        <rFont val="Arial"/>
        <color rgb="FF231F20"/>
        <sz val="11.0"/>
      </rPr>
      <t xml:space="preserve">, vai arī teksts </t>
    </r>
    <r>
      <rPr>
        <rFont val="Arial"/>
        <b/>
        <color rgb="FF231F20"/>
        <sz val="11.0"/>
      </rPr>
      <t xml:space="preserve">nav šaurleņķa </t>
    </r>
    <r>
      <rPr>
        <rFont val="Arial"/>
        <color rgb="FF231F20"/>
        <sz val="11.0"/>
      </rPr>
      <t>pretējā gadījumā.</t>
    </r>
  </si>
  <si>
    <r>
      <rPr>
        <rFont val="Arial"/>
        <color rgb="FF231F20"/>
        <sz val="11.0"/>
      </rPr>
      <t xml:space="preserve">Darblapai </t>
    </r>
    <r>
      <rPr>
        <rFont val="Arial"/>
        <b/>
        <i/>
        <color rgb="FF231F20"/>
        <sz val="11.0"/>
      </rPr>
      <t xml:space="preserve">dati2 </t>
    </r>
    <r>
      <rPr>
        <rFont val="Arial"/>
        <color rgb="FF231F20"/>
        <sz val="11.0"/>
      </rPr>
      <t>iesaldēt pirmās trīs rindas.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</si>
  <si>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dati2 </t>
    </r>
    <r>
      <rPr>
        <rFont val="Arial"/>
        <color rgb="FF231F20"/>
        <sz val="11.0"/>
      </rPr>
      <t xml:space="preserve">formatēt šūnu apgabala </t>
    </r>
    <r>
      <rPr>
        <rFont val="Arial"/>
        <b/>
        <i/>
        <color rgb="FF231F20"/>
        <sz val="11.0"/>
      </rPr>
      <t xml:space="preserve">G4:N71 </t>
    </r>
    <r>
      <rPr>
        <rFont val="Arial"/>
        <color rgb="FF231F20"/>
        <sz val="11.0"/>
      </rPr>
      <t>datus kā decimālskaitļus ar trīs cipariem aiz komata.</t>
    </r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</si>
  <si>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dati2 </t>
    </r>
    <r>
      <rPr>
        <rFont val="Arial"/>
        <color rgb="FF231F20"/>
        <sz val="11.0"/>
      </rPr>
      <t xml:space="preserve">šūnā </t>
    </r>
    <r>
      <rPr>
        <rFont val="Arial"/>
        <b/>
        <i/>
        <color rgb="FF231F20"/>
        <sz val="11.0"/>
      </rPr>
      <t xml:space="preserve">N2 </t>
    </r>
    <r>
      <rPr>
        <rFont val="Arial"/>
        <color rgb="FF231F20"/>
        <sz val="11.0"/>
      </rPr>
      <t>ievadīt formulu, kas aprēķina vidējo  no  dotajiem  trijstūru perimetriem.</t>
    </r>
  </si>
  <si>
    <r>
      <rPr>
        <rFont val="Arial"/>
        <b/>
        <color theme="1"/>
        <sz val="10.0"/>
      </rPr>
      <t>XTR detaļu skaits pirkumā</t>
    </r>
  </si>
  <si>
    <r>
      <rPr>
        <rFont val="Arial"/>
        <b/>
        <color theme="1"/>
        <sz val="10.0"/>
      </rPr>
      <t xml:space="preserve">atlaide atbilstošajām  </t>
    </r>
    <r>
      <rPr>
        <rFont val="Arial"/>
        <b/>
        <color theme="1"/>
        <sz val="10.0"/>
      </rPr>
      <t>XTR detaļām %</t>
    </r>
  </si>
  <si>
    <t>Kopējā maksa par noteiktām detaļām</t>
  </si>
  <si>
    <t>Priekšējais pārslēdz.</t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</si>
  <si>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pirkums </t>
    </r>
    <r>
      <rPr>
        <rFont val="Arial"/>
        <color rgb="FF231F20"/>
        <sz val="11.0"/>
      </rPr>
      <t xml:space="preserve">šūnu apgabalā </t>
    </r>
    <r>
      <rPr>
        <rFont val="Arial"/>
        <b/>
        <i/>
        <color rgb="FF231F20"/>
        <sz val="11.0"/>
      </rPr>
      <t>D</t>
    </r>
    <r>
      <rPr>
        <rFont val="Arial"/>
        <b/>
        <i/>
        <color rgb="FF231F20"/>
        <sz val="11.0"/>
      </rPr>
      <t xml:space="preserve">2:D28 </t>
    </r>
    <r>
      <rPr>
        <rFont val="Arial"/>
        <color rgb="FF231F20"/>
        <sz val="11.0"/>
      </rPr>
      <t xml:space="preserve">ievadīt formulu, kas aprēķina maksu par katru pirkumu, ņemot vērā detaļu skaitu, atlaides un cenu no darblapas </t>
    </r>
    <r>
      <rPr>
        <rFont val="Arial"/>
        <b/>
        <i/>
        <color rgb="FF231F20"/>
        <sz val="11.0"/>
      </rPr>
      <t>cena</t>
    </r>
    <r>
      <rPr>
        <rFont val="Arial"/>
        <color rgb="FF231F20"/>
        <sz val="11.0"/>
      </rPr>
      <t>.</t>
    </r>
  </si>
  <si>
    <t>Aizmugurējais pārslēdz.</t>
  </si>
  <si>
    <t>Klaņi</t>
  </si>
  <si>
    <t>Bremzes</t>
  </si>
  <si>
    <t>Pārslēdzēja slēdži</t>
  </si>
  <si>
    <t>Bremžu rokturi</t>
  </si>
  <si>
    <t>Monobloks</t>
  </si>
  <si>
    <r>
      <rPr>
        <rFont val="Arial"/>
        <color rgb="FF231F20"/>
        <sz val="11.0"/>
      </rPr>
      <t xml:space="preserve">Darblapā </t>
    </r>
    <r>
      <rPr>
        <rFont val="Arial"/>
        <b/>
        <i/>
        <color rgb="FF231F20"/>
        <sz val="11.0"/>
      </rPr>
      <t xml:space="preserve">pirkums </t>
    </r>
    <r>
      <rPr>
        <rFont val="Arial"/>
        <color rgb="FF231F20"/>
        <sz val="11.0"/>
      </rPr>
      <t xml:space="preserve">šūnā </t>
    </r>
    <r>
      <rPr>
        <rFont val="Arial"/>
        <b/>
        <i/>
        <color rgb="FF231F20"/>
        <sz val="11.0"/>
      </rPr>
      <t xml:space="preserve">D29 </t>
    </r>
    <r>
      <rPr>
        <rFont val="Arial"/>
        <color rgb="FF231F20"/>
        <sz val="11.0"/>
      </rPr>
      <t>ievadīt formulu, kas aprēķina pirkuma kopsummu.</t>
    </r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</si>
  <si>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</si>
  <si>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</si>
  <si>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</si>
  <si>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</si>
  <si>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</si>
  <si>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</si>
  <si>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</si>
  <si>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</si>
  <si>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</si>
  <si>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</si>
  <si>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</si>
  <si>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</si>
  <si>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</si>
  <si>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</si>
  <si>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</si>
  <si>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</si>
  <si>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</si>
  <si>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</si>
  <si>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</si>
  <si>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</si>
  <si>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 xml:space="preserve">Pirkuma kopsumma </t>
  </si>
  <si>
    <t>Cane</t>
  </si>
  <si>
    <t>Mavic</t>
  </si>
  <si>
    <t>Manitou</t>
  </si>
  <si>
    <t>Ritchy</t>
  </si>
  <si>
    <t>Selle</t>
  </si>
  <si>
    <t>Shimano</t>
  </si>
  <si>
    <t>Titec</t>
  </si>
  <si>
    <t>XT</t>
  </si>
  <si>
    <t>XTR</t>
  </si>
  <si>
    <t>WTB</t>
  </si>
  <si>
    <t>Vārds</t>
  </si>
  <si>
    <t>Count of Uzvārds</t>
  </si>
  <si>
    <t>Kārlis</t>
  </si>
  <si>
    <t>Kopsumma</t>
  </si>
  <si>
    <t>(Multiple Items)</t>
  </si>
  <si>
    <t>Average of Ātrums</t>
  </si>
  <si>
    <t>Nr</t>
  </si>
  <si>
    <t>Grupa</t>
  </si>
  <si>
    <t>Uzvārds</t>
  </si>
  <si>
    <t>Klubs</t>
  </si>
  <si>
    <t>Laiks</t>
  </si>
  <si>
    <t>Ātrums</t>
  </si>
  <si>
    <r>
      <rPr>
        <rFont val="Arial"/>
        <color theme="1"/>
        <sz val="11.0"/>
      </rPr>
      <t xml:space="preserve">No lapas </t>
    </r>
    <r>
      <rPr>
        <rFont val="Arial"/>
        <b/>
        <i/>
        <color theme="1"/>
        <sz val="11.0"/>
      </rPr>
      <t>velo</t>
    </r>
    <r>
      <rPr>
        <rFont val="Arial"/>
        <color theme="1"/>
        <sz val="11.0"/>
      </rPr>
      <t xml:space="preserve"> datiem jaunā darblapā iegūt kopsavilkuma tabulu, kurā būtu redzams cik bija dalībnieku, kuru vārds ir </t>
    </r>
    <r>
      <rPr>
        <rFont val="Arial"/>
        <b/>
        <i/>
        <color theme="1"/>
        <sz val="11.0"/>
      </rPr>
      <t>Kārlis</t>
    </r>
    <r>
      <rPr>
        <rFont val="Arial"/>
        <color theme="1"/>
        <sz val="11.0"/>
      </rPr>
      <t>.</t>
    </r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</si>
  <si>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</si>
  <si>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</si>
  <si>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</si>
  <si>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</si>
  <si>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</si>
  <si>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</si>
  <si>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</si>
  <si>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</si>
  <si>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</si>
  <si>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</si>
  <si>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</si>
  <si>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</si>
  <si>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</si>
  <si>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</si>
  <si>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</si>
  <si>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</si>
  <si>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</si>
  <si>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</si>
  <si>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</si>
  <si>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</si>
  <si>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</si>
  <si>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</si>
  <si>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</si>
  <si>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</si>
  <si>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</si>
  <si>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</si>
  <si>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r>
      <rPr>
        <rFont val="Arial"/>
        <color theme="1"/>
        <sz val="11.0"/>
      </rPr>
      <t xml:space="preserve">No lapas </t>
    </r>
    <r>
      <rPr>
        <rFont val="Arial"/>
        <b/>
        <i/>
        <color theme="1"/>
        <sz val="11.0"/>
      </rPr>
      <t>velo</t>
    </r>
    <r>
      <rPr>
        <rFont val="Arial"/>
        <color theme="1"/>
        <sz val="11.0"/>
      </rPr>
      <t xml:space="preserve"> datiem jaunā darblapā iegūt kopsavilkuma tabulu, kurā būtu redzams, kāds bija katras kalnu velosipēdu (mtb) grupas dalībnieku vidējais ātrums.</t>
    </r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</si>
  <si>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</si>
  <si>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</si>
  <si>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</si>
  <si>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</si>
  <si>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</si>
  <si>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</si>
  <si>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</si>
  <si>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</si>
  <si>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</si>
  <si>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</si>
  <si>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</si>
  <si>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</si>
  <si>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</si>
  <si>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</si>
  <si>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</si>
  <si>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</si>
  <si>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</si>
  <si>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</si>
  <si>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</si>
  <si>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</si>
  <si>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</si>
  <si>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</si>
  <si>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</si>
  <si>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</si>
  <si>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</si>
  <si>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</si>
  <si>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r>
      <rPr>
        <rFont val="Arial"/>
        <color theme="1"/>
        <sz val="11.0"/>
      </rPr>
      <t xml:space="preserve">No lapas </t>
    </r>
    <r>
      <rPr>
        <rFont val="Arial"/>
        <b/>
        <i/>
        <color theme="1"/>
        <sz val="11.0"/>
      </rPr>
      <t>velo</t>
    </r>
    <r>
      <rPr>
        <rFont val="Arial"/>
        <color theme="1"/>
        <sz val="11.0"/>
      </rPr>
      <t xml:space="preserve"> G kolonnas datiem izveidot histogrammu, kurā būtu redzams dalībnieku skaita sadalījums pēc vidējā ātruma intervālos pa 5km/h.</t>
    </r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</si>
  <si>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</si>
  <si>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</si>
  <si>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</si>
  <si>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</si>
  <si>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</si>
  <si>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</si>
  <si>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</si>
  <si>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</si>
  <si>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</si>
  <si>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</si>
  <si>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</si>
  <si>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</si>
  <si>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</si>
  <si>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</si>
  <si>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</si>
  <si>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</si>
  <si>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</si>
  <si>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</si>
  <si>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</si>
  <si>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</si>
  <si>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</si>
  <si>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</si>
  <si>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</si>
  <si>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</si>
  <si>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</si>
  <si>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</si>
  <si>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</si>
  <si>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</si>
  <si>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</si>
  <si>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</si>
  <si>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</si>
  <si>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</si>
  <si>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</si>
  <si>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</si>
  <si>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</si>
  <si>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</si>
  <si>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</si>
  <si>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</si>
  <si>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</si>
  <si>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</si>
  <si>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</si>
  <si>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</si>
  <si>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</si>
  <si>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</si>
  <si>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</si>
  <si>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</si>
  <si>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</si>
  <si>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</si>
  <si>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</si>
  <si>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</si>
  <si>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</si>
  <si>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</si>
  <si>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</si>
  <si>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</si>
  <si>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</si>
  <si>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</si>
  <si>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</si>
  <si>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</si>
  <si>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</si>
  <si>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</si>
  <si>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</si>
  <si>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</si>
  <si>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</si>
  <si>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</si>
  <si>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</si>
  <si>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</si>
  <si>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</si>
  <si>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</si>
  <si>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</si>
  <si>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</si>
  <si>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</si>
  <si>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</si>
  <si>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</si>
  <si>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</si>
  <si>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</si>
  <si>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</si>
  <si>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</si>
  <si>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</si>
  <si>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</si>
  <si>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</si>
  <si>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</si>
  <si>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</si>
  <si>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</si>
  <si>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</si>
  <si>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</si>
  <si>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</si>
  <si>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</si>
  <si>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</si>
  <si>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</si>
  <si>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</si>
  <si>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</si>
  <si>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</si>
  <si>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</si>
  <si>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</si>
  <si>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</si>
  <si>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</si>
  <si>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</si>
  <si>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</si>
  <si>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</si>
  <si>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</si>
  <si>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</si>
  <si>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</si>
  <si>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</si>
  <si>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</si>
  <si>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</si>
  <si>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</si>
  <si>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</si>
  <si>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</si>
  <si>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</si>
  <si>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</si>
  <si>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</si>
  <si>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</si>
  <si>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</si>
  <si>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</si>
  <si>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</si>
  <si>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</si>
  <si>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</si>
  <si>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</si>
  <si>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</si>
  <si>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</si>
  <si>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</si>
  <si>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</si>
  <si>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</si>
  <si>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</si>
  <si>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</si>
  <si>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</si>
  <si>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</si>
  <si>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</si>
  <si>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</si>
  <si>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</si>
  <si>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</si>
  <si>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</si>
  <si>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</si>
  <si>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</si>
  <si>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</si>
  <si>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</si>
  <si>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</si>
  <si>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</si>
  <si>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</si>
  <si>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</si>
  <si>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</si>
  <si>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</si>
  <si>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</si>
  <si>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</si>
  <si>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</si>
  <si>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</si>
  <si>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</si>
  <si>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</si>
  <si>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</si>
  <si>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</si>
  <si>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</si>
  <si>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</si>
  <si>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</si>
  <si>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</si>
  <si>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</si>
  <si>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</si>
  <si>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</si>
  <si>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</si>
  <si>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</si>
  <si>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</si>
  <si>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</si>
  <si>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</si>
  <si>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</si>
  <si>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</si>
  <si>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</si>
  <si>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</si>
  <si>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</si>
  <si>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</si>
  <si>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</si>
  <si>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</si>
  <si>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</si>
  <si>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</si>
  <si>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</si>
  <si>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</si>
  <si>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</si>
  <si>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</si>
  <si>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</si>
  <si>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</si>
  <si>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</si>
  <si>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</si>
  <si>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</si>
  <si>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</si>
  <si>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</si>
  <si>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</si>
  <si>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</si>
  <si>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</si>
  <si>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</si>
  <si>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</si>
  <si>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</si>
  <si>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</si>
  <si>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</si>
  <si>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</si>
  <si>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</si>
  <si>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</si>
  <si>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</si>
  <si>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</si>
  <si>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</si>
  <si>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</si>
  <si>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</si>
  <si>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</si>
  <si>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</si>
  <si>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</si>
  <si>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</si>
  <si>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</si>
  <si>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</si>
  <si>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</si>
  <si>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</si>
  <si>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</si>
  <si>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</si>
  <si>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</si>
  <si>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</si>
  <si>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</si>
  <si>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</si>
  <si>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</si>
  <si>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</si>
  <si>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</si>
  <si>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</si>
  <si>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</si>
  <si>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</si>
  <si>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</si>
  <si>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</si>
  <si>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</si>
  <si>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</si>
  <si>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</si>
  <si>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</si>
  <si>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</si>
  <si>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</si>
  <si>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</si>
  <si>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</si>
  <si>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</si>
  <si>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</si>
  <si>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</si>
  <si>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</si>
  <si>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</si>
  <si>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</si>
  <si>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</si>
  <si>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</si>
  <si>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</si>
  <si>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</si>
  <si>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</si>
  <si>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</si>
  <si>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</si>
  <si>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</si>
  <si>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</si>
  <si>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</si>
  <si>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</si>
  <si>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</si>
  <si>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</si>
  <si>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</si>
  <si>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</si>
  <si>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</si>
  <si>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</si>
  <si>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</si>
  <si>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</si>
  <si>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</si>
  <si>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</si>
  <si>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</si>
  <si>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</si>
  <si>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</si>
  <si>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</si>
  <si>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</si>
  <si>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</si>
  <si>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</si>
  <si>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</si>
  <si>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</si>
  <si>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</si>
  <si>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</si>
  <si>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</si>
  <si>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</si>
  <si>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</si>
  <si>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</si>
  <si>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</si>
  <si>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</si>
  <si>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</si>
  <si>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</si>
  <si>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</si>
  <si>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</si>
  <si>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</si>
  <si>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</si>
  <si>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</si>
  <si>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</si>
  <si>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</si>
  <si>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</si>
  <si>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</si>
  <si>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</si>
  <si>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</si>
  <si>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</si>
  <si>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</si>
  <si>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</si>
  <si>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</si>
  <si>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</si>
  <si>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</si>
  <si>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</si>
  <si>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</si>
  <si>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</si>
  <si>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</si>
  <si>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</si>
  <si>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</si>
  <si>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</si>
  <si>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</si>
  <si>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</si>
  <si>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</si>
  <si>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</si>
  <si>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</si>
  <si>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</si>
  <si>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</si>
  <si>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</si>
  <si>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</si>
  <si>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</si>
  <si>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</si>
  <si>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</si>
  <si>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</si>
  <si>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</si>
  <si>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</si>
  <si>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</si>
  <si>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</si>
  <si>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</si>
  <si>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</si>
  <si>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</si>
  <si>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</si>
  <si>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</si>
  <si>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</si>
  <si>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</si>
  <si>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</si>
  <si>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</si>
  <si>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</si>
  <si>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</si>
  <si>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</si>
  <si>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</si>
  <si>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</si>
  <si>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</si>
  <si>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</si>
  <si>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</si>
  <si>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</si>
  <si>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</si>
  <si>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</si>
  <si>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</si>
  <si>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</si>
  <si>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</si>
  <si>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</si>
  <si>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</si>
  <si>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</si>
  <si>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</si>
  <si>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</si>
  <si>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</si>
  <si>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</si>
  <si>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</si>
  <si>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</si>
  <si>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</si>
  <si>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</si>
  <si>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</si>
  <si>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</si>
  <si>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</si>
  <si>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</si>
  <si>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</si>
  <si>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</si>
  <si>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</si>
  <si>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</si>
  <si>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</si>
  <si>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</si>
  <si>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</si>
  <si>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</si>
  <si>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</si>
  <si>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</si>
  <si>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</si>
  <si>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</si>
  <si>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</si>
  <si>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</si>
  <si>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</si>
  <si>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</si>
  <si>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</si>
  <si>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</si>
  <si>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</si>
  <si>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</si>
  <si>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</si>
  <si>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</si>
  <si>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</si>
  <si>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</si>
  <si>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</si>
  <si>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</si>
  <si>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</si>
  <si>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</si>
  <si>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</si>
  <si>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</si>
  <si>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</si>
  <si>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</si>
  <si>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</si>
  <si>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</si>
  <si>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</si>
  <si>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</si>
  <si>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</si>
  <si>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</si>
  <si>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</si>
  <si>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</si>
  <si>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</si>
  <si>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</si>
  <si>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</si>
  <si>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</si>
  <si>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</si>
  <si>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</si>
  <si>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</si>
  <si>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</si>
  <si>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</si>
  <si>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</si>
  <si>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</si>
  <si>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</si>
  <si>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</si>
  <si>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</si>
  <si>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</si>
  <si>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</si>
  <si>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</si>
  <si>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</si>
  <si>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</si>
  <si>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</si>
  <si>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</si>
  <si>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</si>
  <si>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</si>
  <si>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</si>
  <si>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</si>
  <si>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</si>
  <si>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</si>
  <si>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</si>
  <si>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</si>
  <si>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</si>
  <si>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</si>
  <si>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</si>
  <si>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</si>
  <si>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</si>
  <si>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</si>
  <si>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</si>
  <si>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</si>
  <si>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</si>
  <si>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</si>
  <si>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</si>
  <si>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</si>
  <si>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</si>
  <si>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</si>
  <si>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</si>
  <si>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</si>
  <si>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</si>
  <si>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</si>
  <si>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</si>
  <si>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</si>
  <si>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</si>
  <si>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</si>
  <si>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</si>
  <si>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</si>
  <si>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</si>
  <si>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</si>
  <si>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</si>
  <si>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</si>
  <si>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</si>
  <si>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</si>
  <si>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</si>
  <si>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</si>
  <si>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</si>
  <si>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</si>
  <si>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</si>
  <si>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</si>
  <si>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</si>
  <si>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</si>
  <si>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</si>
  <si>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</si>
  <si>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</si>
  <si>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</si>
  <si>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</si>
  <si>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</si>
  <si>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</si>
  <si>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</si>
  <si>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</si>
  <si>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</si>
  <si>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</si>
  <si>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</si>
  <si>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</si>
  <si>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</si>
  <si>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</si>
  <si>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</si>
  <si>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</si>
  <si>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</si>
  <si>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</si>
  <si>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</si>
  <si>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</si>
  <si>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</si>
  <si>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</si>
  <si>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</si>
  <si>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</si>
  <si>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</si>
  <si>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</si>
  <si>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</si>
  <si>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</si>
  <si>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</si>
  <si>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</si>
  <si>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</si>
  <si>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</si>
  <si>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</si>
  <si>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</si>
  <si>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</si>
  <si>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</si>
  <si>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</si>
  <si>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</si>
  <si>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</si>
  <si>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</si>
  <si>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</si>
  <si>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</si>
  <si>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</si>
  <si>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</si>
  <si>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</si>
  <si>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</si>
  <si>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</si>
  <si>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</si>
  <si>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</si>
  <si>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</si>
  <si>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</si>
  <si>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</si>
  <si>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</si>
  <si>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</si>
  <si>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</si>
  <si>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</si>
  <si>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</si>
  <si>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</si>
  <si>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</si>
  <si>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</si>
  <si>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</si>
  <si>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</si>
  <si>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</si>
  <si>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</si>
  <si>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</si>
  <si>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</si>
  <si>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</si>
  <si>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</si>
  <si>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</si>
  <si>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</si>
  <si>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</si>
  <si>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</si>
  <si>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</si>
  <si>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</si>
  <si>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</si>
  <si>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</si>
  <si>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</si>
  <si>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</si>
  <si>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</si>
  <si>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</si>
  <si>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</si>
  <si>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</si>
  <si>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</si>
  <si>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</si>
  <si>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</si>
  <si>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</si>
  <si>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</si>
  <si>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</si>
  <si>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</si>
  <si>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</si>
  <si>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</si>
  <si>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</si>
  <si>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</si>
  <si>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</si>
  <si>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</si>
  <si>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</si>
  <si>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</si>
  <si>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</si>
  <si>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</si>
  <si>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</si>
  <si>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</si>
  <si>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</si>
  <si>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</si>
  <si>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</si>
  <si>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</si>
  <si>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</si>
  <si>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</si>
  <si>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</si>
  <si>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</si>
  <si>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</si>
  <si>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</si>
  <si>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</si>
  <si>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</si>
  <si>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</si>
  <si>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</si>
  <si>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</si>
  <si>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</si>
  <si>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</si>
  <si>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</si>
  <si>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</si>
  <si>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</si>
  <si>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</si>
  <si>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</si>
  <si>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</si>
  <si>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</si>
  <si>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</si>
  <si>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</si>
  <si>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</si>
  <si>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</si>
  <si>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</si>
  <si>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</si>
  <si>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</si>
  <si>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</si>
  <si>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</si>
  <si>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</si>
  <si>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</si>
  <si>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</si>
  <si>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</si>
  <si>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</si>
  <si>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</si>
  <si>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</si>
  <si>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</si>
  <si>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</si>
  <si>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</si>
  <si>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</si>
  <si>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</si>
  <si>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</si>
  <si>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</si>
  <si>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</si>
  <si>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</si>
  <si>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</si>
  <si>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</si>
  <si>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</si>
  <si>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</si>
  <si>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</si>
  <si>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</si>
  <si>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</si>
  <si>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</si>
  <si>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</si>
  <si>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</si>
  <si>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</si>
  <si>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</si>
  <si>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</si>
  <si>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</si>
  <si>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</si>
  <si>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</si>
  <si>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</si>
  <si>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</si>
  <si>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</si>
  <si>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</si>
  <si>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</si>
  <si>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</si>
  <si>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</si>
  <si>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</si>
  <si>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</si>
  <si>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</si>
  <si>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</si>
  <si>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</si>
  <si>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</si>
  <si>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</si>
  <si>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</si>
  <si>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</si>
  <si>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</si>
  <si>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</si>
  <si>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</si>
  <si>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</si>
  <si>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</si>
  <si>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</si>
  <si>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</si>
  <si>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</si>
  <si>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</si>
  <si>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</si>
  <si>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</si>
  <si>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</si>
  <si>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</si>
  <si>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</si>
  <si>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</si>
  <si>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</si>
  <si>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</si>
  <si>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</si>
  <si>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</si>
  <si>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</si>
  <si>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</si>
  <si>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</si>
  <si>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</si>
  <si>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</si>
  <si>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</si>
  <si>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</si>
  <si>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</si>
  <si>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</si>
  <si>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</si>
  <si>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</si>
  <si>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</si>
  <si>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</si>
  <si>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</si>
  <si>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</si>
  <si>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</si>
  <si>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</si>
  <si>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</si>
  <si>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</si>
  <si>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</si>
  <si>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</si>
  <si>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</si>
  <si>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</si>
  <si>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</si>
  <si>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</si>
  <si>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</si>
  <si>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</si>
  <si>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</si>
  <si>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</si>
  <si>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</si>
  <si>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</si>
  <si>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</si>
  <si>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</si>
  <si>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</si>
  <si>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</si>
  <si>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</si>
  <si>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</si>
  <si>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</si>
  <si>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</si>
  <si>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</si>
  <si>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</si>
  <si>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</si>
  <si>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</si>
  <si>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</si>
  <si>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</si>
  <si>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</si>
  <si>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</si>
  <si>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</si>
  <si>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</si>
  <si>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</si>
  <si>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</si>
  <si>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</si>
  <si>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</si>
  <si>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</si>
  <si>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</si>
  <si>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</si>
  <si>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</si>
  <si>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</si>
  <si>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</si>
  <si>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</si>
  <si>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</si>
  <si>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</si>
  <si>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</si>
  <si>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</si>
  <si>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</si>
  <si>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</si>
  <si>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</si>
  <si>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</si>
  <si>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</si>
  <si>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</si>
  <si>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</si>
  <si>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</si>
  <si>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</si>
  <si>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</si>
  <si>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</si>
  <si>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</si>
  <si>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</si>
  <si>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</si>
  <si>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</si>
  <si>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</si>
  <si>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</si>
  <si>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</si>
  <si>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</si>
  <si>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</si>
  <si>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</si>
  <si>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</si>
  <si>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</si>
  <si>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</si>
  <si>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</si>
  <si>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</si>
  <si>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</si>
  <si>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</si>
  <si>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</si>
  <si>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</si>
  <si>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</si>
  <si>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</si>
  <si>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</si>
  <si>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</si>
  <si>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</si>
  <si>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</si>
  <si>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</si>
  <si>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</si>
  <si>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</si>
  <si>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</si>
  <si>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</si>
  <si>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</si>
  <si>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</si>
  <si>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</si>
  <si>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</si>
  <si>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</si>
  <si>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</si>
  <si>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</si>
  <si>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</si>
  <si>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</si>
  <si>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</si>
  <si>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</si>
  <si>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</si>
  <si>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</si>
  <si>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</si>
  <si>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</si>
  <si>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</si>
  <si>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</si>
  <si>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</si>
  <si>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</si>
  <si>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</si>
  <si>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</si>
  <si>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</si>
  <si>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</si>
  <si>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</si>
  <si>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</si>
  <si>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</si>
  <si>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</si>
  <si>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</si>
  <si>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</si>
  <si>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</si>
  <si>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</si>
  <si>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</si>
  <si>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</si>
  <si>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</si>
  <si>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</si>
  <si>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</si>
  <si>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</si>
  <si>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</si>
  <si>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</si>
  <si>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</si>
  <si>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</si>
  <si>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</si>
  <si>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</si>
  <si>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</si>
  <si>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</si>
  <si>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</si>
  <si>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</si>
  <si>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</si>
  <si>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</si>
  <si>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</si>
  <si>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</si>
  <si>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</si>
  <si>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</si>
  <si>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</si>
  <si>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</si>
  <si>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</si>
  <si>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</si>
  <si>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</si>
  <si>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</si>
  <si>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</si>
  <si>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</si>
  <si>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</si>
  <si>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</si>
  <si>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</si>
  <si>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</si>
  <si>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</si>
  <si>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</si>
  <si>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</si>
  <si>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</si>
  <si>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</si>
  <si>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</si>
  <si>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</si>
  <si>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</si>
  <si>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</si>
  <si>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</si>
  <si>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</si>
  <si>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</si>
  <si>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</si>
  <si>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</si>
  <si>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</si>
  <si>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</si>
  <si>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</si>
  <si>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</si>
  <si>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</si>
  <si>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</si>
  <si>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</si>
  <si>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</si>
  <si>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</si>
  <si>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</si>
  <si>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</si>
  <si>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</si>
  <si>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</si>
  <si>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</si>
  <si>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</si>
  <si>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</si>
  <si>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</si>
  <si>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</si>
  <si>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</si>
  <si>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</si>
  <si>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</si>
  <si>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</si>
  <si>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</si>
  <si>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</si>
  <si>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</si>
  <si>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</si>
  <si>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</si>
  <si>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</si>
  <si>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</si>
  <si>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</si>
  <si>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</si>
  <si>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</si>
  <si>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</si>
  <si>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</si>
  <si>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</si>
  <si>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</si>
  <si>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</si>
  <si>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</si>
  <si>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</si>
  <si>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</si>
  <si>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</si>
  <si>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</si>
  <si>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</si>
  <si>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</si>
  <si>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</si>
  <si>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</si>
  <si>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</si>
  <si>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</si>
  <si>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</si>
  <si>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</si>
  <si>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</si>
  <si>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</si>
  <si>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</si>
  <si>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</si>
  <si>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</si>
  <si>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</si>
  <si>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</si>
  <si>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</si>
  <si>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</si>
  <si>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</si>
  <si>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</si>
  <si>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</si>
  <si>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</si>
  <si>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</si>
  <si>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</si>
  <si>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</si>
  <si>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</si>
  <si>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</si>
  <si>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</si>
  <si>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</si>
  <si>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</si>
  <si>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</si>
  <si>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</si>
  <si>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</si>
  <si>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</si>
  <si>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</si>
  <si>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</si>
  <si>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</si>
  <si>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</si>
  <si>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</si>
  <si>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</si>
  <si>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</si>
  <si>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</si>
  <si>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</si>
  <si>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</si>
  <si>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</si>
  <si>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</si>
  <si>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</si>
  <si>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</si>
  <si>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</si>
  <si>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</si>
  <si>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</si>
  <si>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</si>
  <si>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</si>
  <si>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</si>
  <si>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</si>
  <si>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</si>
  <si>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</si>
  <si>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</si>
  <si>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</si>
  <si>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</si>
  <si>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</si>
  <si>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</si>
  <si>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</si>
  <si>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</si>
  <si>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</si>
  <si>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</si>
  <si>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</si>
  <si>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</si>
  <si>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</si>
  <si>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</si>
  <si>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</si>
  <si>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</si>
  <si>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</si>
  <si>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</si>
  <si>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</si>
  <si>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</si>
  <si>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</si>
  <si>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</si>
  <si>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</si>
  <si>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</si>
  <si>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</si>
  <si>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</si>
  <si>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</si>
  <si>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</si>
  <si>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</si>
  <si>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</si>
  <si>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</si>
  <si>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</si>
  <si>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</si>
  <si>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</si>
  <si>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</si>
  <si>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</si>
  <si>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</si>
  <si>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</si>
  <si>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</si>
  <si>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</si>
  <si>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</si>
  <si>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</si>
  <si>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</si>
  <si>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</si>
  <si>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</si>
  <si>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</si>
  <si>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</si>
  <si>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</si>
  <si>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</si>
  <si>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</si>
  <si>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</si>
  <si>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</si>
  <si>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</si>
  <si>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</si>
  <si>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</si>
  <si>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</si>
  <si>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</si>
  <si>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</si>
  <si>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</si>
  <si>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</si>
  <si>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</si>
  <si>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</si>
  <si>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</si>
  <si>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</si>
  <si>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</si>
  <si>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</si>
  <si>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</si>
  <si>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</si>
  <si>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</si>
  <si>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</si>
  <si>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</si>
  <si>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</si>
  <si>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</si>
  <si>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</si>
  <si>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</si>
  <si>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</si>
  <si>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</si>
  <si>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</si>
  <si>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</si>
  <si>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</si>
  <si>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</si>
  <si>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</si>
  <si>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</si>
  <si>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</si>
  <si>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</si>
  <si>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</si>
  <si>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</si>
  <si>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</si>
  <si>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</si>
  <si>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</si>
  <si>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</si>
  <si>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</si>
  <si>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</si>
  <si>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</si>
  <si>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</si>
  <si>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</si>
  <si>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</si>
  <si>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</si>
  <si>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</si>
  <si>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</si>
  <si>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</si>
  <si>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</si>
  <si>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</si>
  <si>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</si>
  <si>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</si>
  <si>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</si>
  <si>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</si>
  <si>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</si>
  <si>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</si>
  <si>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</si>
  <si>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</si>
  <si>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</si>
  <si>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</si>
  <si>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</si>
  <si>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</si>
  <si>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</si>
  <si>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</si>
  <si>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</si>
  <si>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</si>
  <si>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</si>
  <si>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</si>
  <si>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</si>
  <si>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</si>
  <si>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</si>
  <si>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</si>
  <si>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</si>
  <si>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</si>
  <si>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</si>
  <si>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</si>
  <si>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</si>
  <si>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</si>
  <si>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</si>
  <si>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</si>
  <si>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</si>
  <si>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</si>
  <si>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</si>
  <si>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</si>
  <si>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</si>
  <si>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</si>
  <si>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</si>
  <si>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</si>
  <si>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</si>
  <si>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</si>
  <si>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</si>
  <si>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</si>
  <si>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</si>
  <si>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</si>
  <si>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</si>
  <si>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</si>
  <si>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</si>
  <si>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</si>
  <si>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</si>
  <si>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</si>
  <si>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</si>
  <si>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</si>
  <si>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</si>
  <si>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</si>
  <si>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</si>
  <si>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</si>
  <si>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</si>
  <si>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</si>
  <si>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</si>
  <si>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</si>
  <si>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</si>
  <si>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</si>
  <si>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</si>
  <si>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</si>
  <si>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</si>
  <si>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</si>
  <si>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</si>
  <si>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</si>
  <si>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</si>
  <si>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</si>
  <si>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</si>
  <si>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</si>
  <si>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</si>
  <si>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</si>
  <si>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</si>
  <si>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</si>
  <si>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</si>
  <si>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</si>
  <si>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</si>
  <si>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</si>
  <si>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</si>
  <si>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</si>
  <si>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</si>
  <si>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</si>
  <si>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</si>
  <si>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</si>
  <si>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</si>
  <si>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</si>
  <si>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</si>
  <si>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</si>
  <si>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</si>
  <si>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</si>
  <si>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</si>
  <si>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</si>
  <si>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</si>
  <si>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</si>
  <si>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</si>
  <si>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</si>
  <si>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</si>
  <si>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</si>
  <si>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</si>
  <si>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</si>
  <si>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</si>
  <si>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</si>
  <si>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</si>
  <si>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</si>
  <si>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</si>
  <si>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</si>
  <si>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</si>
  <si>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</si>
  <si>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</si>
  <si>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</si>
  <si>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</si>
  <si>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</si>
  <si>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</si>
  <si>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</si>
  <si>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</si>
  <si>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</si>
  <si>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</si>
  <si>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</si>
  <si>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</si>
  <si>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</si>
  <si>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</si>
  <si>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</si>
  <si>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</si>
  <si>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</si>
  <si>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</si>
  <si>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</si>
  <si>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</si>
  <si>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</si>
  <si>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</si>
  <si>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</si>
  <si>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</si>
  <si>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</si>
  <si>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</si>
  <si>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</si>
  <si>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</si>
  <si>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</si>
  <si>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</si>
  <si>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</si>
  <si>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</si>
  <si>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</si>
  <si>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</si>
  <si>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</si>
  <si>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</si>
  <si>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</si>
  <si>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</si>
  <si>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</si>
  <si>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</si>
  <si>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</si>
  <si>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</si>
  <si>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</si>
  <si>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</si>
  <si>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</si>
  <si>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</si>
  <si>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</si>
  <si>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</si>
  <si>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</si>
  <si>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</si>
  <si>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</si>
  <si>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</si>
  <si>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</si>
  <si>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</si>
  <si>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</si>
  <si>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</si>
  <si>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</si>
  <si>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</si>
  <si>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</si>
  <si>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</si>
  <si>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</si>
  <si>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</si>
  <si>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</si>
  <si>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</si>
  <si>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</si>
  <si>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</si>
  <si>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</si>
  <si>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</si>
  <si>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</si>
  <si>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</si>
  <si>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</si>
  <si>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</si>
  <si>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</si>
  <si>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</si>
  <si>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</si>
  <si>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</si>
  <si>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</si>
  <si>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</si>
  <si>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</si>
  <si>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</si>
  <si>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</si>
  <si>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</si>
  <si>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</si>
  <si>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</si>
  <si>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</si>
  <si>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</si>
  <si>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</si>
  <si>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</si>
  <si>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</si>
  <si>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</si>
  <si>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</si>
  <si>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</si>
  <si>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</si>
  <si>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</si>
  <si>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</si>
  <si>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</si>
  <si>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</si>
  <si>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</si>
  <si>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</si>
  <si>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</si>
  <si>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</si>
  <si>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</si>
  <si>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</si>
  <si>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</si>
  <si>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</si>
  <si>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</si>
  <si>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</si>
  <si>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</si>
  <si>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</si>
  <si>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</si>
  <si>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</si>
  <si>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</si>
  <si>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</si>
  <si>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</si>
  <si>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</si>
  <si>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</si>
  <si>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</si>
  <si>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</si>
  <si>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</si>
  <si>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</si>
  <si>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</si>
  <si>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</si>
  <si>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</si>
  <si>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</si>
  <si>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</si>
  <si>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</si>
  <si>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</si>
  <si>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</si>
  <si>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</si>
  <si>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</si>
  <si>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</si>
  <si>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</si>
  <si>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</si>
  <si>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</si>
  <si>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</si>
  <si>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</si>
  <si>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</si>
  <si>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</si>
  <si>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</si>
  <si>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</si>
  <si>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</si>
  <si>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</si>
  <si>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</si>
  <si>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</si>
  <si>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</si>
  <si>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</si>
  <si>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</si>
  <si>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</si>
  <si>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</si>
  <si>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</si>
  <si>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</si>
  <si>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</si>
  <si>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</si>
  <si>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</si>
  <si>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</si>
  <si>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</si>
  <si>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</si>
  <si>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</si>
  <si>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</si>
  <si>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</si>
  <si>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</si>
  <si>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</si>
  <si>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</si>
  <si>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</si>
  <si>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</si>
  <si>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</si>
  <si>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</si>
  <si>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</si>
  <si>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</si>
  <si>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</si>
  <si>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</si>
  <si>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</si>
  <si>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</si>
  <si>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</si>
  <si>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</si>
  <si>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</si>
  <si>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</si>
  <si>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</si>
  <si>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</si>
  <si>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</si>
  <si>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</si>
  <si>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</si>
  <si>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</si>
  <si>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</si>
  <si>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</si>
  <si>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</si>
  <si>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</si>
  <si>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</si>
  <si>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</si>
  <si>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</si>
  <si>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</si>
  <si>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</si>
  <si>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</si>
  <si>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</si>
  <si>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</si>
  <si>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</si>
  <si>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</si>
  <si>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</si>
  <si>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</si>
  <si>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</si>
  <si>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</si>
  <si>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</si>
  <si>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</si>
  <si>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</si>
  <si>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</si>
  <si>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</si>
  <si>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</si>
  <si>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</si>
  <si>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</si>
  <si>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</si>
  <si>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</si>
  <si>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</si>
  <si>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</si>
  <si>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</si>
  <si>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</si>
  <si>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</si>
  <si>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</si>
  <si>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</si>
  <si>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</si>
  <si>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</si>
  <si>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</si>
  <si>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</si>
  <si>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</si>
  <si>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</si>
  <si>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</si>
  <si>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</si>
  <si>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</si>
  <si>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</si>
  <si>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</si>
  <si>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</si>
  <si>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</si>
  <si>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</si>
  <si>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</si>
  <si>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</si>
  <si>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</si>
  <si>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</si>
  <si>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</si>
  <si>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</si>
  <si>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</si>
  <si>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</si>
  <si>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</si>
  <si>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</si>
  <si>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</si>
  <si>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</si>
  <si>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</si>
  <si>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</si>
  <si>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</si>
  <si>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</si>
  <si>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</si>
  <si>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</si>
  <si>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</si>
  <si>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</si>
  <si>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</si>
  <si>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</si>
  <si>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</si>
  <si>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</si>
  <si>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</si>
  <si>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</si>
  <si>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</si>
  <si>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</si>
  <si>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</si>
  <si>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</si>
  <si>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</si>
  <si>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</si>
  <si>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</si>
  <si>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</si>
  <si>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</si>
  <si>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</si>
  <si>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</si>
  <si>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</si>
  <si>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</si>
  <si>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</si>
  <si>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</si>
  <si>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</si>
  <si>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</si>
  <si>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</si>
  <si>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</si>
  <si>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</si>
  <si>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</si>
  <si>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</si>
  <si>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</si>
  <si>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</si>
  <si>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</si>
  <si>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</si>
  <si>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</si>
  <si>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</si>
  <si>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</si>
  <si>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</si>
  <si>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</si>
  <si>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</si>
  <si>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</si>
  <si>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</si>
  <si>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</si>
  <si>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</si>
  <si>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</si>
  <si>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</si>
  <si>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</si>
  <si>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</si>
  <si>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</si>
  <si>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</si>
  <si>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</si>
  <si>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</si>
  <si>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</si>
  <si>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</si>
  <si>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</si>
  <si>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</si>
  <si>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</si>
  <si>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</si>
  <si>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</si>
  <si>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</si>
  <si>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</si>
  <si>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</si>
  <si>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</si>
  <si>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</si>
  <si>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</si>
  <si>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</si>
  <si>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</si>
  <si>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</si>
  <si>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</si>
  <si>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</si>
  <si>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</si>
  <si>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</si>
  <si>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</si>
  <si>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</si>
  <si>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</si>
  <si>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</si>
  <si>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</si>
  <si>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</si>
  <si>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</si>
  <si>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</si>
  <si>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</si>
  <si>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</si>
  <si>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</si>
  <si>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</si>
  <si>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</si>
  <si>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</si>
  <si>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</si>
  <si>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</si>
  <si>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</si>
  <si>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</si>
  <si>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</si>
  <si>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</si>
  <si>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</si>
  <si>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</si>
  <si>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</si>
  <si>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</si>
  <si>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</si>
  <si>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</si>
  <si>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</si>
  <si>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</si>
  <si>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</si>
  <si>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</si>
  <si>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</si>
  <si>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</si>
  <si>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</si>
  <si>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</si>
  <si>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</si>
  <si>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</si>
  <si>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</si>
  <si>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</si>
  <si>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</si>
  <si>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</si>
  <si>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</si>
  <si>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</si>
  <si>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</si>
  <si>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</si>
  <si>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</si>
  <si>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</si>
  <si>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</si>
  <si>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</si>
  <si>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</si>
  <si>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</si>
  <si>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</si>
  <si>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</si>
  <si>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</si>
  <si>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</si>
  <si>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</si>
  <si>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</si>
  <si>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</si>
  <si>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</si>
  <si>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</si>
  <si>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</si>
  <si>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</si>
  <si>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</si>
  <si>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</si>
  <si>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</si>
  <si>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</si>
  <si>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</si>
  <si>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</si>
  <si>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</si>
  <si>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</si>
  <si>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</si>
  <si>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</si>
  <si>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</si>
  <si>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</si>
  <si>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</si>
  <si>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</si>
  <si>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</si>
  <si>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</si>
  <si>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</si>
  <si>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</si>
  <si>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</si>
  <si>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</si>
  <si>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</si>
  <si>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</si>
  <si>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</si>
  <si>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</si>
  <si>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</si>
  <si>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</si>
  <si>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</si>
  <si>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</si>
  <si>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</si>
  <si>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</si>
  <si>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</si>
  <si>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</si>
  <si>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</si>
  <si>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</si>
  <si>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</si>
  <si>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</si>
  <si>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</si>
  <si>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</si>
  <si>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</si>
  <si>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</si>
  <si>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</si>
  <si>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</si>
  <si>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</si>
  <si>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</si>
  <si>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</si>
  <si>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</si>
  <si>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</si>
  <si>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</si>
  <si>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</si>
  <si>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</si>
  <si>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</si>
  <si>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</si>
  <si>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</si>
  <si>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</si>
  <si>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</si>
  <si>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</si>
  <si>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</si>
  <si>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</si>
  <si>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</si>
  <si>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</si>
  <si>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</si>
  <si>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</si>
  <si>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</si>
  <si>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</si>
  <si>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</si>
  <si>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</si>
  <si>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</si>
  <si>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</si>
  <si>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</si>
  <si>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</si>
  <si>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</si>
  <si>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</si>
  <si>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</si>
  <si>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</si>
  <si>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</si>
  <si>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</si>
  <si>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</si>
  <si>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</si>
  <si>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</si>
  <si>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</si>
  <si>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</si>
  <si>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</si>
  <si>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</si>
  <si>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</si>
  <si>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</si>
  <si>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</si>
  <si>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</si>
  <si>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</si>
  <si>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</si>
  <si>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</si>
  <si>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</si>
  <si>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</si>
  <si>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</si>
  <si>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</si>
  <si>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</si>
  <si>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</si>
  <si>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</si>
  <si>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</si>
  <si>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</si>
  <si>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</si>
  <si>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</si>
  <si>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</si>
  <si>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</si>
  <si>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</si>
  <si>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</si>
  <si>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</si>
  <si>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</si>
  <si>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</si>
  <si>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</si>
  <si>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</si>
  <si>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</si>
  <si>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</si>
  <si>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</si>
  <si>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</si>
  <si>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</si>
  <si>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</si>
  <si>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</si>
  <si>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</si>
  <si>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</si>
  <si>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</si>
  <si>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</si>
  <si>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</si>
  <si>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</si>
  <si>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</si>
  <si>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</si>
  <si>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</si>
  <si>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</si>
  <si>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</si>
  <si>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</si>
  <si>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</si>
  <si>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</si>
  <si>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</si>
  <si>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</si>
  <si>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</si>
  <si>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</si>
  <si>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</si>
  <si>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</si>
  <si>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</si>
  <si>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</si>
  <si>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</si>
  <si>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</si>
  <si>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</si>
  <si>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</si>
  <si>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</si>
  <si>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</si>
  <si>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</si>
  <si>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</si>
  <si>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</si>
  <si>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</si>
  <si>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</si>
  <si>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</si>
  <si>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</si>
  <si>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</si>
  <si>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</si>
  <si>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</si>
  <si>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</si>
  <si>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</si>
  <si>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</si>
  <si>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</si>
  <si>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</si>
  <si>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</si>
  <si>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</si>
  <si>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</si>
  <si>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</si>
  <si>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</si>
  <si>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</si>
  <si>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</si>
  <si>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</si>
  <si>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</si>
  <si>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</si>
  <si>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</si>
  <si>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</si>
  <si>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</si>
  <si>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</si>
  <si>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</si>
  <si>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</si>
  <si>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</si>
  <si>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</si>
  <si>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</si>
  <si>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</si>
  <si>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</si>
  <si>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</si>
  <si>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</si>
  <si>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</si>
  <si>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</si>
  <si>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</si>
  <si>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</si>
  <si>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</si>
  <si>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</si>
  <si>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</si>
  <si>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</si>
  <si>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</si>
  <si>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</si>
  <si>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</si>
  <si>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</si>
  <si>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</si>
  <si>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</si>
  <si>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</si>
  <si>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</si>
  <si>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</si>
  <si>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</si>
  <si>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</si>
  <si>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</si>
  <si>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</si>
  <si>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</si>
  <si>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</si>
  <si>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</si>
  <si>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</si>
  <si>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</si>
  <si>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</si>
  <si>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</si>
  <si>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</si>
  <si>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</si>
  <si>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</si>
  <si>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</si>
  <si>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</si>
  <si>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</si>
  <si>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</si>
  <si>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</si>
  <si>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</si>
  <si>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</si>
  <si>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</si>
  <si>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</si>
  <si>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</si>
  <si>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</si>
  <si>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</si>
  <si>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</si>
  <si>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</si>
  <si>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</si>
  <si>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</si>
  <si>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</si>
  <si>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</si>
  <si>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</si>
  <si>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</si>
  <si>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</si>
  <si>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</si>
  <si>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</si>
  <si>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</si>
  <si>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</si>
  <si>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</si>
  <si>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</si>
  <si>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</si>
  <si>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</si>
  <si>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</si>
  <si>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</si>
  <si>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</si>
  <si>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</si>
  <si>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</si>
  <si>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</si>
  <si>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</si>
  <si>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</si>
  <si>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</si>
  <si>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</si>
  <si>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</si>
  <si>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</si>
  <si>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</si>
  <si>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</si>
  <si>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</si>
  <si>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</si>
  <si>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</si>
  <si>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</si>
  <si>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</si>
  <si>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</si>
  <si>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</si>
  <si>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</si>
  <si>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</si>
  <si>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</si>
  <si>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</si>
  <si>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</si>
  <si>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</si>
  <si>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</si>
  <si>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</si>
  <si>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</si>
  <si>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</si>
  <si>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</si>
  <si>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</si>
  <si>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</si>
  <si>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</si>
  <si>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</si>
  <si>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</si>
  <si>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</si>
  <si>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</si>
  <si>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</si>
  <si>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</si>
  <si>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</si>
  <si>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</si>
  <si>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</si>
  <si>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</si>
  <si>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</si>
  <si>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</si>
  <si>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</si>
  <si>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</si>
  <si>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</si>
  <si>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</si>
  <si>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</si>
  <si>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</si>
  <si>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</si>
  <si>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</si>
  <si>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</si>
  <si>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</si>
  <si>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</si>
  <si>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</si>
  <si>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</si>
  <si>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</si>
  <si>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</si>
  <si>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</si>
  <si>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</si>
  <si>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</si>
  <si>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</si>
  <si>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</si>
  <si>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</si>
  <si>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</si>
  <si>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</si>
  <si>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</si>
  <si>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</si>
  <si>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</si>
  <si>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</si>
  <si>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</si>
  <si>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</si>
  <si>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</si>
  <si>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</si>
  <si>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</si>
  <si>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</si>
  <si>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</si>
  <si>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</si>
  <si>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</si>
  <si>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</si>
  <si>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</si>
  <si>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</si>
  <si>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</si>
  <si>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</si>
  <si>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</si>
  <si>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</si>
  <si>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</si>
  <si>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</si>
  <si>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</si>
  <si>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</si>
  <si>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</si>
  <si>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</si>
  <si>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</si>
  <si>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</si>
  <si>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</si>
  <si>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</si>
  <si>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</si>
  <si>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</si>
  <si>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</si>
  <si>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</si>
  <si>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</si>
  <si>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</si>
  <si>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</si>
  <si>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</si>
  <si>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</si>
  <si>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</si>
  <si>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</si>
  <si>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</si>
  <si>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</si>
  <si>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</si>
  <si>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</si>
  <si>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</si>
  <si>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</si>
  <si>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</si>
  <si>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</si>
  <si>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</si>
  <si>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</si>
  <si>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</si>
  <si>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</si>
  <si>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</si>
  <si>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</si>
  <si>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</si>
  <si>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</si>
  <si>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</si>
  <si>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</si>
  <si>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</si>
  <si>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</si>
  <si>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</si>
  <si>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</si>
  <si>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</si>
  <si>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</si>
  <si>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</si>
  <si>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</si>
  <si>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</si>
  <si>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</si>
  <si>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</si>
  <si>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</si>
  <si>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</si>
  <si>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</si>
  <si>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</si>
  <si>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</si>
  <si>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</si>
  <si>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</si>
  <si>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</si>
  <si>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</si>
  <si>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</si>
  <si>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</si>
  <si>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</si>
  <si>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</si>
  <si>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</si>
  <si>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</si>
  <si>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</si>
  <si>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</si>
  <si>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</si>
  <si>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</si>
  <si>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</si>
  <si>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</si>
  <si>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</si>
  <si>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</si>
  <si>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</si>
  <si>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</si>
  <si>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</si>
  <si>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</si>
  <si>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</si>
  <si>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</si>
  <si>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</si>
  <si>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</si>
  <si>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</si>
  <si>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</si>
  <si>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</si>
  <si>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</si>
  <si>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</si>
  <si>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</si>
  <si>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</si>
  <si>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</si>
  <si>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</si>
  <si>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</si>
  <si>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</si>
  <si>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</si>
  <si>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</si>
  <si>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</si>
  <si>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</si>
  <si>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</si>
  <si>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</si>
  <si>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</si>
  <si>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</si>
  <si>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</si>
  <si>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</si>
  <si>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</si>
  <si>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</si>
  <si>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</si>
  <si>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</si>
  <si>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</si>
  <si>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</si>
  <si>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</si>
  <si>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</si>
  <si>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</si>
  <si>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</si>
  <si>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</si>
  <si>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</si>
  <si>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</si>
  <si>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</si>
  <si>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</si>
  <si>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</si>
  <si>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</si>
  <si>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</si>
  <si>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</si>
  <si>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</si>
  <si>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</si>
  <si>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</si>
  <si>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</si>
  <si>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</si>
  <si>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</si>
  <si>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</si>
  <si>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</si>
  <si>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</si>
  <si>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</si>
  <si>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</si>
  <si>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</si>
  <si>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</si>
  <si>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</si>
  <si>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</si>
  <si>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</si>
  <si>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</si>
  <si>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</si>
  <si>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</si>
  <si>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</si>
  <si>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</si>
  <si>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</si>
  <si>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</si>
  <si>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</si>
  <si>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</si>
  <si>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</si>
  <si>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</si>
  <si>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</si>
  <si>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</si>
  <si>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</si>
  <si>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</si>
  <si>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</si>
  <si>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</si>
  <si>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</si>
  <si>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</si>
  <si>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</si>
  <si>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</si>
  <si>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</si>
  <si>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</si>
  <si>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</si>
  <si>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</si>
  <si>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</si>
  <si>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</si>
  <si>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</si>
  <si>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</si>
  <si>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</si>
  <si>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</si>
  <si>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</si>
  <si>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</si>
  <si>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</si>
  <si>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</si>
  <si>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</si>
  <si>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</si>
  <si>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</si>
  <si>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</si>
  <si>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</si>
  <si>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</si>
  <si>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</si>
  <si>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</si>
  <si>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</si>
  <si>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</si>
  <si>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</si>
  <si>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</si>
  <si>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</si>
  <si>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</si>
  <si>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</si>
  <si>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</si>
  <si>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</si>
  <si>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</si>
  <si>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</si>
  <si>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</si>
  <si>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</si>
  <si>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</si>
  <si>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</si>
  <si>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</si>
  <si>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</si>
  <si>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</si>
  <si>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</si>
  <si>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</si>
  <si>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</si>
  <si>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</si>
  <si>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</si>
  <si>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</si>
  <si>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</si>
  <si>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</si>
  <si>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</si>
  <si>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</si>
  <si>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</si>
  <si>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</si>
  <si>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</si>
  <si>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</si>
  <si>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</si>
  <si>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</si>
  <si>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</si>
  <si>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</si>
  <si>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</si>
  <si>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</si>
  <si>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</si>
  <si>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</si>
  <si>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</si>
  <si>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</si>
  <si>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</si>
  <si>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</si>
  <si>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</si>
  <si>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</si>
  <si>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</si>
  <si>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</si>
  <si>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</si>
  <si>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</si>
  <si>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</si>
  <si>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</si>
  <si>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</si>
  <si>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</si>
  <si>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</si>
  <si>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</si>
  <si>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</si>
  <si>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</si>
  <si>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</si>
  <si>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</si>
  <si>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</si>
  <si>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</si>
  <si>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</si>
  <si>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</si>
  <si>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</si>
  <si>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</si>
  <si>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</si>
  <si>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</si>
  <si>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</si>
  <si>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</si>
  <si>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</si>
  <si>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</si>
  <si>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</si>
  <si>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</si>
  <si>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</si>
  <si>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</si>
  <si>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</si>
  <si>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</si>
  <si>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</si>
  <si>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</si>
  <si>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</si>
  <si>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</si>
  <si>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</si>
  <si>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</si>
  <si>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</si>
  <si>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</si>
  <si>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</si>
  <si>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</si>
  <si>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</si>
  <si>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</si>
  <si>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</si>
  <si>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</si>
  <si>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</si>
  <si>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</si>
  <si>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</si>
  <si>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</si>
  <si>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</si>
  <si>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</si>
  <si>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</si>
  <si>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</si>
  <si>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</si>
  <si>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</si>
  <si>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</si>
  <si>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</si>
  <si>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</si>
  <si>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</si>
  <si>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</si>
  <si>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</si>
  <si>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</si>
  <si>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</si>
  <si>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</si>
  <si>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</si>
  <si>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</si>
  <si>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</si>
  <si>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</si>
  <si>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</si>
  <si>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</si>
  <si>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</si>
  <si>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</si>
  <si>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</si>
  <si>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</si>
  <si>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</si>
  <si>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</si>
  <si>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</si>
  <si>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</si>
  <si>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</si>
  <si>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</si>
  <si>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</si>
  <si>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</si>
  <si>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</si>
  <si>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</si>
  <si>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</si>
  <si>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</si>
  <si>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</si>
  <si>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</si>
  <si>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</si>
  <si>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</si>
  <si>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</si>
  <si>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</si>
  <si>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</si>
  <si>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</si>
  <si>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</si>
  <si>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</si>
  <si>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</si>
  <si>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</si>
  <si>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</si>
  <si>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</si>
  <si>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</si>
  <si>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</si>
  <si>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</si>
  <si>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</si>
  <si>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</si>
  <si>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</si>
  <si>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</si>
  <si>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</si>
  <si>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</si>
  <si>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</si>
  <si>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</si>
  <si>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</si>
  <si>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</si>
  <si>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</si>
  <si>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</si>
  <si>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</si>
  <si>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</si>
  <si>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</si>
  <si>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</si>
  <si>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</si>
  <si>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</si>
  <si>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</si>
  <si>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</si>
  <si>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</si>
  <si>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</si>
  <si>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</si>
  <si>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</si>
  <si>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</si>
  <si>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</si>
  <si>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</si>
  <si>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</si>
  <si>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</si>
  <si>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</si>
  <si>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</si>
  <si>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</si>
  <si>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</si>
  <si>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</si>
  <si>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</si>
  <si>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</si>
  <si>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</si>
  <si>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</si>
  <si>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</si>
  <si>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</si>
  <si>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</si>
  <si>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</si>
  <si>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</si>
  <si>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</si>
  <si>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</si>
  <si>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</si>
  <si>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</si>
  <si>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</si>
  <si>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</si>
  <si>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</si>
  <si>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</si>
  <si>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</si>
  <si>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</si>
  <si>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</si>
  <si>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</si>
  <si>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</si>
  <si>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</si>
  <si>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</si>
  <si>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</si>
  <si>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</si>
  <si>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</si>
  <si>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</si>
  <si>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</si>
  <si>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</si>
  <si>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</si>
  <si>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</si>
  <si>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</si>
  <si>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</si>
  <si>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</si>
  <si>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</si>
  <si>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</si>
  <si>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</si>
  <si>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</si>
  <si>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</si>
  <si>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</si>
  <si>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</si>
  <si>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</si>
  <si>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</si>
  <si>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</si>
  <si>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</si>
  <si>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</si>
  <si>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</si>
  <si>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</si>
  <si>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</si>
  <si>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</si>
  <si>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</si>
  <si>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</si>
  <si>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</si>
  <si>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</si>
  <si>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</si>
  <si>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</si>
  <si>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</si>
  <si>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</si>
  <si>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</si>
  <si>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</si>
  <si>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</si>
  <si>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</si>
  <si>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</si>
  <si>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</si>
  <si>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</si>
  <si>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</si>
  <si>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</si>
  <si>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</si>
  <si>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</si>
  <si>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</si>
  <si>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</si>
  <si>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</si>
  <si>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</si>
  <si>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</si>
  <si>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</si>
  <si>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</si>
  <si>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</si>
  <si>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</si>
  <si>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</si>
  <si>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</si>
  <si>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</si>
  <si>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</si>
  <si>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</si>
  <si>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</si>
  <si>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</si>
  <si>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</si>
  <si>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</si>
  <si>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</si>
  <si>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</si>
  <si>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</si>
  <si>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</si>
  <si>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</si>
  <si>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</si>
  <si>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</si>
  <si>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</si>
  <si>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</si>
  <si>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</si>
  <si>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</si>
  <si>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</si>
  <si>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</si>
  <si>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</si>
  <si>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</si>
  <si>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</si>
  <si>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</si>
  <si>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</si>
  <si>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</si>
  <si>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</si>
  <si>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</si>
  <si>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</si>
  <si>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</si>
  <si>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</si>
  <si>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</si>
  <si>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</si>
  <si>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</si>
  <si>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</si>
  <si>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</si>
  <si>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</si>
  <si>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</si>
  <si>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</si>
  <si>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</si>
  <si>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</si>
  <si>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</si>
  <si>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</si>
  <si>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</si>
  <si>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</si>
  <si>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</si>
  <si>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</si>
  <si>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</si>
  <si>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</si>
  <si>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</si>
  <si>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</si>
  <si>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</si>
  <si>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</si>
  <si>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</si>
  <si>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</si>
  <si>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</si>
  <si>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</si>
  <si>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</si>
  <si>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</si>
  <si>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</si>
  <si>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</si>
  <si>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</si>
  <si>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</si>
  <si>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</si>
  <si>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</si>
  <si>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</si>
  <si>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</si>
  <si>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</si>
  <si>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</si>
  <si>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</si>
  <si>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</si>
  <si>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</si>
  <si>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</si>
  <si>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</si>
  <si>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</si>
  <si>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</si>
  <si>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</si>
  <si>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</si>
  <si>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</si>
  <si>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</si>
  <si>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</si>
  <si>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</si>
  <si>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</si>
  <si>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</si>
  <si>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</si>
  <si>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</si>
  <si>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</si>
  <si>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</si>
  <si>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</si>
  <si>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</si>
  <si>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</si>
  <si>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</si>
  <si>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</si>
  <si>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</si>
  <si>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</si>
  <si>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</si>
  <si>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</si>
  <si>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</si>
  <si>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</si>
  <si>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</si>
  <si>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</si>
  <si>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</si>
  <si>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</si>
  <si>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</si>
  <si>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</si>
  <si>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</si>
  <si>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</si>
  <si>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</si>
  <si>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</si>
  <si>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</si>
  <si>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</si>
  <si>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</si>
  <si>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</si>
  <si>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</si>
  <si>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</si>
  <si>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</si>
  <si>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</si>
  <si>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</si>
  <si>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</si>
  <si>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</si>
  <si>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</si>
  <si>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</si>
  <si>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</si>
  <si>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</si>
  <si>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</si>
  <si>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</si>
  <si>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</si>
  <si>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</si>
  <si>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</si>
  <si>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</si>
  <si>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</si>
  <si>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</si>
  <si>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</si>
  <si>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</si>
  <si>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</si>
  <si>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</si>
  <si>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</si>
  <si>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</si>
  <si>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</si>
  <si>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</si>
  <si>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</si>
  <si>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</si>
  <si>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</si>
  <si>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</si>
  <si>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</si>
  <si>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</si>
  <si>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</si>
  <si>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</si>
  <si>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</si>
  <si>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</si>
  <si>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</si>
  <si>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</si>
  <si>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</si>
  <si>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</si>
  <si>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</si>
  <si>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</si>
  <si>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</si>
  <si>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</si>
  <si>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</si>
  <si>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</si>
  <si>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</si>
  <si>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</si>
  <si>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</si>
  <si>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</si>
  <si>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</si>
  <si>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</si>
  <si>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</si>
  <si>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</si>
  <si>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</si>
  <si>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</si>
  <si>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</si>
  <si>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</si>
  <si>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</si>
  <si>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</si>
  <si>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</si>
  <si>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</si>
  <si>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</si>
  <si>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</si>
  <si>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</si>
  <si>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</si>
  <si>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</si>
  <si>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</si>
  <si>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</si>
  <si>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</si>
  <si>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</si>
  <si>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</si>
  <si>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</si>
  <si>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</si>
  <si>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</si>
  <si>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</si>
  <si>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</si>
  <si>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</si>
  <si>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</si>
  <si>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</si>
  <si>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</si>
  <si>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</si>
  <si>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</si>
  <si>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</si>
  <si>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</si>
  <si>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</si>
  <si>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</si>
  <si>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</si>
  <si>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</si>
  <si>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</si>
  <si>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</si>
  <si>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</si>
  <si>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</si>
  <si>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</si>
  <si>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</si>
  <si>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</si>
  <si>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</si>
  <si>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</si>
  <si>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</si>
  <si>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</si>
  <si>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</si>
  <si>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</si>
  <si>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</si>
  <si>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</si>
  <si>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</si>
  <si>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</si>
  <si>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</si>
  <si>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</si>
  <si>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</si>
  <si>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</si>
  <si>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</si>
  <si>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</si>
  <si>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</si>
  <si>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</si>
  <si>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</si>
  <si>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</si>
  <si>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</si>
  <si>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</si>
  <si>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</si>
  <si>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</si>
  <si>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</si>
  <si>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</si>
  <si>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</si>
  <si>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</si>
  <si>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</si>
  <si>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</si>
  <si>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</si>
  <si>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</si>
  <si>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</si>
  <si>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</si>
  <si>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</si>
  <si>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</si>
  <si>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</si>
  <si>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</si>
  <si>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</si>
  <si>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</si>
  <si>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</si>
  <si>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</si>
  <si>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</si>
  <si>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</si>
  <si>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</si>
  <si>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</si>
  <si>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</si>
  <si>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</si>
  <si>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</si>
  <si>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</si>
  <si>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</si>
  <si>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</si>
  <si>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</si>
  <si>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</si>
  <si>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</si>
  <si>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</si>
  <si>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</si>
  <si>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</si>
  <si>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</si>
  <si>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</si>
  <si>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</si>
  <si>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</si>
  <si>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</si>
  <si>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</si>
  <si>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</si>
  <si>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</si>
  <si>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</si>
  <si>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</si>
  <si>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</si>
  <si>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</si>
  <si>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</si>
  <si>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</si>
  <si>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</si>
  <si>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</si>
  <si>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</si>
  <si>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</si>
  <si>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</si>
  <si>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</si>
  <si>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</si>
  <si>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</si>
  <si>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</si>
  <si>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</si>
  <si>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</si>
  <si>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</si>
  <si>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</si>
  <si>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</si>
  <si>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</si>
  <si>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</si>
  <si>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</si>
  <si>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</si>
  <si>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</si>
  <si>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</si>
  <si>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</si>
  <si>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</si>
  <si>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</si>
  <si>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</si>
  <si>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</si>
  <si>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</si>
  <si>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</si>
  <si>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</si>
  <si>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</si>
  <si>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</si>
  <si>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</si>
  <si>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</si>
  <si>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</si>
  <si>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</si>
  <si>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</si>
  <si>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</si>
  <si>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</si>
  <si>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</si>
  <si>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</si>
  <si>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</si>
  <si>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</si>
  <si>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</si>
  <si>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</si>
  <si>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</si>
  <si>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</si>
  <si>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</si>
  <si>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</si>
  <si>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</si>
  <si>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</si>
  <si>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</si>
  <si>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</si>
  <si>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</si>
  <si>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</si>
  <si>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</si>
  <si>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</si>
  <si>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</si>
  <si>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</si>
  <si>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</si>
  <si>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</si>
  <si>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</si>
  <si>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</si>
  <si>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</si>
  <si>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</si>
  <si>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</si>
  <si>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</si>
  <si>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</si>
  <si>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</si>
  <si>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</si>
  <si>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</si>
  <si>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</si>
  <si>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</si>
  <si>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</si>
  <si>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</si>
  <si>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</si>
  <si>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</si>
  <si>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</si>
  <si>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</si>
  <si>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</si>
  <si>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</si>
  <si>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</si>
  <si>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</si>
  <si>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</si>
  <si>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</si>
  <si>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</si>
  <si>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</si>
  <si>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</si>
  <si>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</si>
  <si>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</si>
  <si>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</si>
  <si>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</si>
  <si>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</si>
  <si>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</si>
  <si>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</si>
  <si>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</si>
  <si>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</si>
  <si>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</si>
  <si>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</si>
  <si>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</si>
  <si>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</si>
  <si>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</si>
  <si>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</si>
  <si>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</si>
  <si>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</si>
  <si>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</si>
  <si>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</si>
  <si>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</si>
  <si>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</si>
  <si>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</si>
  <si>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</si>
  <si>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</si>
  <si>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</si>
  <si>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</si>
  <si>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</si>
  <si>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</si>
  <si>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</si>
  <si>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</si>
  <si>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</si>
  <si>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</si>
  <si>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</si>
  <si>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</si>
  <si>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</si>
  <si>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</si>
  <si>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</si>
  <si>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</si>
  <si>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</si>
  <si>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</si>
  <si>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</si>
  <si>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</si>
  <si>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</si>
  <si>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</si>
  <si>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</si>
  <si>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</si>
  <si>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</si>
  <si>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</si>
  <si>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</si>
  <si>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</si>
  <si>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</si>
  <si>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</si>
  <si>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</si>
  <si>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</si>
  <si>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</si>
  <si>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</si>
  <si>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</si>
  <si>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</si>
  <si>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</si>
  <si>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</si>
  <si>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</si>
  <si>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</si>
  <si>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</si>
  <si>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</si>
  <si>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</si>
  <si>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</si>
  <si>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</si>
  <si>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</si>
  <si>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</si>
  <si>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</si>
  <si>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</si>
  <si>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</si>
  <si>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</si>
  <si>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</si>
  <si>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</si>
  <si>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</si>
  <si>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</si>
  <si>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</si>
  <si>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</si>
  <si>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</si>
  <si>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</si>
  <si>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</si>
  <si>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</si>
  <si>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</si>
  <si>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</si>
  <si>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</si>
  <si>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</si>
  <si>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</si>
  <si>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</si>
  <si>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</si>
  <si>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</si>
  <si>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</si>
  <si>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</si>
  <si>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</si>
  <si>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</si>
  <si>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</si>
  <si>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</si>
  <si>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</si>
  <si>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</si>
  <si>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</si>
  <si>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</si>
  <si>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</si>
  <si>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</si>
  <si>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</si>
  <si>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</si>
  <si>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</si>
  <si>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</si>
  <si>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</si>
  <si>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</si>
  <si>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</si>
  <si>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</si>
  <si>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</si>
  <si>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</si>
  <si>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</si>
  <si>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</si>
  <si>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</si>
  <si>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</si>
  <si>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</si>
  <si>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</si>
  <si>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</si>
  <si>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</si>
  <si>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</si>
  <si>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</si>
  <si>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</si>
  <si>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</si>
  <si>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</si>
  <si>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</si>
  <si>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</si>
  <si>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</si>
  <si>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</si>
  <si>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</si>
  <si>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</si>
  <si>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</si>
  <si>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</si>
  <si>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</si>
  <si>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</si>
  <si>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</si>
  <si>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</si>
  <si>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</si>
  <si>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</si>
  <si>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</si>
  <si>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</si>
  <si>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</si>
  <si>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</si>
  <si>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</si>
  <si>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</si>
  <si>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</si>
  <si>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</si>
  <si>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</si>
  <si>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</si>
  <si>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</si>
  <si>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</si>
  <si>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</si>
  <si>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</si>
  <si>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</si>
  <si>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</si>
  <si>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</si>
  <si>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</si>
  <si>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</si>
  <si>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</si>
  <si>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</si>
  <si>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</si>
  <si>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</si>
  <si>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</si>
  <si>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</si>
  <si>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</si>
  <si>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</si>
  <si>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</si>
  <si>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</si>
  <si>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</si>
  <si>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</si>
  <si>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</si>
  <si>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</si>
  <si>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</si>
  <si>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</si>
  <si>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</si>
  <si>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</si>
  <si>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</si>
  <si>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</si>
  <si>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</si>
  <si>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</si>
  <si>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</si>
  <si>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</si>
  <si>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</si>
  <si>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</si>
  <si>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</si>
  <si>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</si>
  <si>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</si>
  <si>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</si>
  <si>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</si>
  <si>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</si>
  <si>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</si>
  <si>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</si>
  <si>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</si>
  <si>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</si>
  <si>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</si>
  <si>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</si>
  <si>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</si>
  <si>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</si>
  <si>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</si>
  <si>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</si>
  <si>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</si>
  <si>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</si>
  <si>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</si>
  <si>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</si>
  <si>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</si>
  <si>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</si>
  <si>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</si>
  <si>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</si>
  <si>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</si>
  <si>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</si>
  <si>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</si>
  <si>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</si>
  <si>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</si>
  <si>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</si>
  <si>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</si>
  <si>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</si>
  <si>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</si>
  <si>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</si>
  <si>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</si>
  <si>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</si>
  <si>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</si>
  <si>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</si>
  <si>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</si>
  <si>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</si>
  <si>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</si>
  <si>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</si>
  <si>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</si>
  <si>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</si>
  <si>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</si>
  <si>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</si>
  <si>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</si>
  <si>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</si>
  <si>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</si>
  <si>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</si>
  <si>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</si>
  <si>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</si>
  <si>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</si>
  <si>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</si>
  <si>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</si>
  <si>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</si>
  <si>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</si>
  <si>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</si>
  <si>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</si>
  <si>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</si>
  <si>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</si>
  <si>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</si>
  <si>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</si>
  <si>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</si>
  <si>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</si>
  <si>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</si>
  <si>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</si>
  <si>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</si>
  <si>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</si>
  <si>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</si>
  <si>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</si>
  <si>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</si>
  <si>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</si>
  <si>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</si>
  <si>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</si>
  <si>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</si>
  <si>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</si>
  <si>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</si>
  <si>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</si>
  <si>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</si>
  <si>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</si>
  <si>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</si>
  <si>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</si>
  <si>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</si>
  <si>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</si>
  <si>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</si>
  <si>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</si>
  <si>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</si>
  <si>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</si>
  <si>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</si>
  <si>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</si>
  <si>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</si>
  <si>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</si>
  <si>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</si>
  <si>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</si>
  <si>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</si>
  <si>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</si>
  <si>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</si>
  <si>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</si>
  <si>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</si>
  <si>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</si>
  <si>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</si>
  <si>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</si>
  <si>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</si>
  <si>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</si>
  <si>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</si>
  <si>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</si>
  <si>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</si>
  <si>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</si>
  <si>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</si>
  <si>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</si>
  <si>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</si>
  <si>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</si>
  <si>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</si>
  <si>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</si>
  <si>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</si>
  <si>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</si>
  <si>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</si>
  <si>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</si>
  <si>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</si>
  <si>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</si>
  <si>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</si>
  <si>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</si>
  <si>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</si>
  <si>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</si>
  <si>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</si>
  <si>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</si>
  <si>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</si>
  <si>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</si>
  <si>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</si>
  <si>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</si>
  <si>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</si>
  <si>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</si>
  <si>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</si>
  <si>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</si>
  <si>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</si>
  <si>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</si>
  <si>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</si>
  <si>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</si>
  <si>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</si>
  <si>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</si>
  <si>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</si>
  <si>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</si>
  <si>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</si>
  <si>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</si>
  <si>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</si>
  <si>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</si>
  <si>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</si>
  <si>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</si>
  <si>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</si>
  <si>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</si>
  <si>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</si>
  <si>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</si>
  <si>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</si>
  <si>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</si>
  <si>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</si>
  <si>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</si>
  <si>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</si>
  <si>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</si>
  <si>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</si>
  <si>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</si>
  <si>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</si>
  <si>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</si>
  <si>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</si>
  <si>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</si>
  <si>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</si>
  <si>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</si>
  <si>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</si>
  <si>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</si>
  <si>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</si>
  <si>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</si>
  <si>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</si>
  <si>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</si>
  <si>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</si>
  <si>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</si>
  <si>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</si>
  <si>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</si>
  <si>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</si>
  <si>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</si>
  <si>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</si>
  <si>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</si>
  <si>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</si>
  <si>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</si>
  <si>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</si>
  <si>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</si>
  <si>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</si>
  <si>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</si>
  <si>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</si>
  <si>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</si>
  <si>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</si>
  <si>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</si>
  <si>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</si>
  <si>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</si>
  <si>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</si>
  <si>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</si>
  <si>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</si>
  <si>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</si>
  <si>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</si>
  <si>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</si>
  <si>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</si>
  <si>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</si>
  <si>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</si>
  <si>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</si>
  <si>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</si>
  <si>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</si>
  <si>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</si>
  <si>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</si>
  <si>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</si>
  <si>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</si>
  <si>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</si>
  <si>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</si>
  <si>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</si>
  <si>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</si>
  <si>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</si>
  <si>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</si>
  <si>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</si>
  <si>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</si>
  <si>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</si>
  <si>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</si>
  <si>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</si>
  <si>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</si>
  <si>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</si>
  <si>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</si>
  <si>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</si>
  <si>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</si>
  <si>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</si>
  <si>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</si>
  <si>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</si>
  <si>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</si>
  <si>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</si>
  <si>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</si>
  <si>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</si>
  <si>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</si>
  <si>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</si>
  <si>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</si>
  <si>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</si>
  <si>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</si>
  <si>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</si>
  <si>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</si>
  <si>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</si>
  <si>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</si>
  <si>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</si>
  <si>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</si>
  <si>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</si>
  <si>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</si>
  <si>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</si>
  <si>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</si>
  <si>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</si>
  <si>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</si>
  <si>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</si>
  <si>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</si>
  <si>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</si>
  <si>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</si>
  <si>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</si>
  <si>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</si>
  <si>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</si>
  <si>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</si>
  <si>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</si>
  <si>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</si>
  <si>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</si>
  <si>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</si>
  <si>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</si>
  <si>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</si>
  <si>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</si>
  <si>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</si>
  <si>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</si>
  <si>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</si>
  <si>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</si>
  <si>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</si>
  <si>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</si>
  <si>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</si>
  <si>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</si>
  <si>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</si>
  <si>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</si>
  <si>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</si>
  <si>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</si>
  <si>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</si>
  <si>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</si>
  <si>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</si>
  <si>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</si>
  <si>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</si>
  <si>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</si>
  <si>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</si>
  <si>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</si>
  <si>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</si>
  <si>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</si>
  <si>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</si>
  <si>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</si>
  <si>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</si>
  <si>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</si>
  <si>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</si>
  <si>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</si>
  <si>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</si>
  <si>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</si>
  <si>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</si>
  <si>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</si>
  <si>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</si>
  <si>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</si>
  <si>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</si>
  <si>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</si>
  <si>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</si>
  <si>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</si>
  <si>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</si>
  <si>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</si>
  <si>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</si>
  <si>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</si>
  <si>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</si>
  <si>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</si>
  <si>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</si>
  <si>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</si>
  <si>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</si>
  <si>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</si>
  <si>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</si>
  <si>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</si>
  <si>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</si>
  <si>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</si>
  <si>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</si>
  <si>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</si>
  <si>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</si>
  <si>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</si>
  <si>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</si>
  <si>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</si>
  <si>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</si>
  <si>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</si>
  <si>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</si>
  <si>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</si>
  <si>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</si>
  <si>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</si>
  <si>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</si>
  <si>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</si>
  <si>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</si>
  <si>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</si>
  <si>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</si>
  <si>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</si>
  <si>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</si>
  <si>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</si>
  <si>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</si>
  <si>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</si>
  <si>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</si>
  <si>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</si>
  <si>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</si>
  <si>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</si>
  <si>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</si>
  <si>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</si>
  <si>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</si>
  <si>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</si>
  <si>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</si>
  <si>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</si>
  <si>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</si>
  <si>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</si>
  <si>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</si>
  <si>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</si>
  <si>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</si>
  <si>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</si>
  <si>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</si>
  <si>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</si>
  <si>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</si>
  <si>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</si>
  <si>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</si>
  <si>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</si>
  <si>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</si>
  <si>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</si>
  <si>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</si>
  <si>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</si>
  <si>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</si>
  <si>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</si>
  <si>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</si>
  <si>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</si>
  <si>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</si>
  <si>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</si>
  <si>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</si>
  <si>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</si>
  <si>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</si>
  <si>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</si>
  <si>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</si>
  <si>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</si>
  <si>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</si>
  <si>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</si>
  <si>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</si>
  <si>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</si>
  <si>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</si>
  <si>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</si>
  <si>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</si>
  <si>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</si>
  <si>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</si>
  <si>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</si>
  <si>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</si>
  <si>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</si>
  <si>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</si>
  <si>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</si>
  <si>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</si>
  <si>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</si>
  <si>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</si>
  <si>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</si>
  <si>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</si>
  <si>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</si>
  <si>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</si>
  <si>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</si>
  <si>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</si>
  <si>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</si>
  <si>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</si>
  <si>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</si>
  <si>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</si>
  <si>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</si>
  <si>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</si>
  <si>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</si>
  <si>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</si>
  <si>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</si>
  <si>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</si>
  <si>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</si>
  <si>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</si>
  <si>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</si>
  <si>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</si>
  <si>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</si>
  <si>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</si>
  <si>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</si>
  <si>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</si>
  <si>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</si>
  <si>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</si>
  <si>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</si>
  <si>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</si>
  <si>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</si>
  <si>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</si>
  <si>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</si>
  <si>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</si>
  <si>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</si>
  <si>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</si>
  <si>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</si>
  <si>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</si>
  <si>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</si>
  <si>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</si>
  <si>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</si>
  <si>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</si>
  <si>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</si>
  <si>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</si>
  <si>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</si>
  <si>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</si>
  <si>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</si>
  <si>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</si>
  <si>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</si>
  <si>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</si>
  <si>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</si>
  <si>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</si>
  <si>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</si>
  <si>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</si>
  <si>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</si>
  <si>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</si>
  <si>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</si>
  <si>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</si>
  <si>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</si>
  <si>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</si>
  <si>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</si>
  <si>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</si>
  <si>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</si>
  <si>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</si>
  <si>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</si>
  <si>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</si>
  <si>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</si>
  <si>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</si>
  <si>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</si>
  <si>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</si>
  <si>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</si>
  <si>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</si>
  <si>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</si>
  <si>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</si>
  <si>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</si>
  <si>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</si>
  <si>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</si>
  <si>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</si>
  <si>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</si>
  <si>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</si>
  <si>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</si>
  <si>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</si>
  <si>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</si>
  <si>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</si>
  <si>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</si>
  <si>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</si>
  <si>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</si>
  <si>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</si>
  <si>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</si>
  <si>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</si>
  <si>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</si>
  <si>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</si>
  <si>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</si>
  <si>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</si>
  <si>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</si>
  <si>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</si>
  <si>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</si>
  <si>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</si>
  <si>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</si>
  <si>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</si>
  <si>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</si>
  <si>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</si>
  <si>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</si>
  <si>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</si>
  <si>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</si>
  <si>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</si>
  <si>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</si>
  <si>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</si>
  <si>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</si>
  <si>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</si>
  <si>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</si>
  <si>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</si>
  <si>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</si>
  <si>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</si>
  <si>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</si>
  <si>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</si>
  <si>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</si>
  <si>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</si>
  <si>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</si>
  <si>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</si>
  <si>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</si>
  <si>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</si>
  <si>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</si>
  <si>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</si>
  <si>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</si>
  <si>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</si>
  <si>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</si>
  <si>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</si>
  <si>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</si>
  <si>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</si>
  <si>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</si>
  <si>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</si>
  <si>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</si>
  <si>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</si>
  <si>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</si>
  <si>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</si>
  <si>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</si>
  <si>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</si>
  <si>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</si>
  <si>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</si>
  <si>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</si>
  <si>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</si>
  <si>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</si>
  <si>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</si>
  <si>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</si>
  <si>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</si>
  <si>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</si>
  <si>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</si>
  <si>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</si>
  <si>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</si>
  <si>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</si>
  <si>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</si>
  <si>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</si>
  <si>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</si>
  <si>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</si>
  <si>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</si>
  <si>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</si>
  <si>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</si>
  <si>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</si>
  <si>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</si>
  <si>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</si>
  <si>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</si>
  <si>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</si>
  <si>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</si>
  <si>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</si>
  <si>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</si>
  <si>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</si>
  <si>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</si>
  <si>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</si>
  <si>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</si>
  <si>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</si>
  <si>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</si>
  <si>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</si>
  <si>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</si>
  <si>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</si>
  <si>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</si>
  <si>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</si>
  <si>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</si>
  <si>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</si>
  <si>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</si>
  <si>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</si>
  <si>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</si>
  <si>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</si>
  <si>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</si>
  <si>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</si>
  <si>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</si>
  <si>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</si>
  <si>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</si>
  <si>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</si>
  <si>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</si>
  <si>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</si>
  <si>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</si>
  <si>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</si>
  <si>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</si>
  <si>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</si>
  <si>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</si>
  <si>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</si>
  <si>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</si>
  <si>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</si>
  <si>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</si>
  <si>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</si>
  <si>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</si>
  <si>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</si>
  <si>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</si>
  <si>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</si>
  <si>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</si>
  <si>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</si>
  <si>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</si>
  <si>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</si>
  <si>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</si>
  <si>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</si>
  <si>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</si>
  <si>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</si>
  <si>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</si>
  <si>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</si>
  <si>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</si>
  <si>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</si>
  <si>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</si>
  <si>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</si>
  <si>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</si>
  <si>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</si>
  <si>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</si>
  <si>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</si>
  <si>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</si>
  <si>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</si>
  <si>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</si>
  <si>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</si>
  <si>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</si>
  <si>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</si>
  <si>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</si>
  <si>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</si>
  <si>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</si>
  <si>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</si>
  <si>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</si>
  <si>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</si>
  <si>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</si>
  <si>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</si>
  <si>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</si>
  <si>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</si>
  <si>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</si>
  <si>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</si>
  <si>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</si>
  <si>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</si>
  <si>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</si>
  <si>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</si>
  <si>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</si>
  <si>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</si>
  <si>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</si>
  <si>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</si>
  <si>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</si>
  <si>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</si>
  <si>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</si>
  <si>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</si>
  <si>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</si>
  <si>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</si>
  <si>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</si>
  <si>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</si>
  <si>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</si>
  <si>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</si>
  <si>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</si>
  <si>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</si>
  <si>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</si>
  <si>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</si>
  <si>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</si>
  <si>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</si>
  <si>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</si>
  <si>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</si>
  <si>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</si>
  <si>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</si>
  <si>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</si>
  <si>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</si>
  <si>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</si>
  <si>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</si>
  <si>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</si>
  <si>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</si>
  <si>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</si>
  <si>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</si>
  <si>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</si>
  <si>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</si>
  <si>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</si>
  <si>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</si>
  <si>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</si>
  <si>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</si>
  <si>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</si>
  <si>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</si>
  <si>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</si>
  <si>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</si>
  <si>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</si>
  <si>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</si>
  <si>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</si>
  <si>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</si>
  <si>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</si>
  <si>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</si>
  <si>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</si>
  <si>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</si>
  <si>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</si>
  <si>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</si>
  <si>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</si>
  <si>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</si>
  <si>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</si>
  <si>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</si>
  <si>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</si>
  <si>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</si>
  <si>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</si>
  <si>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</si>
  <si>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</si>
  <si>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</si>
  <si>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</si>
  <si>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</si>
  <si>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</si>
  <si>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</si>
  <si>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</si>
  <si>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</si>
  <si>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</si>
  <si>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</si>
  <si>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</si>
  <si>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</si>
  <si>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</si>
  <si>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</si>
  <si>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</si>
  <si>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</si>
  <si>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</si>
  <si>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</si>
  <si>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</si>
  <si>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</si>
  <si>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</si>
  <si>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</si>
  <si>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</si>
  <si>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</si>
  <si>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</si>
  <si>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</si>
  <si>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</si>
  <si>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</si>
  <si>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</si>
  <si>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</si>
  <si>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</si>
  <si>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</si>
  <si>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</si>
  <si>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</si>
  <si>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</si>
  <si>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</si>
  <si>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</si>
  <si>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</si>
  <si>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</si>
  <si>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</si>
  <si>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</si>
  <si>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</si>
  <si>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</si>
  <si>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</si>
  <si>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</si>
  <si>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</si>
  <si>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</si>
  <si>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</si>
  <si>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</si>
  <si>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</si>
  <si>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</si>
  <si>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</si>
  <si>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</si>
  <si>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</si>
  <si>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</si>
  <si>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</si>
  <si>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</si>
  <si>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</si>
  <si>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</si>
  <si>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</si>
  <si>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</si>
  <si>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</si>
  <si>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</si>
  <si>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</si>
  <si>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</si>
  <si>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</si>
  <si>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</si>
  <si>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</si>
  <si>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</si>
  <si>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</si>
  <si>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</si>
  <si>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</si>
  <si>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</si>
  <si>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</si>
  <si>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</si>
  <si>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</si>
  <si>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</si>
  <si>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</si>
  <si>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</si>
  <si>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</si>
  <si>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</si>
  <si>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</si>
  <si>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</si>
  <si>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</si>
  <si>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</si>
  <si>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</si>
  <si>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</si>
  <si>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</si>
  <si>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</si>
  <si>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</si>
  <si>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</si>
  <si>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</si>
  <si>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</si>
  <si>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</si>
  <si>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</si>
  <si>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</si>
  <si>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</si>
  <si>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</si>
  <si>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</si>
  <si>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</si>
  <si>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</si>
  <si>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</si>
  <si>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</si>
  <si>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</si>
  <si>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</si>
  <si>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</si>
  <si>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</si>
  <si>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</si>
  <si>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</si>
  <si>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</si>
  <si>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</si>
  <si>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</si>
  <si>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</si>
  <si>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</si>
  <si>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</si>
  <si>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</si>
  <si>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</si>
  <si>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</si>
  <si>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</si>
  <si>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</si>
  <si>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</si>
  <si>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</si>
  <si>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</si>
  <si>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</si>
  <si>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</si>
  <si>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</si>
  <si>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</si>
  <si>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</si>
  <si>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</si>
  <si>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</si>
  <si>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</si>
  <si>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</si>
  <si>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</si>
  <si>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</si>
  <si>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</si>
  <si>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</si>
  <si>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</si>
  <si>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</si>
  <si>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</si>
  <si>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</si>
  <si>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</si>
  <si>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</si>
  <si>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</si>
  <si>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</si>
  <si>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</si>
  <si>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</si>
  <si>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</si>
  <si>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</si>
  <si>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</si>
  <si>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</si>
  <si>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</si>
  <si>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</si>
  <si>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</si>
  <si>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</si>
  <si>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</si>
  <si>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rPr>
        <rFont val="Arial"/>
        <color theme="1"/>
        <sz val="10.0"/>
      </rPr>
      <t xml:space="preserve">Attēlo šos datus izkliedes diagrammā  ar pievienotu </t>
    </r>
    <r>
      <rPr>
        <rFont val="Arial"/>
        <b/>
        <color theme="1"/>
        <sz val="10.0"/>
      </rPr>
      <t>polinomiālu</t>
    </r>
    <r>
      <rPr>
        <rFont val="Arial"/>
        <color theme="1"/>
        <sz val="10.0"/>
      </rPr>
      <t xml:space="preserve"> tendenču līkni un tās raksturlielumiem - vienādojumu un korelācijas koeficientu.</t>
    </r>
  </si>
  <si>
    <r>
      <rPr>
        <rFont val="Arial"/>
        <color theme="1"/>
        <sz val="10.0"/>
      </rPr>
      <t xml:space="preserve">Uzraksti formulu, kas atrod </t>
    </r>
    <r>
      <rPr>
        <rFont val="Arial"/>
        <b/>
        <color theme="1"/>
        <sz val="10.0"/>
      </rPr>
      <t>lineāru</t>
    </r>
    <r>
      <rPr>
        <rFont val="Arial"/>
        <color theme="1"/>
        <sz val="10.0"/>
      </rPr>
      <t xml:space="preserve"> sakarību (taisnes vienādojumu) starp pielieto nātrija hidroksīdu un pH līmeni.</t>
    </r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</si>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</sst>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F800]dddd\,\ mmmm\ dd\,\ yyyy"/>
    <numFmt numFmtId="165" formatCode="_-* #,##0.00_-;\-* #,##0.00_-;_-* &quot;-&quot;??_-;_-@"/>
    <numFmt numFmtId="166" formatCode="0.000"/>
    <numFmt numFmtId="167" formatCode="#,##0_ ;\-#,##0\ "/>
    <numFmt numFmtId="168" formatCode="_-* #,##0.0\ _L_s_-;\-* #,##0.0\ _L_s_-;_-* &quot;-&quot;??\ _L_s_-;_-@"/>
  </numFmts>
  <fonts count="14">
    <font>
      <sz val="10.0"/>
      <color theme="1"/>
      <name val="Arial"/>
      <scheme val="minor"/>
    </font>
    <font>
      <sz val="11.0"/>
      <color rgb="FF231F20"/>
      <name val="Arial"/>
    </font>
    <font>
      <sz val="11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Verdana"/>
    </font>
    <font/>
    <font>
      <sz val="10.0"/>
      <color theme="1"/>
      <name val="Verdana"/>
    </font>
    <font>
      <b/>
      <sz val="10.0"/>
      <color theme="1"/>
      <name val="Arial"/>
    </font>
    <font>
      <b/>
      <sz val="14.0"/>
      <color theme="1"/>
      <name val="Arial"/>
    </font>
    <font>
      <sz val="10.0"/>
      <color rgb="FF231F20"/>
      <name val="Arial"/>
    </font>
    <font>
      <sz val="10.0"/>
      <color theme="1"/>
      <name val="Tahoma"/>
    </font>
    <font>
      <b/>
      <sz val="11.0"/>
      <color theme="1"/>
      <name val="Arial"/>
    </font>
    <font>
      <b/>
      <sz val="10.0"/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</fills>
  <borders count="2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  <border>
      <left/>
      <right/>
      <bottom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right style="thin">
        <color rgb="FF000000"/>
      </right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vertical="center"/>
    </xf>
    <xf borderId="0" fillId="0" fontId="2" numFmtId="0" xfId="0" applyFont="1"/>
    <xf borderId="0" fillId="0" fontId="1" numFmtId="0" xfId="0" applyAlignment="1" applyFont="1">
      <alignment horizontal="left" vertical="center"/>
    </xf>
    <xf borderId="0" fillId="0" fontId="1" numFmtId="0" xfId="0" applyFont="1"/>
    <xf borderId="1" fillId="4" fontId="1" numFmtId="0" xfId="0" applyAlignment="1" applyBorder="1" applyFill="1" applyFont="1">
      <alignment vertical="center"/>
    </xf>
    <xf borderId="1" fillId="3" fontId="1" numFmtId="0" xfId="0" applyBorder="1" applyFont="1"/>
    <xf borderId="1" fillId="3" fontId="2" numFmtId="0" xfId="0" applyBorder="1" applyFont="1"/>
    <xf borderId="1" fillId="3" fontId="3" numFmtId="0" xfId="0" applyAlignment="1" applyBorder="1" applyFont="1">
      <alignment shrinkToFit="0" vertical="center" wrapText="1"/>
    </xf>
    <xf borderId="1" fillId="3" fontId="3" numFmtId="0" xfId="0" applyBorder="1" applyFont="1"/>
    <xf borderId="0" fillId="0" fontId="4" numFmtId="0" xfId="0" applyFont="1"/>
    <xf borderId="2" fillId="0" fontId="5" numFmtId="0" xfId="0" applyAlignment="1" applyBorder="1" applyFont="1">
      <alignment horizontal="center" vertical="center"/>
    </xf>
    <xf borderId="3" fillId="0" fontId="6" numFmtId="0" xfId="0" applyBorder="1" applyFont="1"/>
    <xf borderId="4" fillId="3" fontId="3" numFmtId="164" xfId="0" applyBorder="1" applyFont="1" applyNumberFormat="1"/>
    <xf borderId="1" fillId="3" fontId="3" numFmtId="164" xfId="0" applyBorder="1" applyFont="1" applyNumberFormat="1"/>
    <xf borderId="4" fillId="0" fontId="7" numFmtId="0" xfId="0" applyAlignment="1" applyBorder="1" applyFont="1">
      <alignment vertical="center"/>
    </xf>
    <xf borderId="4" fillId="3" fontId="7" numFmtId="2" xfId="0" applyAlignment="1" applyBorder="1" applyFont="1" applyNumberFormat="1">
      <alignment horizontal="center" vertical="center"/>
    </xf>
    <xf borderId="0" fillId="0" fontId="3" numFmtId="165" xfId="0" applyAlignment="1" applyFont="1" applyNumberFormat="1">
      <alignment horizontal="center"/>
    </xf>
    <xf borderId="0" fillId="0" fontId="8" numFmtId="0" xfId="0" applyFont="1"/>
    <xf borderId="5" fillId="3" fontId="1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7" fillId="0" fontId="6" numFmtId="0" xfId="0" applyBorder="1" applyFont="1"/>
    <xf borderId="8" fillId="0" fontId="3" numFmtId="0" xfId="0" applyBorder="1" applyFont="1"/>
    <xf borderId="9" fillId="3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0" fontId="6" numFmtId="0" xfId="0" applyBorder="1" applyFont="1"/>
    <xf borderId="0" fillId="0" fontId="3" numFmtId="0" xfId="0" applyAlignment="1" applyFont="1">
      <alignment horizontal="center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 shrinkToFit="0" wrapText="1"/>
    </xf>
    <xf borderId="1" fillId="3" fontId="3" numFmtId="0" xfId="0" applyAlignment="1" applyBorder="1" applyFont="1">
      <alignment horizontal="center"/>
    </xf>
    <xf borderId="0" fillId="0" fontId="8" numFmtId="0" xfId="0" applyAlignment="1" applyFont="1">
      <alignment horizontal="right"/>
    </xf>
    <xf borderId="9" fillId="3" fontId="2" numFmtId="0" xfId="0" applyAlignment="1" applyBorder="1" applyFont="1">
      <alignment horizontal="center" shrinkToFit="0" wrapText="1"/>
    </xf>
    <xf borderId="9" fillId="3" fontId="1" numFmtId="0" xfId="0" applyAlignment="1" applyBorder="1" applyFont="1">
      <alignment horizontal="center" shrinkToFit="0" wrapText="1"/>
    </xf>
    <xf borderId="1" fillId="5" fontId="1" numFmtId="0" xfId="0" applyAlignment="1" applyBorder="1" applyFill="1" applyFont="1">
      <alignment shrinkToFit="0" vertical="center" wrapText="1"/>
    </xf>
    <xf borderId="0" fillId="0" fontId="9" numFmtId="0" xfId="0" applyFont="1"/>
    <xf borderId="0" fillId="0" fontId="3" numFmtId="0" xfId="0" applyFont="1"/>
    <xf borderId="0" fillId="0" fontId="8" numFmtId="0" xfId="0" applyAlignment="1" applyFont="1">
      <alignment horizontal="left"/>
    </xf>
    <xf borderId="0" fillId="0" fontId="3" numFmtId="0" xfId="0" applyAlignment="1" applyFont="1">
      <alignment horizontal="center" vertical="center"/>
    </xf>
    <xf borderId="9" fillId="3" fontId="10" numFmtId="0" xfId="0" applyAlignment="1" applyBorder="1" applyFont="1">
      <alignment horizontal="center" shrinkToFit="0" wrapText="1"/>
    </xf>
    <xf borderId="1" fillId="3" fontId="3" numFmtId="166" xfId="0" applyAlignment="1" applyBorder="1" applyFont="1" applyNumberFormat="1">
      <alignment horizontal="center"/>
    </xf>
    <xf borderId="0" fillId="0" fontId="11" numFmtId="0" xfId="0" applyFont="1"/>
    <xf borderId="1" fillId="5" fontId="8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" fillId="5" fontId="1" numFmtId="0" xfId="0" applyBorder="1" applyFont="1"/>
    <xf borderId="1" fillId="5" fontId="11" numFmtId="167" xfId="0" applyAlignment="1" applyBorder="1" applyFont="1" applyNumberFormat="1">
      <alignment horizontal="center"/>
    </xf>
    <xf borderId="1" fillId="5" fontId="3" numFmtId="9" xfId="0" applyAlignment="1" applyBorder="1" applyFont="1" applyNumberFormat="1">
      <alignment horizontal="center"/>
    </xf>
    <xf borderId="17" fillId="5" fontId="8" numFmtId="0" xfId="0" applyAlignment="1" applyBorder="1" applyFont="1">
      <alignment horizontal="right"/>
    </xf>
    <xf borderId="18" fillId="0" fontId="6" numFmtId="0" xfId="0" applyBorder="1" applyFont="1"/>
    <xf borderId="4" fillId="3" fontId="3" numFmtId="0" xfId="0" applyBorder="1" applyFont="1"/>
    <xf borderId="1" fillId="5" fontId="3" numFmtId="0" xfId="0" applyAlignment="1" applyBorder="1" applyFont="1">
      <alignment horizontal="center"/>
    </xf>
    <xf borderId="1" fillId="5" fontId="3" numFmtId="0" xfId="0" applyBorder="1" applyFont="1"/>
    <xf borderId="0" fillId="0" fontId="13" numFmtId="0" xfId="0" applyAlignment="1" applyFont="1">
      <alignment horizontal="center"/>
    </xf>
    <xf borderId="1" fillId="5" fontId="13" numFmtId="0" xfId="0" applyAlignment="1" applyBorder="1" applyFont="1">
      <alignment horizontal="center"/>
    </xf>
    <xf borderId="0" fillId="0" fontId="11" numFmtId="168" xfId="0" applyAlignment="1" applyFont="1" applyNumberFormat="1">
      <alignment horizontal="center"/>
    </xf>
    <xf borderId="1" fillId="5" fontId="11" numFmtId="168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1" fillId="5" fontId="11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3" numFmtId="46" xfId="0" applyFont="1" applyNumberFormat="1"/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17" fillId="3" fontId="3" numFmtId="0" xfId="0" applyAlignment="1" applyBorder="1" applyFont="1">
      <alignment horizontal="center" shrinkToFit="0" vertical="center" wrapText="1"/>
    </xf>
    <xf borderId="19" fillId="0" fontId="6" numFmtId="0" xfId="0" applyBorder="1" applyFont="1"/>
    <xf borderId="20" fillId="0" fontId="6" numFmtId="0" xfId="0" applyBorder="1" applyFont="1"/>
    <xf borderId="4" fillId="0" fontId="3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pivotCacheDefinition" Target="pivotCache/pivotCacheDefinition2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leņķis2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perimetrs!$B$11:$B$18</c:f>
              <c:numCache/>
            </c:numRef>
          </c:val>
          <c:smooth val="0"/>
        </c:ser>
        <c:ser>
          <c:idx val="1"/>
          <c:order val="1"/>
          <c:tx>
            <c:v>leņķis3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perimetrs!$C$11:$C$18</c:f>
              <c:numCache/>
            </c:numRef>
          </c:val>
          <c:smooth val="0"/>
        </c:ser>
        <c:ser>
          <c:idx val="2"/>
          <c:order val="2"/>
          <c:tx>
            <c:v>perimetrs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perimetrs!$E$11:$E$18</c:f>
              <c:numCache/>
            </c:numRef>
          </c:val>
          <c:smooth val="0"/>
        </c:ser>
        <c:axId val="1162422024"/>
        <c:axId val="1098897491"/>
      </c:lineChart>
      <c:catAx>
        <c:axId val="1162422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098897491"/>
      </c:catAx>
      <c:valAx>
        <c:axId val="1098897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16242202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Laukums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leņķis2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laukums!$B$3:$B$10</c:f>
              <c:numCache/>
            </c:numRef>
          </c:val>
        </c:ser>
        <c:ser>
          <c:idx val="1"/>
          <c:order val="1"/>
          <c:tx>
            <c:v>leņķis3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laukums!$C$3:$C$10</c:f>
              <c:numCache/>
            </c:numRef>
          </c:val>
        </c:ser>
        <c:ser>
          <c:idx val="2"/>
          <c:order val="2"/>
          <c:tx>
            <c:v>laukums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laukums!$E$3:$E$10</c:f>
              <c:numCache/>
            </c:numRef>
          </c:val>
        </c:ser>
        <c:axId val="1345854782"/>
        <c:axId val="674064821"/>
      </c:barChart>
      <c:catAx>
        <c:axId val="13458547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4064821"/>
      </c:catAx>
      <c:valAx>
        <c:axId val="6740648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585478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pH!$A$2:$A$11</c:f>
            </c:numRef>
          </c:xVal>
          <c:yVal>
            <c:numRef>
              <c:f>pH!$B$2:$B$11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318146"/>
        <c:axId val="212608655"/>
      </c:scatterChart>
      <c:valAx>
        <c:axId val="13853181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12608655"/>
      </c:valAx>
      <c:valAx>
        <c:axId val="212608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385318146"/>
      </c:valAx>
    </c:plotArea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2</xdr:row>
      <xdr:rowOff>114300</xdr:rowOff>
    </xdr:from>
    <xdr:ext cx="4905375" cy="2743200"/>
    <xdr:graphicFrame>
      <xdr:nvGraphicFramePr>
        <xdr:cNvPr id="13742723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276225</xdr:colOff>
      <xdr:row>1</xdr:row>
      <xdr:rowOff>0</xdr:rowOff>
    </xdr:from>
    <xdr:ext cx="7896225" cy="4648200"/>
    <xdr:graphicFrame>
      <xdr:nvGraphicFramePr>
        <xdr:cNvPr id="165008051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19050</xdr:colOff>
      <xdr:row>4</xdr:row>
      <xdr:rowOff>19050</xdr:rowOff>
    </xdr:from>
    <xdr:ext cx="4905375" cy="2743200"/>
    <xdr:graphicFrame>
      <xdr:nvGraphicFramePr>
        <xdr:cNvPr id="207862815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G1487" sheet="velo"/>
  </cacheSource>
  <cacheFields>
    <cacheField name="Grupa" numFmtId="0">
      <sharedItems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</sharedItems>
    </cacheField>
    <cacheField name="Uzvārds" numFmtId="0">
      <sharedItems>
        <s v="Ābele"/>
        <s v="Ābelīte"/>
        <s v="Ābelīts"/>
        <s v="Ābeļkalns"/>
        <s v="Ābiķis"/>
        <s v="Abiņš"/>
        <s v="Āboliņš"/>
        <s v="Adijāns"/>
        <s v="Agejevs"/>
        <s v="Aizkalns"/>
        <s v="Aizups"/>
        <s v="Akmentiņa"/>
        <s v="Āķis"/>
        <s v="Albāts"/>
        <s v="Alberte"/>
        <s v="Alberts"/>
        <s v="Aleksandrovs"/>
        <s v="Aleksīns"/>
        <s v="Aliks"/>
        <s v="Alksnis"/>
        <s v="Alsiņš"/>
        <s v="Alviķis"/>
        <s v="Aļeksejevs"/>
        <s v="Ambainis"/>
        <s v="Ameters"/>
        <s v="Anderdorfs"/>
        <s v="Andersons"/>
        <s v="Andrejevs"/>
        <s v="Andrijanova"/>
        <s v="Andrijanovs"/>
        <s v="Ansons"/>
        <s v="Anspoka"/>
        <s v="Anspoks"/>
        <s v="Antonovs"/>
        <s v="Antropovs"/>
        <s v="Apsītis"/>
        <s v="Aramina"/>
        <s v="Aramins"/>
        <s v="Arbidāne"/>
        <s v="Arbidāns"/>
        <s v="Arsts"/>
        <s v="Auriņš"/>
        <s v="Ausmanis"/>
        <s v="Avens"/>
        <s v="Avotiņš"/>
        <s v="Baklanova"/>
        <s v="Baklāns"/>
        <s v="Bāliņa"/>
        <s v="Bāliņš"/>
        <s v="Balodis"/>
        <s v="Baltiņš"/>
        <s v="Bamers"/>
        <s v="Banders"/>
        <s v="Baranovskis"/>
        <s v="Bārenis"/>
        <s v="Bāris"/>
        <s v="Barkovskis"/>
        <s v="Barons"/>
        <s v="Bartavskis"/>
        <s v="Bartusauskis"/>
        <s v="Bartuševičs"/>
        <s v="Barzdevičs"/>
        <s v="Batraga"/>
        <s v="Batrags"/>
        <s v="Baumanis"/>
        <s v="Bazevičs"/>
        <s v="Bebrovskis"/>
        <s v="Bēcis"/>
        <s v="Beika"/>
        <s v="Beitāns"/>
        <s v="Bekmanis"/>
        <s v="Beķeris"/>
        <s v="Beķis"/>
        <s v="Belmanis"/>
        <s v="Belozerovs"/>
        <s v="Bemere"/>
        <s v="Benefelds"/>
        <s v="Benhens"/>
        <s v="Berga"/>
        <s v="Bergmanis"/>
        <s v="Bergs"/>
        <s v="Berhards"/>
        <s v="Berjoza"/>
        <s v="Berkmanis"/>
        <s v="Berķe"/>
        <s v="Berķis"/>
        <s v="Bernāne"/>
        <s v="Bernāns"/>
        <s v="Berners"/>
        <s v="Bernharde"/>
        <s v="Bernhards"/>
        <s v="Bērsons"/>
        <s v="Bērziņa"/>
        <s v="Bērziņš"/>
        <s v="Bethens"/>
        <s v="Bidiņa"/>
        <s v="Bidiņš"/>
        <s v="Bīlāns"/>
        <s v="Bilzēns"/>
        <s v="Biraus"/>
        <s v="Birkants"/>
        <s v="Birkentāla"/>
        <s v="Birkentāls"/>
        <s v="Birks"/>
        <s v="Birža"/>
        <s v="Bisenieks"/>
        <s v="Bitītis"/>
        <s v="Bjalkoskis"/>
        <s v="Blūma"/>
        <s v="Blumbergs"/>
        <s v="Blūms"/>
        <s v="Bļinovs"/>
        <s v="Bļodnieks"/>
        <s v="Bļusis"/>
        <s v="Bodnieks"/>
        <s v="Boganova"/>
        <s v="Bogdanovičs"/>
        <s v="Bogdanovs"/>
        <s v="Boldāns"/>
        <s v="Bomiks"/>
        <s v="Bondars"/>
        <s v="Borisovs"/>
        <s v="Boša"/>
        <s v="Bošs"/>
        <s v="Bowen"/>
        <s v="Brālis"/>
        <s v="Branmbergs"/>
        <s v="Brence"/>
        <s v="Bricis"/>
        <s v="Briede"/>
        <s v="Briedis"/>
        <s v="Briedīts"/>
        <s v="Broka"/>
        <s v="Broks"/>
        <s v="Brūvele"/>
        <s v="Brūvelis"/>
        <s v="Bružis"/>
        <s v="Builis"/>
        <s v="Buivids"/>
        <s v="Bukavs"/>
        <s v="Bukins"/>
        <s v="Bukovskis"/>
        <s v="Buks"/>
        <s v="Buķis"/>
        <s v="Buliga"/>
        <s v="Bumbulis"/>
        <s v="Bundze"/>
        <s v="Bundzenieks"/>
        <s v="Bunga Loce"/>
        <s v="Bungše"/>
        <s v="Būris"/>
        <s v="Burka       "/>
        <s v="Burkevičs"/>
        <s v="Butauts"/>
        <s v="Caune"/>
        <s v="Caune-Morzik"/>
        <s v="Celms"/>
        <s v="Ceplīte"/>
        <s v="Cepurītis"/>
        <s v="Cera"/>
        <s v="Cers"/>
        <s v="Ciaguns"/>
        <s v="Cikmačs"/>
        <s v="Cimdiņš"/>
        <s v="Cimermanis"/>
        <s v="Cīmurs"/>
        <s v="Cipe"/>
        <s v="Cipulis"/>
        <s v="Circāns"/>
        <s v="Circene"/>
        <s v="Cīrule"/>
        <s v="Cīrulis"/>
        <s v="Cirvelis"/>
        <s v="Citskovskis"/>
        <s v="Čavars"/>
        <s v="Čeksteris"/>
        <s v="Čeksters"/>
        <s v="Čerņavska"/>
        <s v="Čiekure"/>
        <s v="Čiekurs"/>
        <s v="Čigurs"/>
        <s v="Čipots"/>
        <s v="Čiževskis"/>
        <s v="Čūdere"/>
        <s v="Čukure"/>
        <s v="Čukurs"/>
        <s v="Čuņčule"/>
        <s v="Dābola"/>
        <s v="Daģis"/>
        <s v="Dainis"/>
        <s v="Dakteris"/>
        <s v="Daktiņš"/>
        <s v="Dalderis"/>
        <s v="Dambekalns"/>
        <s v="Dambeniece"/>
        <s v="Dambenieks"/>
        <s v="Dambinieks"/>
        <s v="Daniļina"/>
        <s v="Dannebergs"/>
        <s v="Daņiļeviča"/>
        <s v="Dasko"/>
        <s v="Daugaviņš"/>
        <s v="Daugule"/>
        <s v="Dauksts"/>
        <s v="Deičmane"/>
        <s v="Deičmanis"/>
        <s v="Deksnis"/>
        <s v="Delle"/>
        <s v="Deniņa"/>
        <s v="Dergača"/>
        <s v="Derrings"/>
        <s v="Detlavs"/>
        <s v="Dievkociņš"/>
        <s v="Dillon"/>
        <s v="Dimza"/>
        <s v="Dmitrijevs"/>
        <s v="Dombrovska"/>
        <s v="Dombrovskis"/>
        <s v="Donalds"/>
        <s v="Dorošs"/>
        <s v="Dragels"/>
        <s v="Draugs"/>
        <s v="Dravants"/>
        <s v="Dravnieks"/>
        <s v="Droškina"/>
        <s v="Drozdovs"/>
        <s v="Dundure"/>
        <s v="Dzalbs"/>
        <s v="Dzirnieks"/>
        <s v="Dzirvinskis"/>
        <s v="Dzīvītis"/>
        <s v="Eglīte"/>
        <s v="Eglītis"/>
        <s v="Eiduka"/>
        <s v="Eiduks"/>
        <s v="Eislers"/>
        <s v="Eliass"/>
        <s v="Elksnīts"/>
        <s v="Elsons"/>
        <s v="Empelis"/>
        <s v="Ennītis"/>
        <s v="Erdmane"/>
        <s v="Ērglis"/>
        <s v="Eriņš"/>
        <s v="Ērmanis"/>
        <s v="Ermansons"/>
        <s v="Ermiņš"/>
        <s v="Fedosjonoks"/>
        <s v="Fedotovs"/>
        <s v="Fels"/>
        <s v="Felsa"/>
        <s v="Filipsons"/>
        <s v="Finartija"/>
        <s v="Finartijs"/>
        <s v="Flaksis"/>
        <s v="Fogelis"/>
        <s v="Fogels"/>
        <s v="Fomina"/>
        <s v="Fomins"/>
        <s v="Freda"/>
        <s v="Frejs"/>
        <s v="Frīdenbergs"/>
        <s v="Fridrihsons"/>
        <s v="Frišfelds"/>
        <s v="Fūrmane"/>
        <s v="Fūrmanis"/>
        <s v="Gabrāne"/>
        <s v="Gagainis"/>
        <s v="Gailis"/>
        <s v="Gailītis"/>
        <s v="Gailums"/>
        <s v="Galejs"/>
        <s v="Galinauskas"/>
        <s v="Gaļinovskis"/>
        <s v="Garenčiks"/>
        <s v="Garkalns"/>
        <s v="Gasūna"/>
        <s v="Gatere"/>
        <s v="Gauja"/>
        <s v="Gavare"/>
        <s v="Gavars"/>
        <s v="Gāze"/>
        <s v="Gedrovica"/>
        <s v="Gedrovics"/>
        <s v="Geduša"/>
        <s v="Gedušs"/>
        <s v="Geraskins"/>
        <s v="Gerīnbergs"/>
        <s v="Gerliņš"/>
        <s v="Geta"/>
        <s v="Gibze"/>
        <s v="Gilucis"/>
        <s v="Gintere"/>
        <s v="Goba"/>
        <s v="Goģis"/>
        <s v="Goldbergs"/>
        <s v="Goncaronoks"/>
        <s v="Gončars"/>
        <s v="Gorodeckis"/>
        <s v="Gotfridsons"/>
        <s v="Gradkovskis"/>
        <s v="Grams"/>
        <s v="Gransberga"/>
        <s v="Grass"/>
        <s v="Grebežnieks"/>
        <s v="Greckis"/>
        <s v="Grigalinovič"/>
        <s v="Grigorjevs"/>
        <s v="Grīgs"/>
        <s v="Grikke"/>
        <s v="Griķe"/>
        <s v="Griķis"/>
        <s v="Grinbergs"/>
        <s v="Grīnbergs"/>
        <s v="Grīnhofs"/>
        <s v="Grīnmane"/>
        <s v="Grods"/>
        <s v="Grundule"/>
        <s v="Grundulis"/>
        <s v="Gruziņš"/>
        <s v="Gulbe"/>
        <s v="Gulbergs"/>
        <s v="Gulbis"/>
        <s v="Guļevskis"/>
        <s v="Guņkovs"/>
        <s v="Gurtiņa"/>
        <s v="Guščins"/>
        <s v="Gūtmane"/>
        <s v="Gvido Zvaigz"/>
        <s v="Ģērmanis"/>
        <s v="Ģēvelis"/>
        <s v="Ģinis"/>
        <s v="Haritesku"/>
        <s v="Hartmanis"/>
        <s v="Hāze"/>
        <s v="Heimrāts"/>
        <s v="Heinols"/>
        <s v="Helmane"/>
        <s v="Hertmane"/>
        <s v="Holma"/>
        <s v="Holšteins"/>
        <s v="Iekļavs"/>
        <s v="Ieviņš"/>
        <s v="Iklāvs"/>
        <s v="Īle"/>
        <s v="Ilmeļņickis"/>
        <s v="Iļjenko"/>
        <s v="Iļķēns"/>
        <s v="Imune"/>
        <s v="Ince"/>
        <s v="Indrāns"/>
        <s v="Inka"/>
        <s v="Irklis"/>
        <s v="Istjagina"/>
        <s v="Istjagins"/>
        <s v="Ivanovs"/>
        <s v="Ivanovska"/>
        <s v="Jākabsons"/>
        <s v="Jakovels"/>
        <s v="Jakovļeva"/>
        <s v="Jakovļevs"/>
        <s v="Jakubovska"/>
        <s v="Jakubovskis"/>
        <s v="Jankova"/>
        <s v="Jankovs"/>
        <s v="Jankovskis"/>
        <s v="Janova"/>
        <s v="Janoviča"/>
        <s v="Jansone"/>
        <s v="Jansons"/>
        <s v="Jantone"/>
        <s v="Jasinkeviča"/>
        <s v="Jasinkēviča"/>
        <s v="Jasinkevičs"/>
        <s v="Jaunītis"/>
        <s v="Jauntēvs"/>
        <s v="Jaunzeme"/>
        <s v="Jēgers"/>
        <s v="Jegorenko"/>
        <s v="Jēkabsone"/>
        <s v="Jēkabsons"/>
        <s v="Jekševics"/>
        <s v="Jelisejevs"/>
        <s v="Jerjomenko"/>
        <s v="Jevsevjevs"/>
        <s v="Jonaitis"/>
        <s v="Jonass"/>
        <s v="Jonāts"/>
        <s v="Joņkus"/>
        <s v="Jurgels"/>
        <s v="Jurģelis"/>
        <s v="Jurisons"/>
        <s v="Jurševska"/>
        <s v="Jurševskis"/>
        <s v="Kairišs"/>
        <s v="Kalašņikovs"/>
        <s v="Kalējs"/>
        <s v="Kaliksone"/>
        <s v="Kaliksons"/>
        <s v="Kalinka"/>
        <s v="Kālis"/>
        <s v="Kalniņa"/>
        <s v="Kalniņš"/>
        <s v="Kalnups"/>
        <s v="Kalve"/>
        <s v="Kalverša"/>
        <s v="Kalveršs"/>
        <s v="Kalvišķis"/>
        <s v="Kampuse"/>
        <s v="Kampuss"/>
        <s v="Kanaviņš"/>
        <s v="Kandelis"/>
        <s v="Kapitonovs"/>
        <s v="Kārkliņš"/>
        <s v="Karpinskis"/>
        <s v="Kāršenieks"/>
        <s v="Kāršniece"/>
        <s v="Kasparsons"/>
        <s v="Kaupe"/>
        <s v="Kazainis"/>
        <s v="Každaļevič"/>
        <s v="Keiša"/>
        <s v="Kikusts"/>
        <s v="Kipurs"/>
        <s v="Klefelde"/>
        <s v="Kleinberga"/>
        <s v="Kleinbergs"/>
        <s v="Klepers"/>
        <s v="Klēvers"/>
        <s v="Klucis"/>
        <s v="Kļaviņš"/>
        <s v="Kļavnieks"/>
        <s v="Kļukins"/>
        <s v="Knēža"/>
        <s v="Knope"/>
        <s v="Kokare"/>
        <s v="Kokars"/>
        <s v="Kokts"/>
        <s v="Kolovza"/>
        <s v="Koļagins"/>
        <s v="Komovs"/>
        <s v="Kondrāds"/>
        <s v="Kondratjevs"/>
        <s v="Kononovič"/>
        <s v="Kononovs"/>
        <s v="Konrāde"/>
        <s v="Konunovs"/>
        <s v="Korņējeva"/>
        <s v="Korņējevs"/>
        <s v="Korņilovs"/>
        <s v="Korotkovs"/>
        <s v="Kosarevs"/>
        <s v="Kovalevska"/>
        <s v="Kovals"/>
        <s v="Kovaļenko"/>
        <s v="Kovšele"/>
        <s v="Kovtuņenko"/>
        <s v="Krama"/>
        <s v="Krams"/>
        <s v="Krasta"/>
        <s v="Krastiņš"/>
        <s v="Krasts"/>
        <s v="Krauja"/>
        <s v="Kraukle"/>
        <s v="Kravale"/>
        <s v="Kravalis"/>
        <s v="Kreicbergs"/>
        <s v="Kreiss"/>
        <s v="Krēsliņš"/>
        <s v="Krievāne"/>
        <s v="Krievkalns"/>
        <s v="Krievs"/>
        <s v="Kristovskis"/>
        <s v="Krogzeme"/>
        <s v="Krogzems"/>
        <s v="Krūklīte"/>
        <s v="Krūklītis"/>
        <s v="Krūmiņa"/>
        <s v="Krūmiņliepa"/>
        <s v="Krūmiņš"/>
        <s v="Krustiņš"/>
        <s v="Kublačovs"/>
        <s v="Kubliņš"/>
        <s v="Kudrašs"/>
        <s v="Kukaine"/>
        <s v="Kulago"/>
        <s v="Kulpe"/>
        <s v="Kupča"/>
        <s v="Kupčs"/>
        <s v="Kuplis"/>
        <s v="Kuprišs"/>
        <s v="Kurmeļjevs"/>
        <s v="Kursiša"/>
        <s v="Kursītis"/>
        <s v="Kusiņa"/>
        <s v="Kusiņš"/>
        <s v="Kušķe"/>
        <s v="Kvašņova"/>
        <s v="Ķemme"/>
        <s v="Ķerpe"/>
        <s v="Ķiece"/>
        <s v="Ķiecis"/>
        <s v="Ķiepe"/>
        <s v="Ķikuts"/>
        <s v="Ķipurs"/>
        <s v="Ķirsons"/>
        <s v="Ķīse"/>
        <s v="Ķude"/>
        <s v="Labeckis"/>
        <s v="Lāce"/>
        <s v="Lācis"/>
        <s v="Lagzdiņš"/>
        <s v="Laiva"/>
        <s v="Lamberts"/>
        <s v="Lanceniece"/>
        <s v="Lange"/>
        <s v="Lapiņš"/>
        <s v="Lapsa"/>
        <s v="Lāriņš"/>
        <s v="Lasks"/>
        <s v="Lauriks m"/>
        <s v="Lavišs"/>
        <s v="Lavrinovičs"/>
        <s v="Lazdāne"/>
        <s v="Lazdāns"/>
        <s v="Lazdiņš"/>
        <s v="Lebedevs"/>
        <s v="Lediņš"/>
        <s v="Leiboma"/>
        <s v="Leilande"/>
        <s v="Leimanis"/>
        <s v="Leitāne"/>
        <s v="Lejiņš"/>
        <s v="Lejnieks"/>
        <s v="Lepers"/>
        <s v="Lepse"/>
        <s v="Letapure"/>
        <s v="Levš"/>
        <s v="Lezdiņš"/>
        <s v="Līce"/>
        <s v="Līcis"/>
        <s v="Līduma"/>
        <s v="Lielgalvis"/>
        <s v="Lielpēteris"/>
        <s v="Liepa"/>
        <s v="Liepiņa"/>
        <s v="Liepiņš"/>
        <s v="Līkuma"/>
        <s v="Linde"/>
        <s v="Locis"/>
        <s v="Logina"/>
        <s v="Logins"/>
        <s v="Loks"/>
        <s v="Lopatko"/>
        <s v="Lubāns"/>
        <s v="Lukjanovs"/>
        <s v="Lurgins"/>
        <s v="Lūse"/>
        <s v="Lūsis"/>
        <s v="Ļeonovs"/>
        <s v="Ļevša"/>
        <s v="Ļubickij"/>
        <s v="Magaziņš"/>
        <s v="Magone"/>
        <s v="Majors"/>
        <s v="Maķeļenoks"/>
        <s v="Maķevics"/>
        <s v="Maldere"/>
        <s v="Malderis"/>
        <s v="Mālniece"/>
        <s v="Mālnieks"/>
        <s v="Mantiņa"/>
        <s v="Mantiņš"/>
        <s v="Marais"/>
        <s v="Marčenkovs"/>
        <s v="Markitāns"/>
        <s v="Markss"/>
        <s v="Martinsons"/>
        <s v="Matvejs"/>
        <s v="Maurāns"/>
        <s v="Mazurs"/>
        <s v="Mednis"/>
        <s v="Medvēģevs"/>
        <s v="Meldrāja"/>
        <s v="Meldrājs"/>
        <s v="Melgalvis"/>
        <s v="Meļņikovs"/>
        <s v="Meņģelis"/>
        <s v="Midegs"/>
        <s v="Mierkalns"/>
        <s v="Miezītis"/>
        <s v="Miglāns"/>
        <s v="Mihailovs"/>
        <s v="Mihalovskis"/>
        <s v="Mikāne"/>
        <s v="Miķelsnons"/>
        <s v="Miķelsone"/>
        <s v="Miķelsons"/>
        <s v="Milovānovs"/>
        <s v="Miļūna"/>
        <s v="Misūne"/>
        <s v="Misūns"/>
        <s v="Mitans"/>
        <s v="Morzika"/>
        <s v="Morziks"/>
        <s v="Mosins"/>
        <s v="Mošenkovs"/>
        <s v="Mozga"/>
        <s v="Mozulis"/>
        <s v="Mucenieks"/>
        <s v="Muižarājs"/>
        <s v="Muižnieks"/>
        <s v="Murāne"/>
        <s v="Murāns"/>
        <s v="Muravjovs"/>
        <s v="Mūrmanis"/>
        <s v="Mūrnieks"/>
        <s v="Murovska"/>
        <s v="Murovskis"/>
        <s v="Narnicka"/>
        <s v="Narnickis"/>
        <s v="Nātra"/>
        <s v="Naumovs"/>
        <s v="Nāzers"/>
        <s v="Neimanis"/>
        <s v="Nēliusa"/>
        <s v="Nelsons"/>
        <s v="Nemenjonoka"/>
        <s v="Nemenjonoks"/>
        <s v="Nemiro"/>
        <s v="Nerugals"/>
        <s v="Nete"/>
        <s v="Niedols"/>
        <s v="Niedra"/>
        <s v="Nikolajenko"/>
        <s v="Nikolajevs"/>
        <s v="Nikoluškins"/>
        <s v="Nikoņenko"/>
        <s v="Nītiņš"/>
        <s v="Nodievs"/>
        <s v="Norberts"/>
        <s v="Noreika"/>
        <s v="Noreiks"/>
        <s v="Noriņa"/>
        <s v="Ņikrasova"/>
        <s v="Odziņa"/>
        <s v="Olders"/>
        <s v="Opmanis"/>
        <s v="Orniņš"/>
        <s v="Osaulenko"/>
        <s v="Osītis"/>
        <s v="Ošenieks"/>
        <s v="Ošiņa"/>
        <s v="Ošs"/>
        <s v="Ozers"/>
        <s v="Ozola"/>
        <s v="Ozoliņa"/>
        <s v="Ozoliņš"/>
        <s v="Ozols"/>
        <s v="Paegle"/>
        <s v="Paeglis"/>
        <s v="Paije"/>
        <s v="Pakulis"/>
        <s v="Panders"/>
        <s v="Parings"/>
        <s v="Pastors"/>
        <s v="Paškovska"/>
        <s v="Pauliņš"/>
        <s v="Paulis"/>
        <s v="Pavārs"/>
        <s v="Pāvuls"/>
        <s v="Pelcberga"/>
        <s v="Pelcbergs"/>
        <s v="Pelšs"/>
        <s v="Pētermane"/>
        <s v="Pētersone"/>
        <s v="Pētersons"/>
        <s v="Petrovs"/>
        <s v="Pikšēns"/>
        <s v="Piļipaviča"/>
        <s v="Pīmanis"/>
        <s v="Pipare"/>
        <s v="Pipars"/>
        <s v="Piziks"/>
        <s v="Platacis"/>
        <s v="Plezers"/>
        <s v="Plūme"/>
        <s v="Pļaviņa"/>
        <s v="Pļaviņš"/>
        <s v="Podiņš"/>
        <s v="Podlubnijjs"/>
        <s v="Podnieks"/>
        <s v="Podziņš"/>
        <s v="Pogodins"/>
        <s v="Poišs"/>
        <s v="Pole"/>
        <s v="Polis"/>
        <s v="Poļakovskis"/>
        <s v="Pomarņevskis"/>
        <s v="Pommers"/>
        <s v="Porejs"/>
        <s v="Porietis"/>
        <s v="Pors"/>
        <s v="Portnajs"/>
        <s v="Pošeika"/>
        <s v="Poška"/>
        <s v="Prauliņš"/>
        <s v="Preimanis"/>
        <s v="Priede"/>
        <s v="Priedēns"/>
        <s v="Priedītis"/>
        <s v="Priedniece"/>
        <s v="Priednieks"/>
        <s v="Prikulis"/>
        <s v="Prīsis"/>
        <s v="Prižavoits"/>
        <s v="Priževoits"/>
        <s v="Prokofjevs"/>
        <s v="Proņičeva"/>
        <s v="Pūce"/>
        <s v="Pugovičs"/>
        <s v="Puikāns"/>
        <s v="Pujats"/>
        <s v="Pūliņš"/>
        <s v="Pumpurs"/>
        <s v="Punculis"/>
        <s v="Pundurs"/>
        <s v="Puriņš"/>
        <s v="Purmalis"/>
        <s v="Purviņš"/>
        <s v="Putāne"/>
        <s v="Puzaks"/>
        <s v="Rabša"/>
        <s v="Račis"/>
        <s v="Radionova"/>
        <s v="Radziņa"/>
        <s v="Raituma"/>
        <s v="Raitums"/>
        <s v="Rancāne"/>
        <s v="Rancāns"/>
        <s v="Ranis"/>
        <s v="Rapa"/>
        <s v="Rasiņš"/>
        <s v="Rasmane"/>
        <s v="Rasmanis"/>
        <s v="Ratiniks"/>
        <s v="Rautenbergs"/>
        <s v="Regža"/>
        <s v="Reigass"/>
        <s v="Reimanis"/>
        <s v="Reimats"/>
        <s v="Reinolds"/>
        <s v="Reiss"/>
        <s v="Reiters"/>
        <s v="Rēns"/>
        <s v="Reņķis"/>
        <s v="Repiševskis"/>
        <s v="Riekstiņš"/>
        <s v="Riks"/>
        <s v="Rikša"/>
        <s v="Rinkus"/>
        <s v="Roģis"/>
        <s v="Rohtlo"/>
        <s v="Roķis"/>
        <s v="Romanovska"/>
        <s v="Romanovskis"/>
        <s v="Romenkova"/>
        <s v="Ronis"/>
        <s v="Rozebkova"/>
        <s v="Rozenberga"/>
        <s v="Rozenbrergs"/>
        <s v="Rozenfelds"/>
        <s v="Rozenšteins"/>
        <s v="Rozīte"/>
        <s v="Rozītis"/>
        <s v="Roznieks"/>
        <s v="Rubenis"/>
        <s v="Rubiks"/>
        <s v="Ručevska"/>
        <s v="Rudi"/>
        <s v="Rudzītis"/>
        <s v="Rulle"/>
        <s v="Rullis"/>
        <s v="Rumaka"/>
        <s v="Rūmniece"/>
        <s v="Rūmnieks"/>
        <s v="Ruska"/>
        <s v="Rutkis"/>
        <s v="Rutulis"/>
        <s v="Sabulis"/>
        <s v="Salenieks"/>
        <s v="Salijevs"/>
        <s v="Salmiņš"/>
        <s v="Sanders"/>
        <s v="Sarkans"/>
        <s v="Sarma"/>
        <s v="Saule"/>
        <s v="Saušs"/>
        <s v="Saveļjevs"/>
        <s v="Savickis"/>
        <s v="Sedlenieks"/>
        <s v="Segrums"/>
        <s v="Seilis"/>
        <s v="Seipulis"/>
        <s v="Selga"/>
        <s v="Seļava"/>
        <s v="Serdants"/>
        <s v="Serovs"/>
        <s v="Silakalns"/>
        <s v="Siliņa"/>
        <s v="Siliņš"/>
        <s v="Sīlis"/>
        <s v="Silkalna"/>
        <s v="Sils"/>
        <s v="Siminaitis"/>
        <s v="Sinka"/>
        <s v="Sinkevičs"/>
        <s v="Sirgeda"/>
        <s v="Sirmais"/>
        <s v="Sirodans"/>
        <s v="Skadiņš"/>
        <s v="Skadulis"/>
        <s v="Skrastiņš"/>
        <s v="Skrebels"/>
        <s v="Skridulis"/>
        <s v="Skripijs"/>
        <s v="Skrodelis"/>
        <s v="Skudra"/>
        <s v="Skuja"/>
        <s v="Skujiņa"/>
        <s v="Skujiņš"/>
        <s v="Skutelis"/>
        <s v="Slēži"/>
        <s v="Slišāns"/>
        <s v="Slivjančuks"/>
        <s v="Sloka"/>
        <s v="Smildziņš"/>
        <s v="Smirnovs"/>
        <s v="Smoļins"/>
        <s v="Smukulis"/>
        <s v="Sniedze"/>
        <s v="Sniķere"/>
        <s v="Sniķeris"/>
        <s v="Sokolovskis"/>
        <s v="Solnceva"/>
        <s v="Sondors"/>
        <s v="Sorokins"/>
        <s v="Soste"/>
        <s v="Spalviņš"/>
        <s v="Spigovskis"/>
        <s v="Splīte"/>
        <s v="Spoģis"/>
        <s v="Spriesle"/>
        <s v="Sprūds"/>
        <s v="Sprukule"/>
        <s v="Sprukulis"/>
        <s v="Spūlis"/>
        <s v="Spulle"/>
        <s v="Stabulnieks"/>
        <s v="Stalis"/>
        <s v="Starotonenko"/>
        <s v="Staškēvics"/>
        <s v="Stašulis"/>
        <s v="Stelps"/>
        <s v="Stepens"/>
        <s v="Stephens"/>
        <s v="Stepka"/>
        <s v="Stīpiņa"/>
        <s v="Stonis"/>
        <s v="Stračinska"/>
        <s v="Stračinskis"/>
        <s v="Strads"/>
        <s v="Strakša"/>
        <s v="Strakšas"/>
        <s v="Strangats"/>
        <s v="Straume"/>
        <s v="Straupe"/>
        <s v="Strauss"/>
        <s v="Strazdiņa"/>
        <s v="Strazdiņš"/>
        <s v="Strēle"/>
        <s v="Strēlnieks"/>
        <s v="Strupis"/>
        <s v="Studāns"/>
        <s v="Stukuls"/>
        <s v="Stupins"/>
        <s v="Stūrmanis"/>
        <s v="Suharevs"/>
        <s v="Sūna"/>
        <s v="Sundukova"/>
        <s v="Supe"/>
        <s v="Surgunts"/>
        <s v="Suvorovs"/>
        <s v="Sviščš"/>
        <s v="Šāblis"/>
        <s v="Šalts"/>
        <s v="Šapiro"/>
        <s v="Šarākovs"/>
        <s v="Šarova"/>
        <s v="Šāvēja"/>
        <s v="Šāvējs"/>
        <s v="Šelušenkovs"/>
        <s v="Ševčenko"/>
        <s v="Šica"/>
        <s v="Šīmane"/>
        <s v="Šinka"/>
        <s v="Škapars"/>
        <s v="Škņarovs"/>
        <s v="Šķeperis"/>
        <s v="Šķēps"/>
        <s v="Šķobe"/>
        <s v="Šmerliņš"/>
        <s v="Šmits"/>
        <s v="Štāls"/>
        <s v="Šteinberga"/>
        <s v="Šteinbergs"/>
        <s v="Šterns"/>
        <s v="Štrāls"/>
        <s v="Štrauhmanis"/>
        <s v="Šuksts"/>
        <s v="Šulce-Grante"/>
        <s v="Šulckis"/>
        <s v="Šulcs"/>
        <s v="Šulmanis"/>
        <s v="Šūlmeistars"/>
        <s v="Šuvarkova"/>
        <s v="Tabors"/>
        <s v="Talcis"/>
        <s v="Tamanis"/>
        <s v="Tarans"/>
        <s v="Tarāsova"/>
        <s v="Tarasovs"/>
        <s v="Taupmane"/>
        <s v="Tauriņš"/>
        <s v="Teibe"/>
        <s v="Teirlynck"/>
        <s v="Temnovs"/>
        <s v="Terinks"/>
        <s v="Teteris"/>
        <s v="Tihonovs"/>
        <s v="Tīlišķis"/>
        <s v="Timofejevs"/>
        <s v="Tīruma"/>
        <s v="Tjarve"/>
        <s v="Tola"/>
        <s v="Tols"/>
        <s v="Tomsons"/>
        <s v="Tomševics"/>
        <s v="Toomingas"/>
        <s v="Traniņa"/>
        <s v="Trautmane"/>
        <s v="Trautmanis"/>
        <s v="Treimane"/>
        <s v="Trifānovs"/>
        <s v="Trofimovs"/>
        <s v="Trojonovs"/>
        <s v="Trops"/>
        <s v="Trubicino"/>
        <s v="Turauskis"/>
        <s v="Ūdris"/>
        <s v="Ukins"/>
        <s v="Ulmis"/>
        <s v="Ulpe"/>
        <s v="Upe"/>
        <s v="Upīte-Upenie"/>
        <s v="Upītis-Upeni"/>
        <s v="Upmalis"/>
        <s v="Urbāns"/>
        <s v="Ustinovičs"/>
        <s v="Ustinovs"/>
        <s v="Uzija"/>
        <s v="Uzkalns"/>
        <s v="Uzulis"/>
        <s v="Užāns"/>
        <s v="Vabole"/>
        <s v="Vaikulis"/>
        <s v="Vaipans"/>
        <s v="Vaitekūns"/>
        <s v="Vaivare"/>
        <s v="Vaivars"/>
        <s v="Valpēteris"/>
        <s v="Vanags"/>
        <s v="Vasiļevskis"/>
        <s v="Vasins"/>
        <s v="Vasks"/>
        <s v="Vāvere"/>
        <s v="Vazdiķis"/>
        <s v="Vecenans"/>
        <s v="Vectirāns"/>
        <s v="Vegnere"/>
        <s v="Vēģelis"/>
        <s v="Veide"/>
        <s v="Veidemanis"/>
        <s v="Veinbergs"/>
        <s v="Veismanis"/>
        <s v="Vējiņš"/>
        <s v="Veličko"/>
        <s v="Velke"/>
        <s v="Verdens"/>
        <s v="Vertuls"/>
        <s v="Vesers"/>
        <s v="Vidžups"/>
        <s v="Vīksna"/>
        <s v="Vīksne"/>
        <s v="Vikštrems"/>
        <s v="Vilāns"/>
        <s v="Viļimas"/>
        <s v="Viļķis"/>
        <s v="Viļumovs"/>
        <s v="Vimba"/>
        <s v="Vingris"/>
        <s v="Virsnīte"/>
        <s v="Virza"/>
        <s v="Visnola"/>
        <s v="Visockis"/>
        <s v="Viškers"/>
        <s v="Vīte"/>
        <s v="Vitenburgs"/>
        <s v="Vītola"/>
        <s v="Vītoliņa"/>
        <s v="Vītoliņš"/>
        <s v="Vītols"/>
        <s v="Vlasova"/>
        <s v="Voicehoviča"/>
        <s v="Voika"/>
        <s v="Voitkāne"/>
        <s v="Volkova"/>
        <s v="Volkovičs"/>
        <s v="Volkovs"/>
        <s v="Volodko"/>
        <s v="Vosekalns"/>
        <s v="Vronskis"/>
        <s v="Yakovlev"/>
        <s v="Zagorska"/>
        <s v="Zagorskis"/>
        <s v="Zaķis"/>
        <s v="Zalcmane"/>
        <s v="Zalcmanis"/>
        <s v="Zālītis"/>
        <s v="Zandovskis"/>
        <s v="Zariņa"/>
        <s v="Zariņš"/>
        <s v="Zavicka"/>
        <s v="Zavickis"/>
        <s v="Zbitņevs"/>
        <s v="Zdanovskis"/>
        <s v="Zeics"/>
        <s v="Zeiza"/>
        <s v="Zelča"/>
        <s v="Zelčs"/>
        <s v="Zeļonka"/>
        <s v="Zembergs"/>
        <s v="Zemitis"/>
        <s v="Zemītis"/>
        <s v="Zeņģis"/>
        <s v="Zeps"/>
        <s v="Ziders"/>
        <s v="Ziediņš"/>
        <s v="Ziemelis"/>
        <s v="Zikmanis"/>
        <s v="Zilis"/>
        <s v="Zīverts"/>
        <s v="Zlotņikovs"/>
        <s v="Znotiņš"/>
        <s v="Zorģe       "/>
        <s v="Zvagūze"/>
        <s v="Zvaneris"/>
        <s v="Zvīdriņš"/>
        <s v="Zviedris"/>
        <s v="Zvingulis"/>
        <s v="Zvirbule"/>
        <s v="Zvirbulis"/>
        <s v="Zvirgzdiņš"/>
        <s v="Zvjatkova"/>
        <s v="Žagata"/>
        <s v="Žebere"/>
        <s v="Žebers"/>
        <s v="Žīgurs"/>
        <s v="Žihars"/>
        <s v="Žižkuns"/>
        <s v="Žuburs"/>
        <s v="Žunda"/>
        <s v="Žunna"/>
        <s v="Žurovs"/>
      </sharedItems>
    </cacheField>
    <cacheField name="Vārds" numFmtId="0">
      <sharedItems>
        <s v="Ieva"/>
        <s v="Renārs"/>
        <s v="Sandis"/>
        <s v="Valdis"/>
        <s v="Ilvis"/>
        <s v="Dzintars"/>
        <s v="Juris"/>
        <s v="Gatis"/>
        <s v="Āris"/>
        <s v="Edgars"/>
        <s v="Aleksandrs"/>
        <s v="Matīss"/>
        <s v="Olita"/>
        <s v="Mārcis"/>
        <s v="Normunds"/>
        <s v="Andris"/>
        <s v="Laura"/>
        <s v="Mikus"/>
        <s v="Helmuts"/>
        <s v="Jānis"/>
        <s v="Lauris"/>
        <s v="Madara"/>
        <s v="Māris"/>
        <s v="Viesturs"/>
        <s v="Reinis"/>
        <s v="Modris"/>
        <s v="Pauls"/>
        <s v="Leonīds"/>
        <s v="Aigars"/>
        <s v="Armands"/>
        <s v="Janeks"/>
        <s v="Arvils"/>
        <s v="Ilmārs"/>
        <s v="Andrejs"/>
        <s v="Indra"/>
        <s v="Artūrs"/>
        <s v="Ilze"/>
        <s v="Peteris"/>
        <s v="Agnese"/>
        <s v="Uldis"/>
        <s v="Artis"/>
        <s v="Kristīne"/>
        <s v="Sandris"/>
        <s v="Līga"/>
        <s v="Kaspars"/>
        <s v="Balodis"/>
        <s v="Ainārs"/>
        <s v="Vilnis"/>
        <s v="Visvaldis"/>
        <s v="Kārlis"/>
        <s v="Didzis"/>
        <s v="Guntars"/>
        <s v="Mārtiņš"/>
        <s v="Janis"/>
        <s v="Raivis"/>
        <s v="Rihards"/>
        <s v="Mečeslavs"/>
        <s v="Irēna"/>
        <s v="Dāvis"/>
        <s v="Hardijs"/>
        <s v="Viktors"/>
        <s v="Ģirts"/>
        <s v="Normuds"/>
        <s v="Niks"/>
        <s v="Indulis"/>
        <s v="Guntis"/>
        <s v="Pēteris"/>
        <s v="Gints"/>
        <s v="Oļģerts"/>
        <s v="Anatolijs"/>
        <s v="Rūta"/>
        <s v="Ernests"/>
        <s v="Evita"/>
        <s v="Uno"/>
        <s v="Toms"/>
        <s v="Kristiāns"/>
        <s v="Ojārs"/>
        <s v="Ingūna"/>
        <s v="Kristaps"/>
        <s v="Kristīna"/>
        <s v="Herta"/>
        <s v="Miķelis"/>
        <s v="Uģis"/>
        <s v="Edvīns"/>
        <s v="Beāte"/>
        <s v="Lauma"/>
        <s v="Sarma"/>
        <s v="Dace"/>
        <s v="Aivars"/>
        <s v="Jēkabs"/>
        <s v="Aldis"/>
        <s v="Imants"/>
        <s v="Arnis"/>
        <s v="Zigmunds"/>
        <s v="Luīze"/>
        <s v="Agate"/>
        <s v="Atis"/>
        <s v="Agris"/>
        <s v="Raivita"/>
        <s v="Nauris"/>
        <s v="Inese"/>
        <s v="Emerita"/>
        <s v="Jurģis"/>
        <s v="Sergejs"/>
        <s v="Atvars"/>
        <s v="Oļegs"/>
        <s v="Vita"/>
        <s v="Edward"/>
        <s v="Ludvigs"/>
        <s v="Zane"/>
        <s v="Kalvis"/>
        <s v="Elīna"/>
        <s v="Arita"/>
        <s v="Dainis"/>
        <s v="Oskars"/>
        <s v="Ziedonis"/>
        <s v="Mintauts"/>
        <s v="Ginta"/>
        <s v="Eva"/>
        <s v="Vizma"/>
        <s v="Anete"/>
        <s v="Linards"/>
        <s v="Vismants"/>
        <s v="Daina"/>
        <s v="Baiba"/>
        <s v="Ina"/>
        <s v="Rolands"/>
        <s v="Lienīte"/>
        <s v="Egils"/>
        <s v="Ivars"/>
        <s v="Osvalds"/>
        <s v="Raimonds"/>
        <s v="Jeļena"/>
        <s v="Ivo"/>
        <s v="Linda"/>
        <s v="Līva"/>
        <s v="Ralfs"/>
        <s v="Aleksejs"/>
        <s v="Guntra"/>
        <s v="Diāna"/>
        <s v="Daiga"/>
        <s v="Valdemārs"/>
        <s v="Ivita"/>
        <s v="Jūlija"/>
        <s v="Katrīna"/>
        <s v="Jevgēnijs"/>
        <s v="Ēriks"/>
        <s v="Tomass"/>
        <s v="Arta"/>
        <s v="Viktorija"/>
        <s v="David"/>
        <s v="Jelena"/>
        <s v="Mareks"/>
        <s v="Vasilis"/>
        <s v="Vadims"/>
        <s v="Boriss"/>
        <s v="Roberts"/>
        <s v="Andis"/>
        <s v="Igors"/>
        <s v="Pāvels"/>
        <s v="Gunārs"/>
        <s v="Gintars"/>
        <s v="Ligita"/>
        <s v="Ivanda"/>
        <s v="Ingus"/>
        <s v="Einārs"/>
        <s v="Edijs"/>
        <s v="Gunta"/>
        <s v="Ingmārs"/>
        <s v="Mihails"/>
        <s v="Marta"/>
        <s v="Inita"/>
        <s v="Andžs"/>
        <s v="Einars"/>
        <s v="Edmunds"/>
        <s v="Emīls"/>
        <s v="Asnate"/>
        <s v="Davids"/>
        <s v="Maija"/>
        <s v="Raitis"/>
        <s v="Vitautas"/>
        <s v="Lelde"/>
        <s v="Maira"/>
        <s v="Džineta"/>
        <s v="Harijs"/>
        <s v="Anda"/>
        <s v="Ārijs"/>
        <s v="Ēvija"/>
        <s v="Katrīne"/>
        <s v="Marita"/>
        <s v="Genadijs"/>
        <s v="Vitālijs"/>
        <s v="Maksims"/>
        <s v="Krišjānis"/>
        <s v="Velga"/>
        <s v="Evija"/>
        <s v="Iveta"/>
        <s v="Laila"/>
        <s v="Pits"/>
        <s v="Vladimirs"/>
        <s v="Sofija"/>
        <s v="Deniss"/>
        <s v="Natālija"/>
        <s v="Irina"/>
        <s v="Vladislavs"/>
        <s v="Gabriela"/>
        <s v="Dzintra"/>
        <s v="Tatjana"/>
        <s v="Germans"/>
        <s v="Alise"/>
        <s v="Dmitrijs"/>
        <s v="Karīna"/>
        <s v="Dana"/>
        <s v="Ainars"/>
        <s v="Signe"/>
        <s v="Inga"/>
        <s v="Nikolajs"/>
        <s v="Elvijs"/>
        <s v="Valters"/>
        <s v="Antons"/>
        <s v="Iluta"/>
        <s v="Ilva"/>
        <s v="Zigurds"/>
        <s v="Ronalds"/>
        <s v="Askolds"/>
        <s v="Elita"/>
        <s v="Aiva"/>
        <s v="Sannija"/>
        <s v="Noris"/>
        <s v="Madars"/>
        <s v="Jānis-Egīls"/>
        <s v="Egīls"/>
        <s v="Ainis"/>
        <s v="Malda"/>
        <s v="Aleksandr"/>
        <s v="Sandra"/>
        <s v="Alberts"/>
        <s v="Anita"/>
        <s v="Miks"/>
        <s v="Ansis"/>
        <s v="Olafs"/>
        <s v="Paula"/>
        <s v="Jurijs"/>
        <s v="Nikolais"/>
        <s v="Mārīte"/>
        <s v="Liene"/>
        <s v="Denis"/>
        <s v="Rima"/>
        <s v="Elmārs"/>
        <s v="Eduards"/>
        <s v="Silvija"/>
        <s v="Ints"/>
        <s v="Agija"/>
        <s v="Ilgonis"/>
        <s v="Broņislavs"/>
        <s v="Benita"/>
        <s v="Renāte"/>
        <s v="Laima"/>
        <s v="Olavs"/>
        <s v="Irita"/>
        <s v="Mairis"/>
        <s v="Konstantīns"/>
        <s v="Santa"/>
        <s v="Agita"/>
        <s v="Krista"/>
        <s v="Ināra"/>
        <s v="Una"/>
        <s v="Valts"/>
        <s v="Intra"/>
        <s v="Rimants"/>
        <s v="Niklavs"/>
        <s v="Gita"/>
        <s v="Reinis-Augusts"/>
        <s v="Valērijs"/>
        <s v="Ariks"/>
        <s v="Liāna"/>
        <s v="Zande"/>
        <s v="Agnis"/>
        <s v="Gundars"/>
        <s v="Raimonda"/>
        <s v="Arvis"/>
        <s v="Ņikita"/>
        <s v="Jevgenijs"/>
        <s v="Nilss"/>
        <s v="Vasilijs"/>
        <s v="Anrijs"/>
        <s v="Elīza"/>
        <s v="Lāsma"/>
        <s v="Lizete"/>
        <s v="Dimitrijs"/>
        <s v="Vladlens"/>
        <s v="Rikards"/>
        <s v="Sigita"/>
        <s v="Olga"/>
        <s v="Irīna"/>
        <s v="Elvis"/>
        <s v="Julijs"/>
        <s v="Ineta"/>
        <s v="Ilona"/>
        <s v="Lilita"/>
        <s v="Ārija"/>
        <s v="Astra"/>
        <s v="Sabīne"/>
        <s v="Renis"/>
        <s v="Ritvars"/>
        <s v="Arvīds"/>
        <s v="Sarmis"/>
        <s v="Kristers"/>
        <s v="Raivo"/>
        <s v="Tālis"/>
        <s v="Ervīns"/>
        <s v="Andra"/>
        <s v="Laimonis"/>
        <s v="Ulvis"/>
        <s v="Patriks"/>
        <s v="Mare"/>
        <s v="Gundega"/>
        <s v="Dailis"/>
        <s v="Bruno"/>
        <s v="Kirils"/>
        <s v="Jana"/>
        <s v="Sanda"/>
        <s v="Nelda"/>
        <s v="Arkādijs"/>
        <s v="Arnolds"/>
        <s v="L"/>
        <s v="J"/>
        <s v="R"/>
        <s v="Nina"/>
        <s v="Egons"/>
        <s v="Agneta"/>
        <s v="Ručevska"/>
        <s v="Dārta"/>
        <s v="Helmārs"/>
        <s v="Gvido"/>
        <s v="Armīns"/>
        <s v="Mikuss"/>
        <s v="Rukevs"/>
        <s v="Sibilla"/>
        <s v="Romāns"/>
        <s v="Vēsma"/>
        <s v="Vivita"/>
        <s v="Rinalds"/>
        <s v="Egija"/>
        <s v="Alvils"/>
        <s v="Aija"/>
        <s v="Sandija"/>
        <s v="Malvīne"/>
        <s v="Māra"/>
        <s v="Haralds"/>
        <s v="Rūdolfs"/>
        <s v="Emils"/>
        <s v="Alvis"/>
        <s v="Aloizs"/>
        <s v="Raymond"/>
        <s v="Aivis"/>
        <s v="Marians"/>
        <s v="Kristiāna"/>
        <s v="Verners"/>
        <s v="Zaiga"/>
        <s v="Stūrmanis"/>
        <s v="Ruslans"/>
        <s v="Romans"/>
        <s v="Vilma"/>
        <s v="Grigorijs"/>
        <s v="Arilds"/>
        <s v="Mary"/>
        <s v="Vilmārs"/>
        <s v="Elans"/>
        <s v="Priit"/>
        <s v="Anna"/>
        <s v="Anastasija"/>
        <s v="Nils"/>
        <s v="Vidvuds"/>
        <s v="Valentīns"/>
        <s v="Georgs"/>
        <s v="Staņislavs"/>
        <s v="Ruta"/>
        <s v="Saulis"/>
        <s v="Edīte"/>
        <s v="Intars"/>
        <s v="Aļģirds"/>
        <s v="Vītola"/>
        <s v="Lida"/>
        <s v="Žanna"/>
        <s v="Fēliks"/>
        <s v="Sergey"/>
        <s v="Ingars"/>
        <s v="Tālivaldis"/>
        <s v="Gaidis"/>
        <s v="Lolita"/>
        <s v="Romualds"/>
        <s v="Martins"/>
        <s v="Monta"/>
        <s v="Līna"/>
        <s v="Velta"/>
        <s v="Vjačeslavs"/>
        <s v="Ādolfs"/>
      </sharedItems>
    </cacheField>
    <cacheField name="Klubs" numFmtId="0">
      <sharedItems>
        <s v="Rīga"/>
        <s v=""/>
        <s v="VIC velokurjers"/>
        <s v="V-sports"/>
        <s v="Krāsu nams"/>
        <s v="Viesnīca Santa"/>
        <s v="Bosch"/>
        <s v="Jelgava"/>
        <s v="Valmieras kom.Grods"/>
        <s v="Veloserviss"/>
        <s v="Sigulda"/>
        <s v="Ventspils"/>
        <s v="Vello 31"/>
        <s v="Valka"/>
        <s v="Marss"/>
        <s v="Rietumu Banka"/>
        <s v="Lateko"/>
        <s v="Komforts MTB"/>
        <s v="Komforts MTB RT"/>
        <s v="Aramini"/>
        <s v="Ondulat"/>
        <s v="Kuldīgas sporta sk."/>
        <s v="Karlos K"/>
        <s v="Tukums"/>
        <s v="Fans Cube Team"/>
        <s v="Jaunmārupe"/>
        <s v="Cēsis"/>
        <s v="Triāla klubs Karters"/>
        <s v="Team Milo Latvia"/>
        <s v="Spectus-Smiltene"/>
        <s v="Zumus"/>
        <s v="Ule"/>
        <s v="DTK"/>
        <s v="Latvello"/>
        <s v="Gūtmanis"/>
        <s v="NN-Marss"/>
        <s v="Tridens"/>
        <s v="Glazūra AG"/>
        <s v="Ogre-Latvello"/>
        <s v="Jūrmala"/>
        <s v="ZZK"/>
        <s v="JAM"/>
        <s v="Velobode"/>
        <s v="Madona"/>
        <s v="Ķegums"/>
        <s v="Priekuļi"/>
        <s v="Priekuļis"/>
        <s v="OK Prizma"/>
        <s v="Scantest"/>
        <s v="Auteko"/>
        <s v="Hansabanka"/>
        <s v="&quot;Projekts Pēdas&quot;"/>
        <s v="Spars"/>
        <s v="Raimaks"/>
        <s v="Krimuldas vsk."/>
        <s v="Salaspils Zīriņi"/>
        <s v="Velo-30"/>
        <s v="Concorde"/>
        <s v="Zumus sport"/>
        <s v="Tandēms/Dobele"/>
        <s v="Cēsis 800 - Cēsu alus"/>
        <s v="JV 11"/>
        <s v="Grifs AG"/>
        <s v="Ceļu Projekts"/>
        <s v="Kodak"/>
        <s v="Siguldas ģimn."/>
        <s v="LKSB"/>
        <s v="Kadaga"/>
        <s v="Grobiņa"/>
        <s v="Talsi"/>
        <s v="Dunalka"/>
        <s v="Ceru ģim."/>
        <s v="Jotul"/>
        <s v="BVA Auseklis"/>
        <s v="Bensons Auto"/>
        <s v="Reir"/>
        <s v="Ikšķile"/>
        <s v="BRT"/>
        <s v="Liepāja"/>
        <s v="Sprints AVK Tukums"/>
        <s v="Z-Pols"/>
        <s v="Berģi"/>
        <s v="Trek Philips"/>
        <s v="Tukums KMK"/>
        <s v="Beitāni"/>
        <s v="Velomaniac"/>
        <s v="Iecava"/>
        <s v="mtb.lv"/>
        <s v="www.247.lv"/>
        <s v="Fuji Team"/>
        <s v="IR"/>
        <s v="Ādažu vsk."/>
        <s v="Bauska"/>
        <s v="Hawaii Express"/>
        <s v="Smiltene-Spectus"/>
        <s v="Smiltene/Specuts"/>
        <s v="Kalngale"/>
        <s v="Tandēms"/>
        <s v="Varavīksne"/>
        <s v="Piņķi"/>
        <s v="Babīte"/>
        <s v="3V"/>
        <s v="Smiltene"/>
        <s v="Carnikava"/>
        <s v="Siguldas sporta sk."/>
        <s v="&quot;Projekts Pēda"/>
        <s v="Kuldīga"/>
        <s v="Vecdaugava"/>
        <s v="SK Favorīts"/>
        <s v="Daugavpils"/>
        <s v="Frukava"/>
        <s v="Zeņģis Racing Team"/>
        <s v="Elkor sports-author"/>
        <s v="Sprints AVK"/>
        <s v="SK More"/>
        <s v="Zepter"/>
        <s v="Vangaži"/>
        <s v="SK Brīvnieki"/>
        <s v="Trek-Philips"/>
        <s v="Otrā elpa"/>
        <s v="Valmiera"/>
        <s v="p/k Tinis"/>
        <s v="Cekules gaļas komb."/>
        <s v="Gandrs"/>
        <s v="Ogre"/>
        <s v="Arkādija"/>
        <s v="Tinis"/>
        <s v="Selonija"/>
        <s v="Rauna"/>
        <s v="Cēsis Reiņa trase"/>
        <s v="Iekšciems"/>
        <s v="Gulbene"/>
        <s v="Mārupe"/>
        <s v="Focus"/>
        <s v="augavpils"/>
        <s v="Elkor Sport Author"/>
        <s v="Capusta Club"/>
        <s v="Balvi"/>
        <s v="Baltika"/>
        <s v="Halis"/>
        <s v="SK Bebra"/>
        <s v="Mazsalaca"/>
        <s v="Hipotēku Banka"/>
        <s v="Kuldīgas sporta"/>
        <s v="Kwintet"/>
        <s v="&quot;Projekts Pē"/>
        <s v="NCC Konstrukcijas"/>
        <s v="X sports Corrate"/>
        <s v="Ģeogrāfi"/>
        <s v="Gandrs-Viss"/>
        <s v="xc.lv"/>
        <s v="JV11"/>
        <s v="Ulbroka"/>
        <s v="Ģimenīte &quot;Pipariņi&quot;"/>
        <s v="Balta"/>
        <s v="Rīgas Dome"/>
        <s v="Fokus Team"/>
        <s v="Ķekava"/>
        <s v="Schell Latvia"/>
        <s v="Rollerblade champion"/>
        <s v="Rollerblade-champion"/>
        <s v="Ropaži"/>
        <s v="Orfo"/>
        <s v="Theparadise.lv"/>
        <s v="Focus Team"/>
        <s v="SEB Unibanka"/>
        <s v="VAB"/>
        <s v="Ozolnieki"/>
        <s v="Timurs"/>
        <s v="R/a 2 koki u"/>
        <s v="Ādaži"/>
        <s v="Lāči"/>
        <s v="PRO Kapital Latvia"/>
        <s v="PRD Kapital Latvia"/>
        <s v="ZAP"/>
        <s v="Ķekavas vsk"/>
        <s v="Grods"/>
        <s v="tb.lv"/>
        <s v="Turaida"/>
        <s v="Fraternitas Lettica"/>
        <s v="MSĢ"/>
        <s v="Fans Cub"/>
        <s v="Tandēms/Dobel"/>
        <s v="Salspils trase"/>
        <s v="Tukuma sporta sk."/>
        <s v="Krimuldas"/>
        <s v="Eži"/>
        <s v="Lonebiker"/>
        <s v="Ogres raj."/>
        <s v="X-sports Cor"/>
        <s v="Elkor sport-author"/>
        <s v="Rietumu nafta"/>
        <s v="Spectus/Smiltene"/>
        <s v="Olaine"/>
        <s v="Tērvete"/>
        <s v="Bābelīte"/>
        <s v="Dūdas"/>
        <s v="Saldus"/>
        <s v="karters.lv"/>
        <s v="Salaspils"/>
        <s v="Frukawa"/>
        <s v="Limbaži"/>
        <s v="Santeko"/>
        <s v="R/a 2 koki u.c. Zvēri"/>
        <s v="KHS-Briko"/>
        <s v="Latvijas Gāze"/>
        <s v="NCC Konstrukcij"/>
        <s v="Cirkulis"/>
        <s v="Saulkrasti"/>
        <s v="V3"/>
        <s v="Hotel Centra Latvello"/>
        <s v="Kāpa"/>
        <s v="Dual"/>
        <s v="Sia Laneks-Kone"/>
        <s v="Velo 30"/>
        <s v="Talsu raj."/>
        <s v="Laumas"/>
        <s v="Ape"/>
        <s v="Līnijdeju klubs"/>
        <s v="Ikšķiles varenais trijnieks"/>
        <s v="Patrioti"/>
        <s v="z/s Beitāni"/>
        <s v="Vecāķi"/>
        <s v="Apallie"/>
        <s v="Grīziņš"/>
        <s v="Kuldīgas sp.sk"/>
        <s v="Baldone"/>
        <s v="Splīte"/>
        <s v="Zariņi"/>
        <s v="Komin"/>
        <s v="Mālpils"/>
        <s v="Bieriņi"/>
        <s v="Dunalka-Kuldīgas sp.sk"/>
        <s v="Woodline"/>
        <s v="Superior"/>
        <s v="SK Vidzeme"/>
        <s v="People"/>
        <s v="Focus Saulkrasti"/>
        <s v="Nikari"/>
        <s v="Big Team"/>
        <s v="Fotolukss"/>
        <s v="NBS Sporta klubs"/>
        <s v="Berģu 50"/>
        <s v="Ragana"/>
        <s v="Uve"/>
        <s v="VIP Style"/>
        <s v="Amserv Motors"/>
        <s v="Viesuļi"/>
        <s v="Alūksne"/>
        <s v="Aloja"/>
        <s v="Maskava"/>
        <s v="Lielvārde"/>
        <s v="3W"/>
        <s v="IT Alise"/>
        <s v="X sports Corratec"/>
        <s v="Tandems"/>
        <s v="Zelči"/>
        <s v="Kaķīškalns"/>
        <s v="Martins un Co"/>
        <s v="Zeņģis Racinng Team"/>
        <s v="OK Alnis"/>
      </sharedItems>
    </cacheField>
    <cacheField name="Laiks" numFmtId="0">
      <sharedItems>
        <s v="2:03:17"/>
        <s v="1:17:53"/>
        <s v="1:02:55"/>
        <s v="1:22:23"/>
        <s v="1:20:49"/>
        <s v="1:32:43"/>
        <s v="1:01:59"/>
        <s v="1:15:42"/>
        <s v="1:23:20"/>
        <s v="1:23:25"/>
        <s v="1:03:42"/>
        <s v="1:40:14"/>
        <s v="1:39:45"/>
        <s v="1:16:46"/>
        <s v="1:50:53"/>
        <s v="1:16:55"/>
        <s v="1:59:21"/>
        <s v="1:41:19"/>
        <s v="1:39:28"/>
        <s v="1:15:34"/>
        <s v="2:04:13"/>
        <s v="2:04:12"/>
        <s v="1:10:22"/>
        <s v="1:08:40"/>
        <s v="0:57:37"/>
        <s v="1:12:16"/>
        <s v="1:52:09"/>
        <s v="1:30:07"/>
        <s v="1:28:52"/>
        <s v="1:17:36"/>
        <s v="1:44:53"/>
        <s v="1:38:56"/>
        <s v="1:10:30"/>
        <s v="1:35:46"/>
        <s v="1:06:33"/>
        <s v="1:10:32"/>
        <s v="1:51:44"/>
        <s v="1:06:21"/>
        <s v="1:30:50"/>
        <s v="1:38:39"/>
        <s v="1:37:32"/>
        <s v="1:57:12"/>
        <s v="2:07:12"/>
        <s v="1:12:03"/>
        <s v="1:13:32"/>
        <s v="1:07:23"/>
        <s v="1:03:02"/>
        <s v="1:08:48"/>
        <s v="1:26:30"/>
        <s v="1:12:01"/>
        <s v="1:06:26"/>
        <s v="1:32:52"/>
        <s v="1:02:35"/>
        <s v="1:06:04"/>
        <s v="1:13:55"/>
        <s v="1:20:47"/>
        <s v="1:35:04"/>
        <s v="1:39:17"/>
        <s v="1:12:43"/>
        <s v="1:55:02"/>
        <s v="1:22:46"/>
        <s v="1:41:28"/>
        <s v="2:16:38"/>
        <s v="1:08:08"/>
        <s v="1:12:34"/>
        <s v="1:07:49"/>
        <s v="1:45:47"/>
        <s v="1:27:56"/>
        <s v="1:38:57"/>
        <s v="1:16:52"/>
        <s v="1:36:52"/>
        <s v="2:01:30"/>
        <s v="1:28:05"/>
        <s v="1:01:07"/>
        <s v="1:01:55"/>
        <s v="2:19:11"/>
        <s v="1:43:23"/>
        <s v="1:11:56"/>
        <s v="1:39:16"/>
        <s v="1:35:00"/>
        <s v="1:39:06"/>
        <s v="1:40:51"/>
        <s v="1:46:46"/>
        <s v="1:29:14"/>
        <s v="1:15:22"/>
        <s v="1:50:46"/>
        <s v="1:19:36"/>
        <s v="1:15:59"/>
        <s v="1:40:53"/>
        <s v="0:59:51"/>
        <s v="1:29:22"/>
        <s v="1:05:51"/>
        <s v="1:11:23"/>
        <s v="1:35:26"/>
        <s v="1:21:04"/>
        <s v="1:37:33"/>
        <s v="1:42:34"/>
        <s v="1:42:33"/>
        <s v="1:19:56"/>
        <s v="0:58:09"/>
        <s v="2:11:28"/>
        <s v="1:59:47"/>
        <s v="2:01:32"/>
        <s v="1:16:43"/>
        <s v="1:41:11"/>
        <s v="1:07:44"/>
        <s v="1:20:19"/>
        <s v="1:21:47"/>
        <s v="1:23:36"/>
        <s v="1:28:31"/>
        <s v="1:15:46"/>
        <s v="1:26:12"/>
        <s v="1:33:17"/>
        <s v="1:03:59"/>
        <s v="1:09:46"/>
        <s v="1:13:46"/>
        <s v="1:18:59"/>
        <s v="1:15:25"/>
        <s v="1:15:11"/>
        <s v="1:21:35"/>
        <s v="1:12:56"/>
        <s v="1:07:21"/>
        <s v="1:14:29"/>
        <s v="1:17:26"/>
        <s v="1:35:52"/>
        <s v="1:38:51"/>
        <s v="1:29:26"/>
        <s v="1:34:24"/>
        <s v="2:24:09"/>
        <s v="1:21:56"/>
        <s v="1:26:17"/>
        <s v="1:15:41"/>
        <s v="1:03:12"/>
        <s v="1:23:15"/>
        <s v="1:27:59"/>
        <s v="1:42:21"/>
        <s v="2:09:27"/>
        <s v="1:13:04"/>
        <s v="2:24:10"/>
        <s v="2:07:15"/>
        <s v="1:18:24"/>
        <s v="1:19:39"/>
        <s v="1:56:20"/>
        <s v="2:07:33"/>
        <s v="2:24:41"/>
        <s v="1:21:14"/>
        <s v="1:19:00"/>
        <s v="1:24:25"/>
        <s v="1:49:45"/>
        <s v="1:31:01"/>
        <s v="1:21:38"/>
        <s v="1:14:19"/>
        <s v="1:16:49"/>
        <s v="1:36:09"/>
        <s v="1:29:08"/>
        <s v="1:08:27"/>
        <s v="1:25:49"/>
        <s v="1:21:48"/>
        <s v="1:05:22"/>
        <s v="1:23:19"/>
        <s v="1:22:05"/>
        <s v="1:24:29"/>
        <s v="1:25:47"/>
        <s v="1:00:15"/>
        <s v="1:11:14"/>
        <s v="1:05:44"/>
        <s v="1:44:30"/>
        <s v="1:19:38"/>
        <s v="1:05:24"/>
        <s v="1:20:12"/>
        <s v="1:23:02"/>
        <s v="1:37:16"/>
        <s v="1:17:20"/>
        <s v="1:53:58"/>
        <s v="1:12:50"/>
        <s v="1:06:16"/>
        <s v="2:01:02"/>
        <s v="1:17:49"/>
        <s v="1:02:24"/>
        <s v="1:21:24"/>
        <s v="1:48:42"/>
        <s v="1:20:34"/>
        <s v="1:24:08"/>
        <s v="1:11:04"/>
        <s v="1:31:27"/>
        <s v="1:34:11"/>
        <s v="1:33:04"/>
        <s v="1:48:52"/>
        <s v="1:35:10"/>
        <s v="1:08:33"/>
        <s v="1:16:29"/>
        <s v="1:11:12"/>
        <s v="1:30:13"/>
        <s v="1:16:53"/>
        <s v="1:13:35"/>
        <s v="1:28:49"/>
        <s v="1:25:40"/>
        <s v="0:57:54"/>
        <s v="1:40:26"/>
        <s v="1:19:32"/>
        <s v="1:15:39"/>
        <s v="2:21:38"/>
        <s v="2:53:57"/>
        <s v="1:07:17"/>
        <s v="1:40:58"/>
        <s v="1:47:48"/>
        <s v="1:09:59"/>
        <s v="1:25:00"/>
        <s v="1:17:51"/>
        <s v="1:36:47"/>
        <s v="1:36:15"/>
        <s v="0:59:36"/>
        <s v="1:19:31"/>
        <s v="2:06:41"/>
        <s v="1:27:44"/>
        <s v="1:40:30"/>
        <s v="1:38:40"/>
        <s v="1:50:59"/>
        <s v="1:49:55"/>
        <s v="1:50:08"/>
        <s v="1:38:45"/>
        <s v="1:32:10"/>
        <s v="1:19:07"/>
        <s v="1:50:04"/>
        <s v="0:57:42"/>
        <s v="1:30:15"/>
        <s v="2:01:04"/>
        <s v="2:01:22"/>
        <s v="1:03:45"/>
        <s v="1:07:13"/>
        <s v="1:20:11"/>
        <s v="1:25:22"/>
        <s v="1:54:02"/>
        <s v="1:27:42"/>
        <s v="1:48:43"/>
        <s v="1:23:10"/>
        <s v="1:10:14"/>
        <s v="1:02:21"/>
        <s v="1:46:28"/>
        <s v="1:16:02"/>
        <s v="1:04:23"/>
        <s v="1:30:45"/>
        <s v="1:31:59"/>
        <s v="1:09:30"/>
        <s v="1:41:52"/>
        <s v="1:21:53"/>
        <s v="1:50:00"/>
        <s v="1:45:22"/>
        <s v="1:43:01"/>
        <s v="1:21:03"/>
        <s v="1:23:13"/>
        <s v="1:12:40"/>
        <s v="1:51:42"/>
        <s v="1:26:14"/>
        <s v="1:06:25"/>
        <s v="2:04:11"/>
        <s v="1:41:15"/>
        <s v="1:17:30"/>
        <s v="1:47:21"/>
        <s v="1:18:39"/>
        <s v="1:14:10"/>
        <s v="1:11:15"/>
        <s v="1:21:12"/>
        <s v="1:27:24"/>
        <s v="1:36:25"/>
        <s v="1:13:51"/>
        <s v="1:32:30"/>
        <s v="1:13:48"/>
        <s v="1:40:34"/>
        <s v="1:06:41"/>
        <s v="1:14:11"/>
        <s v="1:47:26"/>
        <s v="1:24:10"/>
        <s v="1:49:08"/>
        <s v="1:16:33"/>
        <s v="1:29:00"/>
        <s v="1:18:50"/>
        <s v="1:17:02"/>
        <s v="1:45:14"/>
        <s v="1:20:57"/>
        <s v="1:15:51"/>
        <s v="1:05:56"/>
        <s v="1:35:23"/>
        <s v="1:22:25"/>
        <s v="1:20:16"/>
        <s v="1:38:59"/>
        <s v="1:05:49"/>
        <s v="1:38:55"/>
        <s v="1:05:40"/>
        <s v="1:59:53"/>
        <s v="1:00:53"/>
        <s v="1:18:54"/>
        <s v="1:36:29"/>
        <s v="1:03:38"/>
        <s v="1:33:56"/>
        <s v="2:20:16"/>
        <s v="1:01:03"/>
        <s v="1:21:00"/>
        <s v="1:07:58"/>
        <s v="1:13:56"/>
        <s v="1:13:26"/>
        <s v="1:12:05"/>
        <s v="1:19:22"/>
        <s v="1:16:28"/>
        <s v="1:08:06"/>
        <s v="1:10:00"/>
        <s v="1:15:23"/>
        <s v="1:09:57"/>
        <s v="1:01:10"/>
        <s v="1:15:47"/>
        <s v="1:15:57"/>
        <s v="1:35:31"/>
        <s v="1:42:03"/>
        <s v="1:42:04"/>
        <s v="1:13:28"/>
        <s v="1:25:11"/>
        <s v="1:20:05"/>
        <s v="1:45:38"/>
        <s v="1:10:41"/>
        <s v="1:45:19"/>
        <s v="1:30:54"/>
        <s v="1:39:32"/>
        <s v="1:31:07"/>
        <s v="1:19:34"/>
        <s v="1:41:54"/>
        <s v="1:42:55"/>
        <s v="1:42:54"/>
        <s v="1:06:40"/>
        <s v="1:36:43"/>
        <s v="1:17:33"/>
        <s v="1:55:29"/>
        <s v="1:50:51"/>
        <s v="1:11:55"/>
        <s v="1:17:16"/>
        <s v="1:34:57"/>
        <s v="1:39:11"/>
        <s v="1:42:28"/>
        <s v="1:19:57"/>
        <s v="1:13:27"/>
        <s v="1:39:44"/>
        <s v="1:19:10"/>
        <s v="1:18:41"/>
        <s v="1:13:34"/>
        <s v="1:06:12"/>
        <s v="1:58:31"/>
        <s v="1:11:51"/>
        <s v="1:22:10"/>
        <s v="1:13:50"/>
        <s v="1:43:29"/>
        <s v="2:14:38"/>
        <s v="1:02:44"/>
        <s v="1:02:34"/>
        <s v="1:18:17"/>
        <s v="1:17:13"/>
        <s v="1:46:58"/>
        <s v="1:46:38"/>
        <s v="1:10:50"/>
        <s v="1:52:21"/>
        <s v="2:03:53"/>
        <s v="1:59:22"/>
        <s v="2:04:28"/>
        <s v="1:59:15"/>
        <s v="1:32:01"/>
        <s v="1:39:04"/>
        <s v="1:25:12"/>
        <s v="1:30:32"/>
        <s v="1:31:54"/>
        <s v="1:33:39"/>
        <s v="1:34:55"/>
        <s v="1:39:00"/>
        <s v="1:50:57"/>
        <s v="1:07:20"/>
        <s v="1:56:48"/>
        <s v="1:01:30"/>
        <s v="2:09:43"/>
        <s v="1:39:41"/>
        <s v="1:10:20"/>
        <s v="1:09:53"/>
        <s v="1:24:44"/>
        <s v="1:06:50"/>
        <s v="1:09:22"/>
        <s v="1:14:47"/>
        <s v="1:39:47"/>
        <s v="1:07:18"/>
        <s v="1:42:45"/>
        <s v="1:14:50"/>
        <s v="1:01:39"/>
        <s v="1:08:30"/>
        <s v="1:23:51"/>
        <s v="1:14:34"/>
        <s v="1:34:14"/>
        <s v="1:34:15"/>
        <s v="1:30:41"/>
        <s v="1:12:57"/>
        <s v="1:25:31"/>
        <s v="1:15:26"/>
        <s v="1:25:15"/>
        <s v="1:28:02"/>
        <s v="1:22:54"/>
        <s v="1:08:50"/>
        <s v="1:46:06"/>
        <s v="1:07:56"/>
        <s v="1:44:42"/>
        <s v="1:24:57"/>
        <s v="1:14:58"/>
        <s v="1:28:33"/>
        <s v="1:49:44"/>
        <s v="1:49:43"/>
        <s v="1:15:24"/>
        <s v="1:56:25"/>
        <s v="1:39:13"/>
        <s v="1:44:46"/>
        <s v="1:22:04"/>
        <s v="1:09:13"/>
        <s v="1:31:49"/>
        <s v="1:38:49"/>
        <s v="1:14:13"/>
        <s v="1:06:29"/>
        <s v="1:40:31"/>
        <s v="1:29:25"/>
        <s v="0:59:57"/>
        <s v="1:43:57"/>
        <s v="1:39:18"/>
        <s v="1:27:35"/>
        <s v="1:08:52"/>
        <s v="1:12:36"/>
        <s v="1:13:52"/>
        <s v="2:02:43"/>
        <s v="1:11:37"/>
        <s v="1:27:11"/>
        <s v="1:16:37"/>
        <s v="1:05:52"/>
        <s v="1:42:57"/>
        <s v="1:08:46"/>
        <s v="1:10:43"/>
        <s v="1:40:49"/>
        <s v="1:08:05"/>
        <s v="1:16:48"/>
        <s v="1:25:58"/>
        <s v="1:04:04"/>
        <s v="1:29:11"/>
        <s v="1:13:16"/>
        <s v="1:41:40"/>
        <s v="0:59:10"/>
        <s v="1:13:44"/>
        <s v="1:19:29"/>
        <s v="1:21:42"/>
        <s v="1:22:52"/>
        <s v="1:16:45"/>
        <s v="1:40:44"/>
        <s v="1:42:47"/>
        <s v="1:19:06"/>
        <s v="1:51:39"/>
        <s v="1:26:33"/>
        <s v="1:30:44"/>
        <s v="1:57:26"/>
        <s v="2:06:43"/>
        <s v="2:05:45"/>
        <s v="2:05:50"/>
        <s v="1:15:05"/>
        <s v="1:14:53"/>
        <s v="1:14:31"/>
        <s v="1:19:21"/>
        <s v="1:02:04"/>
        <s v="1:31:14"/>
        <s v="1:48:51"/>
        <s v="2:22:43"/>
        <s v="1:18:55"/>
        <s v="1:19:53"/>
        <s v="1:15:17"/>
        <s v="1:28:21"/>
        <s v="1:40:07"/>
        <s v="1:29:20"/>
        <s v="1:39:23"/>
        <s v="1:02:59"/>
        <s v="1:20:51"/>
        <s v="1:32:33"/>
        <s v="1:20:50"/>
        <s v="1:15:54"/>
        <s v="1:15:29"/>
        <s v="1:31:03"/>
        <s v="1:42:22"/>
        <s v="2:11:19"/>
        <s v="1:36:40"/>
        <s v="1:39:12"/>
        <s v="1:40:05"/>
        <s v="1:39:48"/>
        <s v="1:08:53"/>
        <s v="1:46:05"/>
        <s v="0:57:43"/>
        <s v="1:05:26"/>
        <s v="1:22:51"/>
        <s v="1:23:49"/>
        <s v="1:17:03"/>
        <s v="1:13:24"/>
        <s v="1:24:48"/>
        <s v="1:35:29"/>
        <s v="1:49:05"/>
        <s v="1:25:18"/>
        <s v="1:34:12"/>
        <s v="1:26:58"/>
        <s v="1:41:41"/>
        <s v="1:30:51"/>
        <s v="0:57:35"/>
        <s v="1:03:39"/>
        <s v="1:01:12"/>
        <s v="1:09:35"/>
        <s v="1:04:59"/>
        <s v="1:20:18"/>
        <s v="1:29:18"/>
        <s v="1:11:07"/>
        <s v="1:09:38"/>
        <s v="1:31:57"/>
        <s v="1:24:59"/>
        <s v="1:33:23"/>
        <s v="1:24:58"/>
        <s v="1:22:24"/>
        <s v="1:25:50"/>
        <s v="1:15:08"/>
        <s v="1:18:28"/>
        <s v="1:11:41"/>
        <s v="1:12:31"/>
        <s v="2:10:45"/>
        <s v="1:10:38"/>
        <s v="0:56:57"/>
        <s v="1:16:40"/>
        <s v="1:28:06"/>
        <s v="1:18:16"/>
        <s v="1:46:39"/>
        <s v="1:20:13"/>
        <s v="1:05:35"/>
        <s v="0:57:29"/>
        <s v="0:58:04"/>
        <s v="1:37:09"/>
        <s v="1:57:54"/>
        <s v="1:04:06"/>
        <s v="1:24:02"/>
        <s v="1:36:10"/>
        <s v="1:19:08"/>
        <s v="1:17:00"/>
        <s v="1:31:40"/>
        <s v="1:14:57"/>
        <s v="0:57:17"/>
        <s v="1:20:59"/>
        <s v="1:19:35"/>
        <s v="1:16:11"/>
        <s v="1:09:01"/>
        <s v="1:54:47"/>
        <s v="1:43:34"/>
        <s v="1:21:18"/>
        <s v="1:41:57"/>
        <s v="1:32:11"/>
        <s v="2:28:40"/>
        <s v="1:13:36"/>
        <s v="1:00:28"/>
        <s v="1:22:38"/>
        <s v="1:46:42"/>
        <s v="2:00:43"/>
        <s v="0:59:07"/>
        <s v="1:39:05"/>
        <s v="1:58:23"/>
        <s v="2:09:48"/>
        <s v="1:25:23"/>
        <s v="2:08:11"/>
        <s v="1:26:02"/>
        <s v="1:06:30"/>
        <s v="1:44:41"/>
        <s v="1:38:58"/>
        <s v="1:22:20"/>
        <s v="1:14:12"/>
        <s v="1:01:58"/>
        <s v="1:11:38"/>
        <s v="1:26:26"/>
        <s v="1:31:26"/>
        <s v="1:41:50"/>
        <s v="1:08:49"/>
        <s v="1:11:19"/>
        <s v="1:04:22"/>
        <s v="1:22:19"/>
        <s v="1:34:17"/>
        <s v="1:13:33"/>
        <s v="1:12:46"/>
        <s v="2:17:54"/>
        <s v="1:51:46"/>
        <s v="1:29:47"/>
        <s v="1:34:18"/>
        <s v="1:19:47"/>
        <s v="1:52:29"/>
        <s v="1:32:22"/>
        <s v="1:00:13"/>
        <s v="1:27:51"/>
        <s v="1:03:08"/>
        <s v="1:10:05"/>
        <s v="1:23:14"/>
        <s v="1:23:00"/>
        <s v="1:08:13"/>
        <s v="1:07:09"/>
        <s v="1:24:04"/>
        <s v="1:48:45"/>
        <s v="1:18:46"/>
        <s v="1:00:03"/>
        <s v="1:39:02"/>
        <s v="1:18:37"/>
        <s v="1:26:40"/>
        <s v="0:57:38"/>
        <s v="2:07:30"/>
        <s v="1:13:25"/>
        <s v="1:26:35"/>
        <s v="1:33:58"/>
        <s v="1:32:19"/>
        <s v="1:36:32"/>
        <s v="1:52:22"/>
        <s v="1:29:38"/>
        <s v="1:35:01"/>
        <s v="1:04:31"/>
        <s v="1:08:25"/>
        <s v="1:20:20"/>
        <s v="1:12:59"/>
        <s v="1:20:14"/>
        <s v="1:12:58"/>
        <s v="1:16:21"/>
        <s v="1:23:08"/>
        <s v="1:13:20"/>
        <s v="1:07:33"/>
        <s v="1:07:31"/>
        <s v="1:16:01"/>
        <s v="1:12:26"/>
        <s v="1:35:08"/>
        <s v="1:32:05"/>
        <s v="1:22:17"/>
        <s v="1:26:19"/>
        <s v="1:26:05"/>
        <s v="1:13:29"/>
        <s v="1:21:45"/>
        <s v="1:06:09"/>
        <s v="0:57:31"/>
        <s v="1:08:43"/>
        <s v="1:42:56"/>
        <s v="2:07:17"/>
        <s v="1:41:18"/>
        <s v="1:20:17"/>
        <s v="1:41:59"/>
        <s v="1:16:35"/>
        <s v="1:20:31"/>
        <s v="1:42:13"/>
        <s v="2:04:04"/>
        <s v="1:39:09"/>
        <s v="1:52:54"/>
        <s v="1:10:45"/>
        <s v="1:31:22"/>
        <s v="1:08:21"/>
        <s v="1:39:21"/>
        <s v="1:07:01"/>
        <s v="0:57:30"/>
        <s v="3:04:34"/>
        <s v="1:45:16"/>
        <s v="0:58:29"/>
        <s v="1:26:07"/>
        <s v="1:24:18"/>
        <s v="1:47:15"/>
        <s v="1:14:49"/>
        <s v="1:21:50"/>
        <s v="1:25:51"/>
        <s v="1:08:11"/>
        <s v="1:11:20"/>
        <s v="1:16:57"/>
        <s v="2:15:49"/>
        <s v="1:11:35"/>
        <s v="1:31:47"/>
        <s v="1:33:50"/>
        <s v="0:57:00"/>
        <s v="1:12:54"/>
        <s v="1:17:23"/>
        <s v="1:07:19"/>
        <s v="1:49:40"/>
        <s v="2:21:40"/>
        <s v="1:37:56"/>
        <s v="1:40:48"/>
        <s v="1:41:27"/>
        <s v="1:09:26"/>
        <s v="1:12:47"/>
        <s v="1:06:35"/>
        <s v="1:34:20"/>
        <s v="1:32:59"/>
        <s v="1:06:51"/>
        <s v="1:12:32"/>
        <s v="1:04:53"/>
        <s v="1:34:28"/>
        <s v="1:39:29"/>
        <s v="1:00:25"/>
        <s v="1:27:57"/>
        <s v="1:15:19"/>
        <s v="1:03:10"/>
        <s v="2:41:15"/>
        <s v="1:46:15"/>
        <s v="1:14:38"/>
        <s v="1:17:11"/>
        <s v="1:12:10"/>
        <s v="1:32:53"/>
        <s v="1:18:26"/>
        <s v="1:21:44"/>
        <s v="1:57:52"/>
        <s v="1:08:01"/>
        <s v="0:59:56"/>
        <s v="0:58:08"/>
        <s v="1:15:35"/>
        <s v="2:05:21"/>
        <s v="1:01:54"/>
        <s v="1:03:14"/>
        <s v="1:18:15"/>
        <s v="1:54:24"/>
        <s v="1:41:37"/>
        <s v="1:42:12"/>
        <s v="1:05:02"/>
        <s v="1:02:11"/>
        <s v="1:01:19"/>
        <s v="1:38:54"/>
        <s v="1:03:52"/>
        <s v="1:01:42"/>
        <s v="1:30:59"/>
        <s v="1:36:49"/>
        <s v="1:16:17"/>
        <s v="1:34:10"/>
        <s v="1:48:26"/>
        <s v="1:54:51"/>
        <s v="1:10:59"/>
        <s v="1:23:40"/>
        <s v="1:48:47"/>
        <s v="1:28:28"/>
        <s v="1:12:12"/>
        <s v="2:01:10"/>
        <s v="2:01:28"/>
        <s v="1:26:52"/>
        <s v="1:27:14"/>
        <s v="1:31:23"/>
        <s v="1:09:32"/>
        <s v="1:12:06"/>
        <s v="1:02:12"/>
        <s v="1:16:23"/>
        <s v="1:38:12"/>
        <s v="2:06:46"/>
        <s v="1:38:10"/>
        <s v="1:24:05"/>
        <s v="1:25:45"/>
        <s v="1:05:27"/>
        <s v="1:43:46"/>
        <s v="1:20:39"/>
        <s v="1:41:07"/>
        <s v="1:41:08"/>
        <s v="1:27:27"/>
        <s v="1:08:28"/>
        <s v="1:13:02"/>
        <s v="1:41:31"/>
        <s v="1:43:55"/>
        <s v="2:08:47"/>
        <s v="1:17:28"/>
        <s v="1:33:16"/>
        <s v="1:21:16"/>
        <s v="1:20:06"/>
        <s v="1:41:21"/>
        <s v="1:50:13"/>
        <s v="1:47:02"/>
        <s v="1:40:50"/>
        <s v="1:24:13"/>
        <s v="1:09:33"/>
        <s v="1:09:40"/>
        <s v="2:00:38"/>
        <s v="1:06:28"/>
        <s v="1:14:14"/>
        <s v="1:11:40"/>
        <s v="2:05:42"/>
        <s v="1:11:22"/>
        <s v="1:27:49"/>
        <s v="1:07:04"/>
        <s v="1:09:47"/>
        <s v="1:17:15"/>
        <s v="2:14:07"/>
        <s v="1:27:43"/>
        <s v="2:01:03"/>
        <s v="1:28:04"/>
        <s v="1:02:42"/>
        <s v="1:21:32"/>
        <s v="1:43:54"/>
        <s v="0:58:42"/>
        <s v="1:31:16"/>
        <s v="2:06:52"/>
        <s v="1:56:32"/>
        <s v="1:21:46"/>
        <s v="1:19:05"/>
        <s v="1:07:41"/>
        <s v="1:07:52"/>
        <s v="1:12:38"/>
        <s v="1:18:18"/>
        <s v="1:40:02"/>
        <s v="1:45:50"/>
        <s v="1:03:01"/>
        <s v="1:26:47"/>
        <s v="2:11:43"/>
        <s v="0:57:25"/>
        <s v="1:06:46"/>
        <s v="1:54:39"/>
        <s v="1:13:18"/>
        <s v="1:24:20"/>
        <s v="1:02:27"/>
        <s v="1:01:47"/>
        <s v="1:13:39"/>
        <s v="1:34:23"/>
        <s v="1:20:40"/>
        <s v="1:03:16"/>
        <s v="1:19:14"/>
        <s v="1:04:38"/>
        <s v="1:15:48"/>
        <s v="1:29:58"/>
        <s v="0:59:06"/>
        <s v="1:01:51"/>
        <s v="1:16:24"/>
        <s v="1:29:43"/>
        <s v="1:10:01"/>
        <s v="1:17:57"/>
        <s v="1:29:46"/>
        <s v="1:07:57"/>
        <s v="1:35:34"/>
        <s v="1:18:13"/>
        <s v="1:56:43"/>
        <s v="2:08:21"/>
        <s v="1:07:53"/>
        <s v="1:29:36"/>
        <s v="1:29:04"/>
        <s v="1:52:46"/>
        <s v="1:46:49"/>
        <s v="1:15:30"/>
        <s v="0:58:35"/>
        <s v="1:24:49"/>
        <s v="1:05:31"/>
        <s v="1:39:55"/>
        <s v="1:34:35"/>
        <s v="1:45:30"/>
        <s v="1:16:30"/>
        <s v="1:16:31"/>
        <s v="1:16:32"/>
        <s v="1:39:56"/>
        <s v="1:40:01"/>
        <s v="1:10:26"/>
        <s v="1:33:30"/>
        <s v="1:40:21"/>
        <s v="1:34:13"/>
        <s v="1:09:45"/>
        <s v="1:23:50"/>
        <s v="1:37:28"/>
        <s v="1:34:37"/>
        <s v="1:05:03"/>
        <s v="2:20:08"/>
        <s v="1:18:27"/>
        <s v="1:31:55"/>
        <s v="1:28:01"/>
        <s v="1:18:21"/>
        <s v="1:33:06"/>
        <s v="1:11:30"/>
        <s v="2:00:42"/>
        <s v="1:23:41"/>
        <s v="1:18:03"/>
        <s v="1:00:56"/>
        <s v="1:14:17"/>
        <s v="1:14:56"/>
        <s v="1:22:12"/>
        <s v="1:25:54"/>
        <s v="1:19:37"/>
        <s v="1:05:08"/>
        <s v="1:11:18"/>
        <s v="1:23:43"/>
        <s v="1:10:13"/>
        <s v="1:21:55"/>
        <s v="2:01:09"/>
        <s v="1:15:40"/>
        <s v="1:06:43"/>
        <s v="1:52:00"/>
        <s v="1:34:43"/>
        <s v="1:19:49"/>
        <s v="1:27:25"/>
        <s v="1:06:06"/>
        <s v="1:04:37"/>
        <s v="1:31:58"/>
        <s v="1:39:38"/>
        <s v="1:46:21"/>
        <s v="1:21:43"/>
        <s v="1:08:16"/>
        <s v="1:03:23"/>
        <s v="0:57:33"/>
        <s v="1:39:53"/>
        <s v="1:34:16"/>
        <s v="1:46:41"/>
        <s v="1:47:04"/>
        <s v="1:21:10"/>
        <s v="1:27:26"/>
        <s v="1:27:37"/>
        <s v="1:30:38"/>
        <s v="1:28:36"/>
        <s v="1:10:40"/>
        <s v="1:17:29"/>
        <s v="1:27:45"/>
        <s v="1:39:30"/>
        <s v="1:26:11"/>
        <s v="1:17:07"/>
        <s v="1:23:23"/>
        <s v="1:32:48"/>
        <s v="0:57:07"/>
        <s v="1:09:50"/>
        <s v="1:29:52"/>
        <s v="1:39:51"/>
        <s v="1:38:23"/>
        <s v="1:20:35"/>
        <s v="1:22:49"/>
        <s v="1:19:16"/>
        <s v="1:03:36"/>
        <s v="1:18:30"/>
        <s v="1:03:21"/>
        <s v="2:00:53"/>
        <s v="1:14:27"/>
        <s v="1:20:25"/>
        <s v="1:50:44"/>
        <s v="2:08:10"/>
        <s v="1:09:00"/>
        <s v="1:13:49"/>
        <s v="1:09:09"/>
        <s v="1:23:39"/>
        <s v="1:09:07"/>
        <s v="1:42:07"/>
        <s v="1:15:21"/>
        <s v="2:01:49"/>
        <s v="1:52:37"/>
        <s v="1:17:17"/>
        <s v="2:03:34"/>
        <s v="1:07:40"/>
        <s v="1:56:08"/>
        <s v="1:05:13"/>
        <s v="1:02:32"/>
        <s v="1:39:58"/>
        <s v="0:57:27"/>
        <s v="1:57:43"/>
        <s v="1:09:54"/>
        <s v="1:21:27"/>
        <s v="1:05:01"/>
        <s v="1:22:32"/>
        <s v="1:30:08"/>
        <s v="1:02:41"/>
        <s v="1:12:11"/>
        <s v="1:20:53"/>
        <s v="1:01:40"/>
        <s v="1:09:52"/>
        <s v="1:16:47"/>
        <s v="1:18:12"/>
        <s v="1:59:23"/>
        <s v="1:46:53"/>
        <s v="1:26:36"/>
        <s v="1:32:12"/>
        <s v="1:18:40"/>
        <s v="1:34:34"/>
        <s v="1:43:12"/>
        <s v="1:56:58"/>
        <s v="1:06:10"/>
        <s v="1:16:59"/>
        <s v="1:40:11"/>
        <s v="1:07:51"/>
        <s v="1:17:21"/>
        <s v="1:41:47"/>
        <s v="2:10:33"/>
        <s v="1:02:20"/>
        <s v="1:04:20"/>
        <s v="1:56:21"/>
        <s v="1:36:31"/>
        <s v="0:57:49"/>
        <s v="1:14:32"/>
        <s v="1:12:04"/>
        <s v="1:28:00"/>
        <s v="1:39:07"/>
        <s v="1:35:57"/>
        <s v="2:07:16"/>
        <s v="1:00:12"/>
        <s v="1:17:47"/>
        <s v="1:36:37"/>
        <s v="1:57:16"/>
        <s v="1:19:30"/>
        <s v="1:12:24"/>
        <s v="1:53:57"/>
        <s v="1:22:31"/>
        <s v="1:03:04"/>
        <s v="1:36:58"/>
        <s v="1:30:40"/>
        <s v="1:45:28"/>
        <s v="1:38:50"/>
        <s v="1:32:15"/>
        <s v="1:25:26"/>
        <s v="1:15:43"/>
        <s v="1:05:45"/>
        <s v="1:08:34"/>
        <s v="1:07:35"/>
        <s v="1:08:35"/>
        <s v="1:22:44"/>
        <s v="1:09:44"/>
        <s v="0:59:40"/>
        <s v="1:34:44"/>
        <s v="1:44:48"/>
        <s v="1:24:51"/>
        <s v="1:03:26"/>
        <s v="1:03:13"/>
        <s v="1:40:27"/>
        <s v="0:57:05"/>
        <s v="1:26:56"/>
        <s v="1:36:14"/>
        <s v="1:15:45"/>
        <s v="1:24:14"/>
        <s v="1:37:45"/>
        <s v="1:43:52"/>
        <s v="1:59:04"/>
        <s v="1:13:59"/>
        <s v="1:42:58"/>
        <s v="1:47:01"/>
        <s v="2:15:52"/>
        <s v="1:22:37"/>
        <s v="1:16:44"/>
        <s v="1:14:21"/>
        <s v="1:48:40"/>
        <s v="1:14:26"/>
        <s v="1:26:59"/>
        <s v="1:15:44"/>
        <s v="1:28:41"/>
        <s v="1:02:54"/>
        <s v="1:39:52"/>
        <s v="1:03:07"/>
        <s v="1:45:57"/>
        <s v="1:55:33"/>
        <s v="1:03:15"/>
        <s v="1:24:54"/>
        <s v="1:14:02"/>
        <s v="1:07:27"/>
        <s v="1:07:55"/>
        <s v="1:31:19"/>
        <s v="1:08:32"/>
        <s v="1:10:58"/>
        <s v="1:30:18"/>
        <s v="1:29:16"/>
        <s v="1:24:34"/>
        <s v="1:00:16"/>
        <s v="1:19:50"/>
        <s v="1:26:38"/>
        <s v="1:32:25"/>
        <s v="1:06:01"/>
        <s v="1:51:52"/>
        <s v="1:35:21"/>
        <s v="1:29:01"/>
        <s v="1:37:52"/>
        <s v="1:18:47"/>
        <s v="1:08:51"/>
        <s v="1:06:13"/>
        <s v="1:15:01"/>
        <s v="1:20:23"/>
        <s v="1:58:26"/>
        <s v="1:10:02"/>
        <s v="1:35:14"/>
        <s v="1:03:47"/>
        <s v="1:23:24"/>
        <s v="1:10:15"/>
        <s v="1:14:35"/>
        <s v="1:41:44"/>
        <s v="1:17:52"/>
        <s v="1:15:49"/>
        <s v="1:06:48"/>
        <s v="1:28:18"/>
        <s v="1:19:33"/>
        <s v="1:24:09"/>
        <s v="1:28:09"/>
        <s v="1:30:06"/>
        <s v="1:15:14"/>
        <s v="1:29:07"/>
        <s v="1:04:17"/>
        <s v="1:07:25"/>
        <s v="1:39:08"/>
        <s v="1:21:41"/>
        <s v="1:13:41"/>
        <s v="1:10:10"/>
        <s v="1:49:50"/>
        <s v="1:28:51"/>
        <s v="1:10:57"/>
        <s v="2:02:35"/>
        <s v="1:39:10"/>
        <s v="1:23:46"/>
        <s v="1:12:53"/>
        <s v="1:43:51"/>
        <s v="1:25:52"/>
        <s v="2:06:09"/>
        <s v="1:03:22"/>
        <s v="1:14:25"/>
        <s v="1:34:45"/>
        <s v="1:37:38"/>
        <s v="1:36:03"/>
        <s v="1:17:04"/>
        <s v="1:03:05"/>
        <s v="1:33:34"/>
        <s v="1:43:58"/>
        <s v="1:38:52"/>
        <s v="1:17:54"/>
        <s v="1:20:30"/>
        <s v="1:08:54"/>
        <s v="1:12:14"/>
        <s v="1:01:48"/>
        <s v="1:05:20"/>
        <s v="1:26:42"/>
        <s v="1:28:50"/>
        <s v="1:17:39"/>
        <s v="1:53:08"/>
        <s v="1:48:14"/>
        <s v="1:30:00"/>
        <s v="2:13:32"/>
        <s v="1:55:13"/>
        <s v="1:18:29"/>
        <s v="1:09:23"/>
        <s v="1:11:31"/>
        <s v="1:02:56"/>
        <s v="1:25:48"/>
        <s v="1:03:34"/>
        <s v="1:10:54"/>
        <s v="2:06:01"/>
        <s v="2:08:34"/>
        <s v="1:27:07"/>
        <s v="1:40:23"/>
        <s v="1:45:55"/>
        <s v="1:24:45"/>
        <s v="1:19:02"/>
        <s v="1:20:52"/>
        <s v="1:16:27"/>
        <s v="1:53:21"/>
        <s v="1:14:03"/>
        <s v="1:34:03"/>
        <s v="1:58:11"/>
        <s v="1:25:07"/>
        <s v="1:48:13"/>
        <s v="1:36:19"/>
        <s v="1:05:55"/>
        <s v="1:15:27"/>
        <s v="1:27:04"/>
        <s v="1:29:41"/>
        <s v="1:28:32"/>
        <s v="1:18:10"/>
        <s v="1:22:06"/>
        <s v="0:59:08"/>
        <s v="1:21:05"/>
        <s v="1:25:05"/>
        <s v="1:04:02"/>
        <s v="1:18:42"/>
        <s v="1:22:22"/>
        <s v="2:06:12"/>
        <s v="1:44:21"/>
        <s v="1:23:07"/>
        <s v="1:51:22"/>
        <s v="1:00:31"/>
        <s v="2:01:42"/>
        <s v="1:23:26"/>
        <s v="1:39:14"/>
        <s v="1:24:30"/>
        <s v="2:04:32"/>
        <s v="1:05:53"/>
        <s v="1:15:15"/>
        <s v="1:13:58"/>
        <s v="1:45:21"/>
        <s v="1:44:23"/>
        <s v="1:39:33"/>
        <s v="1:26:22"/>
        <s v="1:11:34"/>
        <s v="1:03:56"/>
        <s v="1:45:17"/>
        <s v="1:34:33"/>
        <s v="1:21:39"/>
        <s v="1:20:38"/>
        <s v="1:09:06"/>
        <s v="1:07:39"/>
        <s v="1:17:34"/>
        <s v="1:32:55"/>
        <s v="1:52:25"/>
        <s v="1:14:07"/>
        <s v="1:48:59"/>
        <s v="1:03:17"/>
        <s v="1:11:39"/>
        <s v="1:36:51"/>
        <s v="1:06:27"/>
        <s v="1:24:07"/>
        <s v="1:22:02"/>
        <s v="0:58:00"/>
        <s v="1:39:36"/>
        <s v="2:00:22"/>
        <s v="1:15:36"/>
        <s v="1:13:10"/>
        <s v="1:30:01"/>
        <s v="1:30:58"/>
        <s v="1:03:53"/>
        <s v="1:33:13"/>
        <s v="1:15:53"/>
        <s v="1:10:23"/>
        <s v="1:20:21"/>
        <s v="1:23:42"/>
        <s v="1:42:01"/>
        <s v="1:55:50"/>
        <s v="1:02:37"/>
        <s v="1:24:06"/>
        <s v="0:57:23"/>
      </sharedItems>
    </cacheField>
    <cacheField name="Ātrums" numFmtId="0">
      <sharedItems containsSemiMixedTypes="0" containsString="0" containsNumber="1">
        <n v="17.5"/>
        <n v="27.7"/>
        <n v="33.3"/>
        <n v="25.4"/>
        <n v="25.9"/>
        <n v="22.6"/>
        <n v="33.8"/>
        <n v="25.2"/>
        <n v="25.8"/>
        <n v="32.9"/>
        <n v="20.9"/>
        <n v="21.0"/>
        <n v="28.1"/>
        <n v="19.4"/>
        <n v="27.3"/>
        <n v="20.7"/>
        <n v="21.1"/>
        <n v="28.5"/>
        <n v="16.9"/>
        <n v="29.8"/>
        <n v="30.5"/>
        <n v="36.4"/>
        <n v="29.0"/>
        <n v="19.2"/>
        <n v="23.9"/>
        <n v="23.6"/>
        <n v="27.0"/>
        <n v="20.0"/>
        <n v="43.3"/>
        <n v="30.6"/>
        <n v="21.9"/>
        <n v="31.5"/>
        <n v="18.7"/>
        <n v="31.6"/>
        <n v="23.1"/>
        <n v="43.4"/>
        <n v="43.9"/>
        <n v="17.9"/>
        <n v="16.5"/>
        <n v="29.1"/>
        <n v="29.3"/>
        <n v="31.1"/>
        <n v="24.2"/>
        <n v="33.5"/>
        <n v="32.6"/>
        <n v="28.4"/>
        <n v="26.7"/>
        <n v="22.0"/>
        <n v="43.2"/>
        <n v="28.8"/>
        <n v="18.2"/>
        <n v="26.0"/>
        <n v="20.6"/>
        <n v="15.3"/>
        <n v="30.8"/>
        <n v="28.9"/>
        <n v="31.8"/>
        <n v="40.5"/>
        <n v="24.5"/>
        <n v="21.8"/>
        <n v="21.6"/>
        <n v="17.2"/>
        <n v="23.8"/>
        <n v="35.3"/>
        <n v="33.9"/>
        <n v="15.5"/>
        <n v="20.3"/>
        <n v="22.1"/>
        <n v="42.5"/>
        <n v="20.2"/>
        <n v="23.5"/>
        <n v="27.8"/>
        <n v="18.9"/>
        <n v="26.3"/>
        <n v="27.6"/>
        <n v="35.0"/>
        <n v="23.4"/>
        <n v="32.8"/>
        <n v="30.2"/>
        <n v="26.6"/>
        <n v="20.4"/>
        <n v="36.1"/>
        <n v="35.8"/>
        <n v="29.4"/>
        <n v="26.8"/>
        <n v="26.4"/>
        <n v="25.1"/>
        <n v="23.7"/>
        <n v="25.0"/>
        <n v="22.5"/>
        <n v="33.7"/>
        <n v="30.9"/>
        <n v="29.2"/>
        <n v="28.6"/>
        <n v="27.9"/>
        <n v="25.7"/>
        <n v="28.7"/>
        <n v="32.0"/>
        <n v="27.1"/>
        <n v="22.2"/>
        <n v="14.5"/>
        <n v="25.6"/>
        <n v="33.2"/>
        <n v="20.5"/>
        <n v="16.2"/>
        <n v="18.5"/>
        <n v="14.9"/>
        <n v="26.5"/>
        <n v="25.5"/>
        <n v="19.6"/>
        <n v="23.0"/>
        <n v="28.2"/>
        <n v="24.4"/>
        <n v="32.1"/>
        <n v="34.8"/>
        <n v="30.3"/>
        <n v="33.0"/>
        <n v="26.9"/>
        <n v="18.4"/>
        <n v="17.3"/>
        <n v="33.6"/>
        <n v="19.8"/>
        <n v="24.9"/>
        <n v="29.5"/>
        <n v="22.9"/>
        <n v="28.0"/>
        <n v="36.2"/>
        <n v="42.7"/>
        <n v="29.9"/>
        <n v="14.8"/>
        <n v="24.6"/>
        <n v="31.2"/>
        <n v="42.4"/>
        <n v="17.0"/>
        <n v="20.8"/>
        <n v="21.2"/>
        <n v="19.1"/>
        <n v="19.0"/>
        <n v="22.7"/>
        <n v="36.3"/>
        <n v="23.2"/>
        <n v="17.8"/>
        <n v="17.7"/>
        <n v="25.3"/>
        <n v="19.3"/>
        <n v="22.8"/>
        <n v="19.9"/>
        <n v="24.3"/>
        <n v="32.5"/>
        <n v="39.9"/>
        <n v="30.0"/>
        <n v="27.4"/>
        <n v="28.3"/>
        <n v="24.0"/>
        <n v="21.7"/>
        <n v="32.3"/>
        <n v="19.5"/>
        <n v="27.2"/>
        <n v="31.9"/>
        <n v="18.0"/>
        <n v="35.4"/>
        <n v="22.3"/>
        <n v="26.2"/>
        <n v="43.1"/>
        <n v="42.1"/>
        <n v="38.7"/>
        <n v="43.0"/>
        <n v="33.4"/>
        <n v="20.1"/>
        <n v="29.6"/>
        <n v="18.6"/>
        <n v="16.8"/>
        <n v="17.6"/>
        <n v="22.4"/>
        <n v="34.1"/>
        <n v="16.1"/>
        <n v="31.4"/>
        <n v="34.0"/>
        <n v="19.7"/>
        <n v="24.7"/>
        <n v="36.8"/>
        <n v="32.4"/>
        <n v="31.3"/>
        <n v="17.1"/>
        <n v="32.7"/>
        <n v="36.5"/>
        <n v="41.7"/>
        <n v="18.3"/>
        <n v="16.6"/>
        <n v="14.7"/>
        <n v="42.8"/>
        <n v="40.4"/>
        <n v="24.1"/>
        <n v="35.2"/>
        <n v="30.1"/>
        <n v="26.1"/>
        <n v="27.5"/>
        <n v="16.0"/>
        <n v="29.7"/>
        <n v="34.3"/>
        <n v="36.6"/>
        <n v="37.3"/>
        <n v="14.1"/>
        <n v="34.7"/>
        <n v="35.5"/>
        <n v="23.3"/>
        <n v="30.7"/>
        <n v="34.9"/>
        <n v="31.0"/>
        <n v="31.7"/>
        <n v="35.9"/>
        <n v="15.4"/>
        <n v="21.4"/>
        <n v="13.0"/>
        <n v="34.2"/>
        <n v="18.8"/>
        <n v="30.4"/>
        <n v="39.4"/>
        <n v="24.8"/>
        <n v="21.3"/>
        <n v="16.3"/>
        <n v="42.3"/>
        <n v="15.6"/>
        <n v="34.4"/>
        <n v="35.7"/>
        <n v="21.5"/>
        <n v="15.9"/>
        <n v="33.1"/>
        <n v="42.9"/>
        <n v="32.2"/>
        <n v="40.3"/>
        <n v="40.2"/>
        <n v="36.7"/>
        <n v="45.2"/>
        <n v="36.0"/>
        <n v="37.9"/>
        <n v="37.8"/>
        <n v="17.4"/>
        <n v="37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487" sheet="velo"/>
  </cacheSource>
  <cacheFields>
    <cacheField name="Nr" numFmtId="0">
      <sharedItems>
        <s v="240"/>
        <s v="219"/>
        <s v="621"/>
        <s v="714"/>
        <s v="610"/>
        <s v="131"/>
        <s v="220"/>
        <s v="419"/>
        <s v="535"/>
        <s v="226"/>
        <s v="623"/>
        <s v="104"/>
        <s v="241"/>
        <s v="242"/>
        <s v="968"/>
        <s v="921"/>
        <s v="106"/>
        <s v="127"/>
        <s v="142"/>
        <s v="822"/>
        <s v="289"/>
        <s v="130"/>
        <s v="107"/>
        <s v="221"/>
        <s v="216"/>
        <s v="592"/>
        <s v="593"/>
        <s v="7"/>
        <s v="223"/>
        <s v="105"/>
        <s v="672"/>
        <s v="500"/>
        <s v="357"/>
        <s v="436"/>
        <s v="12"/>
        <s v="1"/>
        <s v="102"/>
        <s v="326"/>
        <s v="245"/>
        <s v="267"/>
        <s v="275"/>
        <s v="298"/>
        <s v="689"/>
        <s v="687"/>
        <s v="688"/>
        <s v="870"/>
        <s v="265"/>
        <s v="951"/>
        <s v="209"/>
        <s v="435"/>
        <s v="6"/>
        <s v="133"/>
        <s v="576"/>
        <s v="215"/>
        <s v="660"/>
        <s v="680"/>
        <s v="659"/>
        <s v="204"/>
        <s v="30"/>
        <s v="232"/>
        <s v="387"/>
        <s v="511"/>
        <s v="103"/>
        <s v="512"/>
        <s v="201"/>
        <s v="126"/>
        <s v="857"/>
        <s v="124"/>
        <s v="72"/>
        <s v="73"/>
        <s v="224"/>
        <s v="424"/>
        <s v="379"/>
        <s v="128"/>
        <s v="134"/>
        <s v="44"/>
        <s v="246"/>
        <s v="11"/>
        <s v="140"/>
        <s v="375"/>
        <s v="214"/>
        <s v="37"/>
        <s v="50"/>
        <s v="119"/>
        <s v="820"/>
        <s v="235"/>
        <s v="312"/>
        <s v="854"/>
        <s v="249"/>
        <s v="118"/>
        <s v="202"/>
        <s v="203"/>
        <s v="207"/>
        <s v="231"/>
        <s v="244"/>
        <s v="316"/>
        <s v="706"/>
        <s v="206"/>
        <s v="701"/>
        <s v="340"/>
        <s v="122"/>
        <s v="55"/>
        <s v="439"/>
        <s v="467"/>
        <s v="800"/>
        <s v="247"/>
        <s v="261"/>
        <s v="278"/>
        <s v="426"/>
        <s v="445"/>
        <s v="478"/>
        <s v="758"/>
        <s v="772"/>
        <s v="801"/>
        <s v="808"/>
        <s v="935"/>
        <s v="949"/>
        <s v="239"/>
        <s v="217"/>
        <s v="218"/>
        <s v="228"/>
        <s v="819"/>
        <s v="307"/>
        <s v="409"/>
        <s v="842"/>
        <s v="742"/>
        <s v="648"/>
        <s v="358"/>
        <s v="474"/>
        <s v="768"/>
        <s v="647"/>
        <s v="243"/>
        <s v="227"/>
        <s v="781"/>
        <s v="563"/>
        <s v="56"/>
        <s v="225"/>
        <s v="302"/>
        <s v="911"/>
        <s v="211"/>
        <s v="213"/>
        <s v="208"/>
        <s v="700"/>
        <s v="698"/>
        <s v="708"/>
        <s v="460"/>
        <s v="100"/>
        <s v="323"/>
        <s v="942"/>
        <s v="943"/>
        <s v="664"/>
        <s v="497"/>
        <s v="291"/>
        <s v="487"/>
        <s v="644"/>
        <s v="645"/>
        <s v="440"/>
        <s v="565"/>
        <s v="234"/>
        <s v="210"/>
        <s v="760"/>
        <s v="562"/>
        <s v="43"/>
        <s v="553"/>
        <s v="212"/>
        <s v="584"/>
        <s v="48"/>
        <s v="769"/>
        <s v="26"/>
        <s v="786"/>
        <s v="233"/>
        <s v="906"/>
        <s v="200"/>
        <s v="230"/>
        <s v="600"/>
        <s v="120"/>
        <s v="121"/>
        <s v="507"/>
        <s v="508"/>
        <s v="321"/>
        <s v="683"/>
        <s v="956"/>
        <s v="236"/>
        <s v="481"/>
        <s v="222"/>
        <s v="526"/>
        <s v="318"/>
        <s v="987"/>
        <s v="862"/>
        <s v="863"/>
        <s v="855"/>
        <s v="556"/>
        <s v="52"/>
        <s v="237"/>
        <s v="123"/>
        <s v="741"/>
        <s v="740"/>
        <s v="125"/>
        <s v="101"/>
        <s v="383"/>
        <s v="923"/>
        <s v="771"/>
        <s v="519"/>
        <s v="354"/>
        <s v="650"/>
        <s v="924"/>
        <s v="766"/>
        <s v="238"/>
        <s v="109"/>
        <s v="132"/>
        <s v="355"/>
        <s v="80"/>
        <s v="618"/>
        <s v="617"/>
        <s v="21"/>
        <s v="277"/>
        <s v="895"/>
        <s v="529"/>
        <s v="828"/>
        <s v="351"/>
        <s v="257"/>
        <s v="652"/>
        <s v="896"/>
        <s v="282"/>
        <s v="229"/>
        <s v="632"/>
        <s v="205"/>
        <s v="628"/>
        <s v="892"/>
        <s v="386"/>
        <s v="860"/>
        <s v="861"/>
        <s v="5"/>
        <s v="71"/>
        <s v="720"/>
        <s v="953"/>
        <s v="271"/>
        <s v="58"/>
        <s v="751"/>
        <s v="752"/>
        <s v="90"/>
        <s v="837"/>
        <s v="29"/>
        <s v="750"/>
        <s v="651"/>
        <s v="141"/>
        <s v="4"/>
        <s v="509"/>
        <s v="868"/>
        <s v="869"/>
        <s v="676"/>
        <s v="49"/>
        <s v="520"/>
        <s v="890"/>
        <s v="779"/>
        <s v="988"/>
        <s v="990"/>
        <s v="557"/>
        <s v="541"/>
        <s v="839"/>
        <s v="347"/>
        <s v="368"/>
        <s v="773"/>
        <s v="753"/>
        <s v="754"/>
        <s v="732"/>
        <s v="730"/>
        <s v="280"/>
        <s v="34"/>
        <s v="70"/>
        <s v="523"/>
        <s v="824"/>
        <s v="76"/>
        <s v="482"/>
        <s v="825"/>
        <s v="731"/>
        <s v="957"/>
        <s v="993"/>
        <s v="851"/>
        <s v="719"/>
        <s v="909"/>
        <s v="997"/>
        <s v="718"/>
        <s v="940"/>
        <s v="514"/>
        <s v="448"/>
        <s v="560"/>
        <s v="352"/>
        <s v="709"/>
        <s v="598"/>
        <s v="393"/>
        <s v="783"/>
        <s v="678"/>
        <s v="23"/>
        <s v="412"/>
        <s v="785"/>
        <s v="295"/>
        <s v="630"/>
        <s v="702"/>
        <s v="707"/>
        <s v="703"/>
        <s v="738"/>
        <s v="655"/>
        <s v="24"/>
        <s v="404"/>
        <s v="749"/>
        <s v="755"/>
        <s v="919"/>
        <s v="642"/>
        <s v="310"/>
        <s v="65"/>
        <s v="780"/>
        <s v="971"/>
        <s v="972"/>
        <s v="68"/>
        <s v="251"/>
        <s v="965"/>
        <s v="346"/>
        <s v="373"/>
        <s v="427"/>
        <s v="611"/>
        <s v="423"/>
        <s v="381"/>
        <s v="830"/>
        <s v="899"/>
        <s v="303"/>
        <s v="658"/>
        <s v="850"/>
        <s v="898"/>
        <s v="937"/>
        <s v="969"/>
        <s v="970"/>
        <s v="570"/>
        <s v="255"/>
        <s v="818"/>
        <s v="904"/>
        <s v="905"/>
        <s v="903"/>
        <s v="613"/>
        <s v="612"/>
        <s v="614"/>
        <s v="288"/>
        <s v="728"/>
        <s v="274"/>
        <s v="342"/>
        <s v="408"/>
        <s v="777"/>
        <s v="441"/>
        <s v="585"/>
        <s v="586"/>
        <s v="587"/>
        <s v="588"/>
        <s v="975"/>
        <s v="976"/>
        <s v="260"/>
        <s v="657"/>
        <s v="108"/>
        <s v="594"/>
        <s v="595"/>
        <s v="950"/>
        <s v="32"/>
        <s v="273"/>
        <s v="549"/>
        <s v="794"/>
        <s v="776"/>
        <s v="624"/>
        <s v="542"/>
        <s v="811"/>
        <s v="775"/>
        <s v="483"/>
        <s v="569"/>
        <s v="2"/>
        <s v="977"/>
        <s v="391"/>
        <s v="430"/>
        <s v="793"/>
        <s v="431"/>
        <s v="637"/>
        <s v="693"/>
        <s v="16"/>
        <s v="843"/>
        <s v="606"/>
        <s v="605"/>
        <s v="713"/>
        <s v="286"/>
        <s v="696"/>
        <s v="788"/>
        <s v="805"/>
        <s v="87"/>
        <s v="967"/>
        <s v="992"/>
        <s v="479"/>
        <s v="677"/>
        <s v="856"/>
        <s v="248"/>
        <s v="933"/>
        <s v="74"/>
        <s v="81"/>
        <s v="513"/>
        <s v="979"/>
        <s v="631"/>
        <s v="646"/>
        <s v="767"/>
        <s v="831"/>
        <s v="320"/>
        <s v="397"/>
        <s v="538"/>
        <s v="727"/>
        <s v="873"/>
        <s v="304"/>
        <s v="958"/>
        <s v="311"/>
        <s v="571"/>
        <s v="390"/>
        <s v="490"/>
        <s v="845"/>
        <s v="910"/>
        <s v="60"/>
        <s v="62"/>
        <s v="589"/>
        <s v="39"/>
        <s v="663"/>
        <s v="916"/>
        <s v="901"/>
        <s v="532"/>
        <s v="366"/>
        <s v="472"/>
        <s v="522"/>
        <s v="365"/>
        <s v="446"/>
        <s v="666"/>
        <s v="803"/>
        <s v="814"/>
        <s v="729"/>
        <s v="608"/>
        <s v="583"/>
        <s v="418"/>
        <s v="457"/>
        <s v="872"/>
        <s v="591"/>
        <s v="897"/>
        <s v="324"/>
        <s v="334"/>
        <s v="946"/>
        <s v="444"/>
        <s v="15"/>
        <s v="254"/>
        <s v="874"/>
        <s v="345"/>
        <s v="546"/>
        <s v="989"/>
        <s v="501"/>
        <s v="908"/>
        <s v="734"/>
        <s v="447"/>
        <s v="328"/>
        <s v="456"/>
        <s v="51"/>
        <s v="388"/>
        <s v="536"/>
        <s v="329"/>
        <s v="548"/>
        <s v="792"/>
        <s v="88"/>
        <s v="596"/>
        <s v="262"/>
        <s v="466"/>
        <s v="999"/>
        <s v="396"/>
        <s v="504"/>
        <s v="28"/>
        <s v="559"/>
        <s v="461"/>
        <s v="322"/>
        <s v="530"/>
        <s v="263"/>
        <s v="939"/>
        <s v="434"/>
        <s v="421"/>
        <s v="954"/>
        <s v="875"/>
        <s v="516"/>
        <s v="757"/>
        <s v="756"/>
        <s v="540"/>
        <s v="364"/>
        <s v="332"/>
        <s v="464"/>
        <s v="533"/>
        <s v="539"/>
        <s v="331"/>
        <s v="89"/>
        <s v="492"/>
        <s v="493"/>
        <s v="296"/>
        <s v="82"/>
        <s v="978"/>
        <s v="349"/>
        <s v="258"/>
        <s v="770"/>
        <s v="681"/>
        <s v="555"/>
        <s v="925"/>
        <s v="795"/>
        <s v="411"/>
        <s v="934"/>
        <s v="889"/>
        <s v="360"/>
        <s v="372"/>
        <s v="496"/>
        <s v="308"/>
        <s v="420"/>
        <s v="518"/>
        <s v="636"/>
        <s v="667"/>
        <s v="695"/>
        <s v="356"/>
        <s v="802"/>
        <s v="973"/>
        <s v="250"/>
        <s v="284"/>
        <s v="376"/>
        <s v="473"/>
        <s v="480"/>
        <s v="545"/>
        <s v="721"/>
        <s v="343"/>
        <s v="640"/>
        <s v="635"/>
        <s v="341"/>
        <s v="78"/>
        <s v="983"/>
        <s v="759"/>
        <s v="450"/>
        <s v="774"/>
        <s v="962"/>
        <s v="748"/>
        <s v="948"/>
        <s v="649"/>
        <s v="27"/>
        <s v="762"/>
        <s v="395"/>
        <s v="384"/>
        <s v="401"/>
        <s v="402"/>
        <s v="18"/>
        <s v="54"/>
        <s v="692"/>
        <s v="10"/>
        <s v="63"/>
        <s v="743"/>
        <s v="319"/>
        <s v="590"/>
        <s v="984"/>
        <s v="745"/>
        <s v="406"/>
        <s v="463"/>
        <s v="398"/>
        <s v="455"/>
        <s v="602"/>
        <s v="724"/>
        <s v="722"/>
        <s v="723"/>
        <s v="789"/>
        <s v="980"/>
        <s v="991"/>
        <s v="468"/>
        <s v="377"/>
        <s v="378"/>
        <s v="761"/>
        <s v="622"/>
        <s v="601"/>
        <s v="9"/>
        <s v="45"/>
        <s v="847"/>
        <s v="848"/>
        <s v="344"/>
        <s v="385"/>
        <s v="20"/>
        <s v="25"/>
        <s v="686"/>
        <s v="711"/>
        <s v="712"/>
        <s v="716"/>
        <s v="891"/>
        <s v="615"/>
        <s v="616"/>
        <s v="443"/>
        <s v="449"/>
        <s v="469"/>
        <s v="865"/>
        <s v="866"/>
        <s v="881"/>
        <s v="782"/>
        <s v="575"/>
        <s v="551"/>
        <s v="47"/>
        <s v="268"/>
        <s v="31"/>
        <s v="528"/>
        <s v="629"/>
        <s v="38"/>
        <s v="668"/>
        <s v="996"/>
        <s v="912"/>
        <s v="913"/>
        <s v="915"/>
        <s v="465"/>
        <s v="279"/>
        <s v="525"/>
        <s v="827"/>
        <s v="864"/>
        <s v="859"/>
        <s v="531"/>
        <s v="8"/>
        <s v="293"/>
        <s v="871"/>
        <s v="451"/>
        <s v="726"/>
        <s v="930"/>
        <s v="485"/>
        <s v="491"/>
        <s v="270"/>
        <s v="917"/>
        <s v="832"/>
        <s v="986"/>
        <s v="292"/>
        <s v="86"/>
        <s v="259"/>
        <s v="407"/>
        <s v="410"/>
        <s v="371"/>
        <s v="489"/>
        <s v="527"/>
        <s v="566"/>
        <s v="503"/>
        <s v="816"/>
        <s v="938"/>
        <s v="486"/>
        <s v="796"/>
        <s v="797"/>
        <s v="495"/>
        <s v="638"/>
        <s v="502"/>
        <s v="705"/>
        <s v="61"/>
        <s v="641"/>
        <s v="682"/>
        <s v="561"/>
        <s v="627"/>
        <s v="300"/>
        <s v="927"/>
        <s v="3"/>
        <s v="361"/>
        <s v="656"/>
        <s v="314"/>
        <s v="315"/>
        <s v="337"/>
        <s v="414"/>
        <s v="826"/>
        <s v="42"/>
        <s v="817"/>
        <s v="389"/>
        <s v="506"/>
        <s v="573"/>
        <s v="834"/>
        <s v="35"/>
        <s v="359"/>
        <s v="394"/>
        <s v="835"/>
        <s v="403"/>
        <s v="425"/>
        <s v="428"/>
        <s v="369"/>
        <s v="552"/>
        <s v="679"/>
        <s v="458"/>
        <s v="739"/>
        <s v="959"/>
        <s v="266"/>
        <s v="858"/>
        <s v="313"/>
        <s v="558"/>
        <s v="382"/>
        <s v="416"/>
        <s v="840"/>
        <s v="684"/>
        <s v="710"/>
        <s v="944"/>
        <s v="333"/>
        <s v="634"/>
        <s v="867"/>
        <s v="488"/>
        <s v="515"/>
        <s v="929"/>
        <s v="505"/>
        <s v="437"/>
        <s v="544"/>
        <s v="790"/>
        <s v="841"/>
        <s v="305"/>
        <s v="374"/>
        <s v="876"/>
        <s v="877"/>
        <s v="294"/>
        <s v="367"/>
        <s v="484"/>
        <s v="499"/>
        <s v="433"/>
        <s v="317"/>
        <s v="339"/>
        <s v="733"/>
        <s v="966"/>
        <s v="670"/>
        <s v="673"/>
        <s v="607"/>
        <s v="603"/>
        <s v="297"/>
        <s v="547"/>
        <s v="46"/>
        <s v="453"/>
        <s v="604"/>
        <s v="902"/>
        <s v="429"/>
        <s v="438"/>
        <s v="849"/>
        <s v="19"/>
        <s v="309"/>
        <s v="290"/>
        <s v="521"/>
        <s v="838"/>
        <s v="974"/>
        <s v="510"/>
        <s v="57"/>
        <s v="669"/>
        <s v="747"/>
        <s v="40"/>
        <s v="287"/>
        <s v="550"/>
        <s v="14"/>
        <s v="852"/>
        <s v="392"/>
        <s v="306"/>
        <s v="454"/>
        <s v="285"/>
        <s v="348"/>
        <s v="995"/>
        <s v="269"/>
        <s v="799"/>
        <s v="836"/>
        <s v="67"/>
        <s v="272"/>
        <s v="380"/>
        <s v="537"/>
        <s v="812"/>
        <s v="281"/>
        <s v="778"/>
        <s v="821"/>
        <s v="75"/>
        <s v="91"/>
        <s v="276"/>
        <s v="619"/>
        <s v="704"/>
        <s v="945"/>
        <s v="53"/>
        <s v="936"/>
        <s v="952"/>
        <s v="717"/>
        <s v="955"/>
        <s v="567"/>
        <s v="961"/>
        <s v="941"/>
        <s v="413"/>
        <s v="813"/>
        <s v="715"/>
        <s v="417"/>
        <s v="900"/>
        <s v="964"/>
        <s v="823"/>
        <s v="580"/>
        <s v="581"/>
        <s v="77"/>
        <s v="918"/>
        <s v="470"/>
        <s v="574"/>
        <s v="697"/>
        <s v="459"/>
        <s v="17"/>
        <s v="13"/>
        <s v="462"/>
        <s v="885"/>
        <s v="579"/>
        <s v="853"/>
        <s v="301"/>
        <s v="543"/>
        <s v="694"/>
        <s v="517"/>
        <s v="330"/>
        <s v="685"/>
        <s v="471"/>
        <s v="36"/>
        <s v="639"/>
        <s v="744"/>
        <s v="577"/>
        <s v="494"/>
        <s v="787"/>
        <s v="59"/>
        <s v="815"/>
        <s v="415"/>
        <s v="662"/>
      </sharedItems>
    </cacheField>
    <cacheField name="Grupa" numFmtId="0">
      <sharedItems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</sharedItems>
    </cacheField>
    <cacheField name="Uzvārds" numFmtId="0">
      <sharedItems>
        <s v="Ābele"/>
        <s v="Ābelīte"/>
        <s v="Ābelīts"/>
        <s v="Ābeļkalns"/>
        <s v="Ābiķis"/>
        <s v="Abiņš"/>
        <s v="Āboliņš"/>
        <s v="Adijāns"/>
        <s v="Agejevs"/>
        <s v="Aizkalns"/>
        <s v="Aizups"/>
        <s v="Akmentiņa"/>
        <s v="Āķis"/>
        <s v="Albāts"/>
        <s v="Alberte"/>
        <s v="Alberts"/>
        <s v="Aleksandrovs"/>
        <s v="Aleksīns"/>
        <s v="Aliks"/>
        <s v="Alksnis"/>
        <s v="Alsiņš"/>
        <s v="Alviķis"/>
        <s v="Aļeksejevs"/>
        <s v="Ambainis"/>
        <s v="Ameters"/>
        <s v="Anderdorfs"/>
        <s v="Andersons"/>
        <s v="Andrejevs"/>
        <s v="Andrijanova"/>
        <s v="Andrijanovs"/>
        <s v="Ansons"/>
        <s v="Anspoka"/>
        <s v="Anspoks"/>
        <s v="Antonovs"/>
        <s v="Antropovs"/>
        <s v="Apsītis"/>
        <s v="Aramina"/>
        <s v="Aramins"/>
        <s v="Arbidāne"/>
        <s v="Arbidāns"/>
        <s v="Arsts"/>
        <s v="Auriņš"/>
        <s v="Ausmanis"/>
        <s v="Avens"/>
        <s v="Avotiņš"/>
        <s v="Baklanova"/>
        <s v="Baklāns"/>
        <s v="Bāliņa"/>
        <s v="Bāliņš"/>
        <s v="Balodis"/>
        <s v="Baltiņš"/>
        <s v="Bamers"/>
        <s v="Banders"/>
        <s v="Baranovskis"/>
        <s v="Bārenis"/>
        <s v="Bāris"/>
        <s v="Barkovskis"/>
        <s v="Barons"/>
        <s v="Bartavskis"/>
        <s v="Bartusauskis"/>
        <s v="Bartuševičs"/>
        <s v="Barzdevičs"/>
        <s v="Batraga"/>
        <s v="Batrags"/>
        <s v="Baumanis"/>
        <s v="Bazevičs"/>
        <s v="Bebrovskis"/>
        <s v="Bēcis"/>
        <s v="Beika"/>
        <s v="Beitāns"/>
        <s v="Bekmanis"/>
        <s v="Beķeris"/>
        <s v="Beķis"/>
        <s v="Belmanis"/>
        <s v="Belozerovs"/>
        <s v="Bemere"/>
        <s v="Benefelds"/>
        <s v="Benhens"/>
        <s v="Berga"/>
        <s v="Bergmanis"/>
        <s v="Bergs"/>
        <s v="Berhards"/>
        <s v="Berjoza"/>
        <s v="Berkmanis"/>
        <s v="Berķe"/>
        <s v="Berķis"/>
        <s v="Bernāne"/>
        <s v="Bernāns"/>
        <s v="Berners"/>
        <s v="Bernharde"/>
        <s v="Bernhards"/>
        <s v="Bērsons"/>
        <s v="Bērziņa"/>
        <s v="Bērziņš"/>
        <s v="Bethens"/>
        <s v="Bidiņa"/>
        <s v="Bidiņš"/>
        <s v="Bīlāns"/>
        <s v="Bilzēns"/>
        <s v="Biraus"/>
        <s v="Birkants"/>
        <s v="Birkentāla"/>
        <s v="Birkentāls"/>
        <s v="Birks"/>
        <s v="Birža"/>
        <s v="Bisenieks"/>
        <s v="Bitītis"/>
        <s v="Bjalkoskis"/>
        <s v="Blūma"/>
        <s v="Blumbergs"/>
        <s v="Blūms"/>
        <s v="Bļinovs"/>
        <s v="Bļodnieks"/>
        <s v="Bļusis"/>
        <s v="Bodnieks"/>
        <s v="Boganova"/>
        <s v="Bogdanovičs"/>
        <s v="Bogdanovs"/>
        <s v="Boldāns"/>
        <s v="Bomiks"/>
        <s v="Bondars"/>
        <s v="Borisovs"/>
        <s v="Boša"/>
        <s v="Bošs"/>
        <s v="Bowen"/>
        <s v="Brālis"/>
        <s v="Branmbergs"/>
        <s v="Brence"/>
        <s v="Bricis"/>
        <s v="Briede"/>
        <s v="Briedis"/>
        <s v="Briedīts"/>
        <s v="Broka"/>
        <s v="Broks"/>
        <s v="Brūvele"/>
        <s v="Brūvelis"/>
        <s v="Bružis"/>
        <s v="Builis"/>
        <s v="Buivids"/>
        <s v="Bukavs"/>
        <s v="Bukins"/>
        <s v="Bukovskis"/>
        <s v="Buks"/>
        <s v="Buķis"/>
        <s v="Buliga"/>
        <s v="Bumbulis"/>
        <s v="Bundze"/>
        <s v="Bundzenieks"/>
        <s v="Bunga Loce"/>
        <s v="Bungše"/>
        <s v="Būris"/>
        <s v="Burka       "/>
        <s v="Burkevičs"/>
        <s v="Butauts"/>
        <s v="Caune"/>
        <s v="Caune-Morzik"/>
        <s v="Celms"/>
        <s v="Ceplīte"/>
        <s v="Cepurītis"/>
        <s v="Cera"/>
        <s v="Cers"/>
        <s v="Ciaguns"/>
        <s v="Cikmačs"/>
        <s v="Cimdiņš"/>
        <s v="Cimermanis"/>
        <s v="Cīmurs"/>
        <s v="Cipe"/>
        <s v="Cipulis"/>
        <s v="Circāns"/>
        <s v="Circene"/>
        <s v="Cīrule"/>
        <s v="Cīrulis"/>
        <s v="Cirvelis"/>
        <s v="Citskovskis"/>
        <s v="Čavars"/>
        <s v="Čeksteris"/>
        <s v="Čeksters"/>
        <s v="Čerņavska"/>
        <s v="Čiekure"/>
        <s v="Čiekurs"/>
        <s v="Čigurs"/>
        <s v="Čipots"/>
        <s v="Čiževskis"/>
        <s v="Čūdere"/>
        <s v="Čukure"/>
        <s v="Čukurs"/>
        <s v="Čuņčule"/>
        <s v="Dābola"/>
        <s v="Daģis"/>
        <s v="Dainis"/>
        <s v="Dakteris"/>
        <s v="Daktiņš"/>
        <s v="Dalderis"/>
        <s v="Dambekalns"/>
        <s v="Dambeniece"/>
        <s v="Dambenieks"/>
        <s v="Dambinieks"/>
        <s v="Daniļina"/>
        <s v="Dannebergs"/>
        <s v="Daņiļeviča"/>
        <s v="Dasko"/>
        <s v="Daugaviņš"/>
        <s v="Daugule"/>
        <s v="Dauksts"/>
        <s v="Deičmane"/>
        <s v="Deičmanis"/>
        <s v="Deksnis"/>
        <s v="Delle"/>
        <s v="Deniņa"/>
        <s v="Dergača"/>
        <s v="Derrings"/>
        <s v="Detlavs"/>
        <s v="Dievkociņš"/>
        <s v="Dillon"/>
        <s v="Dimza"/>
        <s v="Dmitrijevs"/>
        <s v="Dombrovska"/>
        <s v="Dombrovskis"/>
        <s v="Donalds"/>
        <s v="Dorošs"/>
        <s v="Dragels"/>
        <s v="Draugs"/>
        <s v="Dravants"/>
        <s v="Dravnieks"/>
        <s v="Droškina"/>
        <s v="Drozdovs"/>
        <s v="Dundure"/>
        <s v="Dzalbs"/>
        <s v="Dzirnieks"/>
        <s v="Dzirvinskis"/>
        <s v="Dzīvītis"/>
        <s v="Eglīte"/>
        <s v="Eglītis"/>
        <s v="Eiduka"/>
        <s v="Eiduks"/>
        <s v="Eislers"/>
        <s v="Eliass"/>
        <s v="Elksnīts"/>
        <s v="Elsons"/>
        <s v="Empelis"/>
        <s v="Ennītis"/>
        <s v="Erdmane"/>
        <s v="Ērglis"/>
        <s v="Eriņš"/>
        <s v="Ērmanis"/>
        <s v="Ermansons"/>
        <s v="Ermiņš"/>
        <s v="Fedosjonoks"/>
        <s v="Fedotovs"/>
        <s v="Fels"/>
        <s v="Felsa"/>
        <s v="Filipsons"/>
        <s v="Finartija"/>
        <s v="Finartijs"/>
        <s v="Flaksis"/>
        <s v="Fogelis"/>
        <s v="Fogels"/>
        <s v="Fomina"/>
        <s v="Fomins"/>
        <s v="Freda"/>
        <s v="Frejs"/>
        <s v="Frīdenbergs"/>
        <s v="Fridrihsons"/>
        <s v="Frišfelds"/>
        <s v="Fūrmane"/>
        <s v="Fūrmanis"/>
        <s v="Gabrāne"/>
        <s v="Gagainis"/>
        <s v="Gailis"/>
        <s v="Gailītis"/>
        <s v="Gailums"/>
        <s v="Galejs"/>
        <s v="Galinauskas"/>
        <s v="Gaļinovskis"/>
        <s v="Garenčiks"/>
        <s v="Garkalns"/>
        <s v="Gasūna"/>
        <s v="Gatere"/>
        <s v="Gauja"/>
        <s v="Gavare"/>
        <s v="Gavars"/>
        <s v="Gāze"/>
        <s v="Gedrovica"/>
        <s v="Gedrovics"/>
        <s v="Geduša"/>
        <s v="Gedušs"/>
        <s v="Geraskins"/>
        <s v="Gerīnbergs"/>
        <s v="Gerliņš"/>
        <s v="Geta"/>
        <s v="Gibze"/>
        <s v="Gilucis"/>
        <s v="Gintere"/>
        <s v="Goba"/>
        <s v="Goģis"/>
        <s v="Goldbergs"/>
        <s v="Goncaronoks"/>
        <s v="Gončars"/>
        <s v="Gorodeckis"/>
        <s v="Gotfridsons"/>
        <s v="Gradkovskis"/>
        <s v="Grams"/>
        <s v="Gransberga"/>
        <s v="Grass"/>
        <s v="Grebežnieks"/>
        <s v="Greckis"/>
        <s v="Grigalinovič"/>
        <s v="Grigorjevs"/>
        <s v="Grīgs"/>
        <s v="Grikke"/>
        <s v="Griķe"/>
        <s v="Griķis"/>
        <s v="Grinbergs"/>
        <s v="Grīnbergs"/>
        <s v="Grīnhofs"/>
        <s v="Grīnmane"/>
        <s v="Grods"/>
        <s v="Grundule"/>
        <s v="Grundulis"/>
        <s v="Gruziņš"/>
        <s v="Gulbe"/>
        <s v="Gulbergs"/>
        <s v="Gulbis"/>
        <s v="Guļevskis"/>
        <s v="Guņkovs"/>
        <s v="Gurtiņa"/>
        <s v="Guščins"/>
        <s v="Gūtmane"/>
        <s v="Gvido Zvaigz"/>
        <s v="Ģērmanis"/>
        <s v="Ģēvelis"/>
        <s v="Ģinis"/>
        <s v="Haritesku"/>
        <s v="Hartmanis"/>
        <s v="Hāze"/>
        <s v="Heimrāts"/>
        <s v="Heinols"/>
        <s v="Helmane"/>
        <s v="Hertmane"/>
        <s v="Holma"/>
        <s v="Holšteins"/>
        <s v="Iekļavs"/>
        <s v="Ieviņš"/>
        <s v="Iklāvs"/>
        <s v="Īle"/>
        <s v="Ilmeļņickis"/>
        <s v="Iļjenko"/>
        <s v="Iļķēns"/>
        <s v="Imune"/>
        <s v="Ince"/>
        <s v="Indrāns"/>
        <s v="Inka"/>
        <s v="Irklis"/>
        <s v="Istjagina"/>
        <s v="Istjagins"/>
        <s v="Ivanovs"/>
        <s v="Ivanovska"/>
        <s v="Jākabsons"/>
        <s v="Jakovels"/>
        <s v="Jakovļeva"/>
        <s v="Jakovļevs"/>
        <s v="Jakubovska"/>
        <s v="Jakubovskis"/>
        <s v="Jankova"/>
        <s v="Jankovs"/>
        <s v="Jankovskis"/>
        <s v="Janova"/>
        <s v="Janoviča"/>
        <s v="Jansone"/>
        <s v="Jansons"/>
        <s v="Jantone"/>
        <s v="Jasinkeviča"/>
        <s v="Jasinkēviča"/>
        <s v="Jasinkevičs"/>
        <s v="Jaunītis"/>
        <s v="Jauntēvs"/>
        <s v="Jaunzeme"/>
        <s v="Jēgers"/>
        <s v="Jegorenko"/>
        <s v="Jēkabsone"/>
        <s v="Jēkabsons"/>
        <s v="Jekševics"/>
        <s v="Jelisejevs"/>
        <s v="Jerjomenko"/>
        <s v="Jevsevjevs"/>
        <s v="Jonaitis"/>
        <s v="Jonass"/>
        <s v="Jonāts"/>
        <s v="Joņkus"/>
        <s v="Jurgels"/>
        <s v="Jurģelis"/>
        <s v="Jurisons"/>
        <s v="Jurševska"/>
        <s v="Jurševskis"/>
        <s v="Kairišs"/>
        <s v="Kalašņikovs"/>
        <s v="Kalējs"/>
        <s v="Kaliksone"/>
        <s v="Kaliksons"/>
        <s v="Kalinka"/>
        <s v="Kālis"/>
        <s v="Kalniņa"/>
        <s v="Kalniņš"/>
        <s v="Kalnups"/>
        <s v="Kalve"/>
        <s v="Kalverša"/>
        <s v="Kalveršs"/>
        <s v="Kalvišķis"/>
        <s v="Kampuse"/>
        <s v="Kampuss"/>
        <s v="Kanaviņš"/>
        <s v="Kandelis"/>
        <s v="Kapitonovs"/>
        <s v="Kārkliņš"/>
        <s v="Karpinskis"/>
        <s v="Kāršenieks"/>
        <s v="Kāršniece"/>
        <s v="Kasparsons"/>
        <s v="Kaupe"/>
        <s v="Kazainis"/>
        <s v="Každaļevič"/>
        <s v="Keiša"/>
        <s v="Kikusts"/>
        <s v="Kipurs"/>
        <s v="Klefelde"/>
        <s v="Kleinberga"/>
        <s v="Kleinbergs"/>
        <s v="Klepers"/>
        <s v="Klēvers"/>
        <s v="Klucis"/>
        <s v="Kļaviņš"/>
        <s v="Kļavnieks"/>
        <s v="Kļukins"/>
        <s v="Knēža"/>
        <s v="Knope"/>
        <s v="Kokare"/>
        <s v="Kokars"/>
        <s v="Kokts"/>
        <s v="Kolovza"/>
        <s v="Koļagins"/>
        <s v="Komovs"/>
        <s v="Kondrāds"/>
        <s v="Kondratjevs"/>
        <s v="Kononovič"/>
        <s v="Kononovs"/>
        <s v="Konrāde"/>
        <s v="Konunovs"/>
        <s v="Korņējeva"/>
        <s v="Korņējevs"/>
        <s v="Korņilovs"/>
        <s v="Korotkovs"/>
        <s v="Kosarevs"/>
        <s v="Kovalevska"/>
        <s v="Kovals"/>
        <s v="Kovaļenko"/>
        <s v="Kovšele"/>
        <s v="Kovtuņenko"/>
        <s v="Krama"/>
        <s v="Krams"/>
        <s v="Krasta"/>
        <s v="Krastiņš"/>
        <s v="Krasts"/>
        <s v="Krauja"/>
        <s v="Kraukle"/>
        <s v="Kravale"/>
        <s v="Kravalis"/>
        <s v="Kreicbergs"/>
        <s v="Kreiss"/>
        <s v="Krēsliņš"/>
        <s v="Krievāne"/>
        <s v="Krievkalns"/>
        <s v="Krievs"/>
        <s v="Kristovskis"/>
        <s v="Krogzeme"/>
        <s v="Krogzems"/>
        <s v="Krūklīte"/>
        <s v="Krūklītis"/>
        <s v="Krūmiņa"/>
        <s v="Krūmiņliepa"/>
        <s v="Krūmiņš"/>
        <s v="Krustiņš"/>
        <s v="Kublačovs"/>
        <s v="Kubliņš"/>
        <s v="Kudrašs"/>
        <s v="Kukaine"/>
        <s v="Kulago"/>
        <s v="Kulpe"/>
        <s v="Kupča"/>
        <s v="Kupčs"/>
        <s v="Kuplis"/>
        <s v="Kuprišs"/>
        <s v="Kurmeļjevs"/>
        <s v="Kursiša"/>
        <s v="Kursītis"/>
        <s v="Kusiņa"/>
        <s v="Kusiņš"/>
        <s v="Kušķe"/>
        <s v="Kvašņova"/>
        <s v="Ķemme"/>
        <s v="Ķerpe"/>
        <s v="Ķiece"/>
        <s v="Ķiecis"/>
        <s v="Ķiepe"/>
        <s v="Ķikuts"/>
        <s v="Ķipurs"/>
        <s v="Ķirsons"/>
        <s v="Ķīse"/>
        <s v="Ķude"/>
        <s v="Labeckis"/>
        <s v="Lāce"/>
        <s v="Lācis"/>
        <s v="Lagzdiņš"/>
        <s v="Laiva"/>
        <s v="Lamberts"/>
        <s v="Lanceniece"/>
        <s v="Lange"/>
        <s v="Lapiņš"/>
        <s v="Lapsa"/>
        <s v="Lāriņš"/>
        <s v="Lasks"/>
        <s v="Lauriks m"/>
        <s v="Lavišs"/>
        <s v="Lavrinovičs"/>
        <s v="Lazdāne"/>
        <s v="Lazdāns"/>
        <s v="Lazdiņš"/>
        <s v="Lebedevs"/>
        <s v="Lediņš"/>
        <s v="Leiboma"/>
        <s v="Leilande"/>
        <s v="Leimanis"/>
        <s v="Leitāne"/>
        <s v="Lejiņš"/>
        <s v="Lejnieks"/>
        <s v="Lepers"/>
        <s v="Lepse"/>
        <s v="Letapure"/>
        <s v="Levš"/>
        <s v="Lezdiņš"/>
        <s v="Līce"/>
        <s v="Līcis"/>
        <s v="Līduma"/>
        <s v="Lielgalvis"/>
        <s v="Lielpēteris"/>
        <s v="Liepa"/>
        <s v="Liepiņa"/>
        <s v="Liepiņš"/>
        <s v="Līkuma"/>
        <s v="Linde"/>
        <s v="Locis"/>
        <s v="Logina"/>
        <s v="Logins"/>
        <s v="Loks"/>
        <s v="Lopatko"/>
        <s v="Lubāns"/>
        <s v="Lukjanovs"/>
        <s v="Lurgins"/>
        <s v="Lūse"/>
        <s v="Lūsis"/>
        <s v="Ļeonovs"/>
        <s v="Ļevša"/>
        <s v="Ļubickij"/>
        <s v="Magaziņš"/>
        <s v="Magone"/>
        <s v="Majors"/>
        <s v="Maķeļenoks"/>
        <s v="Maķevics"/>
        <s v="Maldere"/>
        <s v="Malderis"/>
        <s v="Mālniece"/>
        <s v="Mālnieks"/>
        <s v="Mantiņa"/>
        <s v="Mantiņš"/>
        <s v="Marais"/>
        <s v="Marčenkovs"/>
        <s v="Markitāns"/>
        <s v="Markss"/>
        <s v="Martinsons"/>
        <s v="Matvejs"/>
        <s v="Maurāns"/>
        <s v="Mazurs"/>
        <s v="Mednis"/>
        <s v="Medvēģevs"/>
        <s v="Meldrāja"/>
        <s v="Meldrājs"/>
        <s v="Melgalvis"/>
        <s v="Meļņikovs"/>
        <s v="Meņģelis"/>
        <s v="Midegs"/>
        <s v="Mierkalns"/>
        <s v="Miezītis"/>
        <s v="Miglāns"/>
        <s v="Mihailovs"/>
        <s v="Mihalovskis"/>
        <s v="Mikāne"/>
        <s v="Miķelsnons"/>
        <s v="Miķelsone"/>
        <s v="Miķelsons"/>
        <s v="Milovānovs"/>
        <s v="Miļūna"/>
        <s v="Misūne"/>
        <s v="Misūns"/>
        <s v="Mitans"/>
        <s v="Morzika"/>
        <s v="Morziks"/>
        <s v="Mosins"/>
        <s v="Mošenkovs"/>
        <s v="Mozga"/>
        <s v="Mozulis"/>
        <s v="Mucenieks"/>
        <s v="Muižarājs"/>
        <s v="Muižnieks"/>
        <s v="Murāne"/>
        <s v="Murāns"/>
        <s v="Muravjovs"/>
        <s v="Mūrmanis"/>
        <s v="Mūrnieks"/>
        <s v="Murovska"/>
        <s v="Murovskis"/>
        <s v="Narnicka"/>
        <s v="Narnickis"/>
        <s v="Nātra"/>
        <s v="Naumovs"/>
        <s v="Nāzers"/>
        <s v="Neimanis"/>
        <s v="Nēliusa"/>
        <s v="Nelsons"/>
        <s v="Nemenjonoka"/>
        <s v="Nemenjonoks"/>
        <s v="Nemiro"/>
        <s v="Nerugals"/>
        <s v="Nete"/>
        <s v="Niedols"/>
        <s v="Niedra"/>
        <s v="Nikolajenko"/>
        <s v="Nikolajevs"/>
        <s v="Nikoluškins"/>
        <s v="Nikoņenko"/>
        <s v="Nītiņš"/>
        <s v="Nodievs"/>
        <s v="Norberts"/>
        <s v="Noreika"/>
        <s v="Noreiks"/>
        <s v="Noriņa"/>
        <s v="Ņikrasova"/>
        <s v="Odziņa"/>
        <s v="Olders"/>
        <s v="Opmanis"/>
        <s v="Orniņš"/>
        <s v="Osaulenko"/>
        <s v="Osītis"/>
        <s v="Ošenieks"/>
        <s v="Ošiņa"/>
        <s v="Ošs"/>
        <s v="Ozers"/>
        <s v="Ozola"/>
        <s v="Ozoliņa"/>
        <s v="Ozoliņš"/>
        <s v="Ozols"/>
        <s v="Paegle"/>
        <s v="Paeglis"/>
        <s v="Paije"/>
        <s v="Pakulis"/>
        <s v="Panders"/>
        <s v="Parings"/>
        <s v="Pastors"/>
        <s v="Paškovska"/>
        <s v="Pauliņš"/>
        <s v="Paulis"/>
        <s v="Pavārs"/>
        <s v="Pāvuls"/>
        <s v="Pelcberga"/>
        <s v="Pelcbergs"/>
        <s v="Pelšs"/>
        <s v="Pētermane"/>
        <s v="Pētersone"/>
        <s v="Pētersons"/>
        <s v="Petrovs"/>
        <s v="Pikšēns"/>
        <s v="Piļipaviča"/>
        <s v="Pīmanis"/>
        <s v="Pipare"/>
        <s v="Pipars"/>
        <s v="Piziks"/>
        <s v="Platacis"/>
        <s v="Plezers"/>
        <s v="Plūme"/>
        <s v="Pļaviņa"/>
        <s v="Pļaviņš"/>
        <s v="Podiņš"/>
        <s v="Podlubnijjs"/>
        <s v="Podnieks"/>
        <s v="Podziņš"/>
        <s v="Pogodins"/>
        <s v="Poišs"/>
        <s v="Pole"/>
        <s v="Polis"/>
        <s v="Poļakovskis"/>
        <s v="Pomarņevskis"/>
        <s v="Pommers"/>
        <s v="Porejs"/>
        <s v="Porietis"/>
        <s v="Pors"/>
        <s v="Portnajs"/>
        <s v="Pošeika"/>
        <s v="Poška"/>
        <s v="Prauliņš"/>
        <s v="Preimanis"/>
        <s v="Priede"/>
        <s v="Priedēns"/>
        <s v="Priedītis"/>
        <s v="Priedniece"/>
        <s v="Priednieks"/>
        <s v="Prikulis"/>
        <s v="Prīsis"/>
        <s v="Prižavoits"/>
        <s v="Priževoits"/>
        <s v="Prokofjevs"/>
        <s v="Proņičeva"/>
        <s v="Pūce"/>
        <s v="Pugovičs"/>
        <s v="Puikāns"/>
        <s v="Pujats"/>
        <s v="Pūliņš"/>
        <s v="Pumpurs"/>
        <s v="Punculis"/>
        <s v="Pundurs"/>
        <s v="Puriņš"/>
        <s v="Purmalis"/>
        <s v="Purviņš"/>
        <s v="Putāne"/>
        <s v="Puzaks"/>
        <s v="Rabša"/>
        <s v="Račis"/>
        <s v="Radionova"/>
        <s v="Radziņa"/>
        <s v="Raituma"/>
        <s v="Raitums"/>
        <s v="Rancāne"/>
        <s v="Rancāns"/>
        <s v="Ranis"/>
        <s v="Rapa"/>
        <s v="Rasiņš"/>
        <s v="Rasmane"/>
        <s v="Rasmanis"/>
        <s v="Ratiniks"/>
        <s v="Rautenbergs"/>
        <s v="Regža"/>
        <s v="Reigass"/>
        <s v="Reimanis"/>
        <s v="Reimats"/>
        <s v="Reinolds"/>
        <s v="Reiss"/>
        <s v="Reiters"/>
        <s v="Rēns"/>
        <s v="Reņķis"/>
        <s v="Repiševskis"/>
        <s v="Riekstiņš"/>
        <s v="Riks"/>
        <s v="Rikša"/>
        <s v="Rinkus"/>
        <s v="Roģis"/>
        <s v="Rohtlo"/>
        <s v="Roķis"/>
        <s v="Romanovska"/>
        <s v="Romanovskis"/>
        <s v="Romenkova"/>
        <s v="Ronis"/>
        <s v="Rozebkova"/>
        <s v="Rozenberga"/>
        <s v="Rozenbrergs"/>
        <s v="Rozenfelds"/>
        <s v="Rozenšteins"/>
        <s v="Rozīte"/>
        <s v="Rozītis"/>
        <s v="Roznieks"/>
        <s v="Rubenis"/>
        <s v="Rubiks"/>
        <s v="Ručevska"/>
        <s v="Rudi"/>
        <s v="Rudzītis"/>
        <s v="Rulle"/>
        <s v="Rullis"/>
        <s v="Rumaka"/>
        <s v="Rūmniece"/>
        <s v="Rūmnieks"/>
        <s v="Ruska"/>
        <s v="Rutkis"/>
        <s v="Rutulis"/>
        <s v="Sabulis"/>
        <s v="Salenieks"/>
        <s v="Salijevs"/>
        <s v="Salmiņš"/>
        <s v="Sanders"/>
        <s v="Sarkans"/>
        <s v="Sarma"/>
        <s v="Saule"/>
        <s v="Saušs"/>
        <s v="Saveļjevs"/>
        <s v="Savickis"/>
        <s v="Sedlenieks"/>
        <s v="Segrums"/>
        <s v="Seilis"/>
        <s v="Seipulis"/>
        <s v="Selga"/>
        <s v="Seļava"/>
        <s v="Serdants"/>
        <s v="Serovs"/>
        <s v="Silakalns"/>
        <s v="Siliņa"/>
        <s v="Siliņš"/>
        <s v="Sīlis"/>
        <s v="Silkalna"/>
        <s v="Sils"/>
        <s v="Siminaitis"/>
        <s v="Sinka"/>
        <s v="Sinkevičs"/>
        <s v="Sirgeda"/>
        <s v="Sirmais"/>
        <s v="Sirodans"/>
        <s v="Skadiņš"/>
        <s v="Skadulis"/>
        <s v="Skrastiņš"/>
        <s v="Skrebels"/>
        <s v="Skridulis"/>
        <s v="Skripijs"/>
        <s v="Skrodelis"/>
        <s v="Skudra"/>
        <s v="Skuja"/>
        <s v="Skujiņa"/>
        <s v="Skujiņš"/>
        <s v="Skutelis"/>
        <s v="Slēži"/>
        <s v="Slišāns"/>
        <s v="Slivjančuks"/>
        <s v="Sloka"/>
        <s v="Smildziņš"/>
        <s v="Smirnovs"/>
        <s v="Smoļins"/>
        <s v="Smukulis"/>
        <s v="Sniedze"/>
        <s v="Sniķere"/>
        <s v="Sniķeris"/>
        <s v="Sokolovskis"/>
        <s v="Solnceva"/>
        <s v="Sondors"/>
        <s v="Sorokins"/>
        <s v="Soste"/>
        <s v="Spalviņš"/>
        <s v="Spigovskis"/>
        <s v="Splīte"/>
        <s v="Spoģis"/>
        <s v="Spriesle"/>
        <s v="Sprūds"/>
        <s v="Sprukule"/>
        <s v="Sprukulis"/>
        <s v="Spūlis"/>
        <s v="Spulle"/>
        <s v="Stabulnieks"/>
        <s v="Stalis"/>
        <s v="Starotonenko"/>
        <s v="Staškēvics"/>
        <s v="Stašulis"/>
        <s v="Stelps"/>
        <s v="Stepens"/>
        <s v="Stephens"/>
        <s v="Stepka"/>
        <s v="Stīpiņa"/>
        <s v="Stonis"/>
        <s v="Stračinska"/>
        <s v="Stračinskis"/>
        <s v="Strads"/>
        <s v="Strakša"/>
        <s v="Strakšas"/>
        <s v="Strangats"/>
        <s v="Straume"/>
        <s v="Straupe"/>
        <s v="Strauss"/>
        <s v="Strazdiņa"/>
        <s v="Strazdiņš"/>
        <s v="Strēle"/>
        <s v="Strēlnieks"/>
        <s v="Strupis"/>
        <s v="Studāns"/>
        <s v="Stukuls"/>
        <s v="Stupins"/>
        <s v="Stūrmanis"/>
        <s v="Suharevs"/>
        <s v="Sūna"/>
        <s v="Sundukova"/>
        <s v="Supe"/>
        <s v="Surgunts"/>
        <s v="Suvorovs"/>
        <s v="Sviščš"/>
        <s v="Šāblis"/>
        <s v="Šalts"/>
        <s v="Šapiro"/>
        <s v="Šarākovs"/>
        <s v="Šarova"/>
        <s v="Šāvēja"/>
        <s v="Šāvējs"/>
        <s v="Šelušenkovs"/>
        <s v="Ševčenko"/>
        <s v="Šica"/>
        <s v="Šīmane"/>
        <s v="Šinka"/>
        <s v="Škapars"/>
        <s v="Škņarovs"/>
        <s v="Šķeperis"/>
        <s v="Šķēps"/>
        <s v="Šķobe"/>
        <s v="Šmerliņš"/>
        <s v="Šmits"/>
        <s v="Štāls"/>
        <s v="Šteinberga"/>
        <s v="Šteinbergs"/>
        <s v="Šterns"/>
        <s v="Štrāls"/>
        <s v="Štrauhmanis"/>
        <s v="Šuksts"/>
        <s v="Šulce-Grante"/>
        <s v="Šulckis"/>
        <s v="Šulcs"/>
        <s v="Šulmanis"/>
        <s v="Šūlmeistars"/>
        <s v="Šuvarkova"/>
        <s v="Tabors"/>
        <s v="Talcis"/>
        <s v="Tamanis"/>
        <s v="Tarans"/>
        <s v="Tarāsova"/>
        <s v="Tarasovs"/>
        <s v="Taupmane"/>
        <s v="Tauriņš"/>
        <s v="Teibe"/>
        <s v="Teirlynck"/>
        <s v="Temnovs"/>
        <s v="Terinks"/>
        <s v="Teteris"/>
        <s v="Tihonovs"/>
        <s v="Tīlišķis"/>
        <s v="Timofejevs"/>
        <s v="Tīruma"/>
        <s v="Tjarve"/>
        <s v="Tola"/>
        <s v="Tols"/>
        <s v="Tomsons"/>
        <s v="Tomševics"/>
        <s v="Toomingas"/>
        <s v="Traniņa"/>
        <s v="Trautmane"/>
        <s v="Trautmanis"/>
        <s v="Treimane"/>
        <s v="Trifānovs"/>
        <s v="Trofimovs"/>
        <s v="Trojonovs"/>
        <s v="Trops"/>
        <s v="Trubicino"/>
        <s v="Turauskis"/>
        <s v="Ūdris"/>
        <s v="Ukins"/>
        <s v="Ulmis"/>
        <s v="Ulpe"/>
        <s v="Upe"/>
        <s v="Upīte-Upenie"/>
        <s v="Upītis-Upeni"/>
        <s v="Upmalis"/>
        <s v="Urbāns"/>
        <s v="Ustinovičs"/>
        <s v="Ustinovs"/>
        <s v="Uzija"/>
        <s v="Uzkalns"/>
        <s v="Uzulis"/>
        <s v="Užāns"/>
        <s v="Vabole"/>
        <s v="Vaikulis"/>
        <s v="Vaipans"/>
        <s v="Vaitekūns"/>
        <s v="Vaivare"/>
        <s v="Vaivars"/>
        <s v="Valpēteris"/>
        <s v="Vanags"/>
        <s v="Vasiļevskis"/>
        <s v="Vasins"/>
        <s v="Vasks"/>
        <s v="Vāvere"/>
        <s v="Vazdiķis"/>
        <s v="Vecenans"/>
        <s v="Vectirāns"/>
        <s v="Vegnere"/>
        <s v="Vēģelis"/>
        <s v="Veide"/>
        <s v="Veidemanis"/>
        <s v="Veinbergs"/>
        <s v="Veismanis"/>
        <s v="Vējiņš"/>
        <s v="Veličko"/>
        <s v="Velke"/>
        <s v="Verdens"/>
        <s v="Vertuls"/>
        <s v="Vesers"/>
        <s v="Vidžups"/>
        <s v="Vīksna"/>
        <s v="Vīksne"/>
        <s v="Vikštrems"/>
        <s v="Vilāns"/>
        <s v="Viļimas"/>
        <s v="Viļķis"/>
        <s v="Viļumovs"/>
        <s v="Vimba"/>
        <s v="Vingris"/>
        <s v="Virsnīte"/>
        <s v="Virza"/>
        <s v="Visnola"/>
        <s v="Visockis"/>
        <s v="Viškers"/>
        <s v="Vīte"/>
        <s v="Vitenburgs"/>
        <s v="Vītola"/>
        <s v="Vītoliņa"/>
        <s v="Vītoliņš"/>
        <s v="Vītols"/>
        <s v="Vlasova"/>
        <s v="Voicehoviča"/>
        <s v="Voika"/>
        <s v="Voitkāne"/>
        <s v="Volkova"/>
        <s v="Volkovičs"/>
        <s v="Volkovs"/>
        <s v="Volodko"/>
        <s v="Vosekalns"/>
        <s v="Vronskis"/>
        <s v="Yakovlev"/>
        <s v="Zagorska"/>
        <s v="Zagorskis"/>
        <s v="Zaķis"/>
        <s v="Zalcmane"/>
        <s v="Zalcmanis"/>
        <s v="Zālītis"/>
        <s v="Zandovskis"/>
        <s v="Zariņa"/>
        <s v="Zariņš"/>
        <s v="Zavicka"/>
        <s v="Zavickis"/>
        <s v="Zbitņevs"/>
        <s v="Zdanovskis"/>
        <s v="Zeics"/>
        <s v="Zeiza"/>
        <s v="Zelča"/>
        <s v="Zelčs"/>
        <s v="Zeļonka"/>
        <s v="Zembergs"/>
        <s v="Zemitis"/>
        <s v="Zemītis"/>
        <s v="Zeņģis"/>
        <s v="Zeps"/>
        <s v="Ziders"/>
        <s v="Ziediņš"/>
        <s v="Ziemelis"/>
        <s v="Zikmanis"/>
        <s v="Zilis"/>
        <s v="Zīverts"/>
        <s v="Zlotņikovs"/>
        <s v="Znotiņš"/>
        <s v="Zorģe       "/>
        <s v="Zvagūze"/>
        <s v="Zvaneris"/>
        <s v="Zvīdriņš"/>
        <s v="Zviedris"/>
        <s v="Zvingulis"/>
        <s v="Zvirbule"/>
        <s v="Zvirbulis"/>
        <s v="Zvirgzdiņš"/>
        <s v="Zvjatkova"/>
        <s v="Žagata"/>
        <s v="Žebere"/>
        <s v="Žebers"/>
        <s v="Žīgurs"/>
        <s v="Žihars"/>
        <s v="Žižkuns"/>
        <s v="Žuburs"/>
        <s v="Žunda"/>
        <s v="Žunna"/>
        <s v="Žurovs"/>
      </sharedItems>
    </cacheField>
    <cacheField name="Vārds" numFmtId="0">
      <sharedItems>
        <s v="Ieva"/>
        <s v="Renārs"/>
        <s v="Sandis"/>
        <s v="Valdis"/>
        <s v="Ilvis"/>
        <s v="Dzintars"/>
        <s v="Juris"/>
        <s v="Gatis"/>
        <s v="Āris"/>
        <s v="Edgars"/>
        <s v="Aleksandrs"/>
        <s v="Matīss"/>
        <s v="Olita"/>
        <s v="Mārcis"/>
        <s v="Normunds"/>
        <s v="Andris"/>
        <s v="Laura"/>
        <s v="Mikus"/>
        <s v="Helmuts"/>
        <s v="Jānis"/>
        <s v="Lauris"/>
        <s v="Madara"/>
        <s v="Māris"/>
        <s v="Viesturs"/>
        <s v="Reinis"/>
        <s v="Modris"/>
        <s v="Pauls"/>
        <s v="Leonīds"/>
        <s v="Aigars"/>
        <s v="Armands"/>
        <s v="Janeks"/>
        <s v="Arvils"/>
        <s v="Ilmārs"/>
        <s v="Andrejs"/>
        <s v="Indra"/>
        <s v="Artūrs"/>
        <s v="Ilze"/>
        <s v="Peteris"/>
        <s v="Agnese"/>
        <s v="Uldis"/>
        <s v="Artis"/>
        <s v="Kristīne"/>
        <s v="Sandris"/>
        <s v="Līga"/>
        <s v="Kaspars"/>
        <s v="Balodis"/>
        <s v="Ainārs"/>
        <s v="Vilnis"/>
        <s v="Visvaldis"/>
        <s v="Kārlis"/>
        <s v="Didzis"/>
        <s v="Guntars"/>
        <s v="Mārtiņš"/>
        <s v="Janis"/>
        <s v="Raivis"/>
        <s v="Rihards"/>
        <s v="Mečeslavs"/>
        <s v="Irēna"/>
        <s v="Dāvis"/>
        <s v="Hardijs"/>
        <s v="Viktors"/>
        <s v="Ģirts"/>
        <s v="Normuds"/>
        <s v="Niks"/>
        <s v="Indulis"/>
        <s v="Guntis"/>
        <s v="Pēteris"/>
        <s v="Gints"/>
        <s v="Oļģerts"/>
        <s v="Anatolijs"/>
        <s v="Rūta"/>
        <s v="Ernests"/>
        <s v="Evita"/>
        <s v="Uno"/>
        <s v="Toms"/>
        <s v="Kristiāns"/>
        <s v="Ojārs"/>
        <s v="Ingūna"/>
        <s v="Kristaps"/>
        <s v="Kristīna"/>
        <s v="Herta"/>
        <s v="Miķelis"/>
        <s v="Uģis"/>
        <s v="Edvīns"/>
        <s v="Beāte"/>
        <s v="Lauma"/>
        <s v="Sarma"/>
        <s v="Dace"/>
        <s v="Aivars"/>
        <s v="Jēkabs"/>
        <s v="Aldis"/>
        <s v="Imants"/>
        <s v="Arnis"/>
        <s v="Zigmunds"/>
        <s v="Luīze"/>
        <s v="Agate"/>
        <s v="Atis"/>
        <s v="Agris"/>
        <s v="Raivita"/>
        <s v="Nauris"/>
        <s v="Inese"/>
        <s v="Emerita"/>
        <s v="Jurģis"/>
        <s v="Sergejs"/>
        <s v="Atvars"/>
        <s v="Oļegs"/>
        <s v="Vita"/>
        <s v="Edward"/>
        <s v="Ludvigs"/>
        <s v="Zane"/>
        <s v="Kalvis"/>
        <s v="Elīna"/>
        <s v="Arita"/>
        <s v="Dainis"/>
        <s v="Oskars"/>
        <s v="Ziedonis"/>
        <s v="Mintauts"/>
        <s v="Ginta"/>
        <s v="Eva"/>
        <s v="Vizma"/>
        <s v="Anete"/>
        <s v="Linards"/>
        <s v="Vismants"/>
        <s v="Daina"/>
        <s v="Baiba"/>
        <s v="Ina"/>
        <s v="Rolands"/>
        <s v="Lienīte"/>
        <s v="Egils"/>
        <s v="Ivars"/>
        <s v="Osvalds"/>
        <s v="Raimonds"/>
        <s v="Jeļena"/>
        <s v="Ivo"/>
        <s v="Linda"/>
        <s v="Līva"/>
        <s v="Ralfs"/>
        <s v="Aleksejs"/>
        <s v="Guntra"/>
        <s v="Diāna"/>
        <s v="Daiga"/>
        <s v="Valdemārs"/>
        <s v="Ivita"/>
        <s v="Jūlija"/>
        <s v="Katrīna"/>
        <s v="Jevgēnijs"/>
        <s v="Ēriks"/>
        <s v="Tomass"/>
        <s v="Arta"/>
        <s v="Viktorija"/>
        <s v="David"/>
        <s v="Jelena"/>
        <s v="Mareks"/>
        <s v="Vasilis"/>
        <s v="Vadims"/>
        <s v="Boriss"/>
        <s v="Roberts"/>
        <s v="Andis"/>
        <s v="Igors"/>
        <s v="Pāvels"/>
        <s v="Gunārs"/>
        <s v="Gintars"/>
        <s v="Ligita"/>
        <s v="Ivanda"/>
        <s v="Ingus"/>
        <s v="Einārs"/>
        <s v="Edijs"/>
        <s v="Gunta"/>
        <s v="Ingmārs"/>
        <s v="Mihails"/>
        <s v="Marta"/>
        <s v="Inita"/>
        <s v="Andžs"/>
        <s v="Einars"/>
        <s v="Edmunds"/>
        <s v="Emīls"/>
        <s v="Asnate"/>
        <s v="Davids"/>
        <s v="Maija"/>
        <s v="Raitis"/>
        <s v="Vitautas"/>
        <s v="Lelde"/>
        <s v="Maira"/>
        <s v="Džineta"/>
        <s v="Harijs"/>
        <s v="Anda"/>
        <s v="Ārijs"/>
        <s v="Ēvija"/>
        <s v="Katrīne"/>
        <s v="Marita"/>
        <s v="Genadijs"/>
        <s v="Vitālijs"/>
        <s v="Maksims"/>
        <s v="Krišjānis"/>
        <s v="Velga"/>
        <s v="Evija"/>
        <s v="Iveta"/>
        <s v="Laila"/>
        <s v="Pits"/>
        <s v="Vladimirs"/>
        <s v="Sofija"/>
        <s v="Deniss"/>
        <s v="Natālija"/>
        <s v="Irina"/>
        <s v="Vladislavs"/>
        <s v="Gabriela"/>
        <s v="Dzintra"/>
        <s v="Tatjana"/>
        <s v="Germans"/>
        <s v="Alise"/>
        <s v="Dmitrijs"/>
        <s v="Karīna"/>
        <s v="Dana"/>
        <s v="Ainars"/>
        <s v="Signe"/>
        <s v="Inga"/>
        <s v="Nikolajs"/>
        <s v="Elvijs"/>
        <s v="Valters"/>
        <s v="Antons"/>
        <s v="Iluta"/>
        <s v="Ilva"/>
        <s v="Zigurds"/>
        <s v="Ronalds"/>
        <s v="Askolds"/>
        <s v="Elita"/>
        <s v="Aiva"/>
        <s v="Sannija"/>
        <s v="Noris"/>
        <s v="Madars"/>
        <s v="Jānis-Egīls"/>
        <s v="Egīls"/>
        <s v="Ainis"/>
        <s v="Malda"/>
        <s v="Aleksandr"/>
        <s v="Sandra"/>
        <s v="Alberts"/>
        <s v="Anita"/>
        <s v="Miks"/>
        <s v="Ansis"/>
        <s v="Olafs"/>
        <s v="Paula"/>
        <s v="Jurijs"/>
        <s v="Nikolais"/>
        <s v="Mārīte"/>
        <s v="Liene"/>
        <s v="Denis"/>
        <s v="Rima"/>
        <s v="Elmārs"/>
        <s v="Eduards"/>
        <s v="Silvija"/>
        <s v="Ints"/>
        <s v="Agija"/>
        <s v="Ilgonis"/>
        <s v="Broņislavs"/>
        <s v="Benita"/>
        <s v="Renāte"/>
        <s v="Laima"/>
        <s v="Olavs"/>
        <s v="Irita"/>
        <s v="Mairis"/>
        <s v="Konstantīns"/>
        <s v="Santa"/>
        <s v="Agita"/>
        <s v="Krista"/>
        <s v="Ināra"/>
        <s v="Una"/>
        <s v="Valts"/>
        <s v="Intra"/>
        <s v="Rimants"/>
        <s v="Niklavs"/>
        <s v="Gita"/>
        <s v="Reinis-Augusts"/>
        <s v="Valērijs"/>
        <s v="Ariks"/>
        <s v="Liāna"/>
        <s v="Zande"/>
        <s v="Agnis"/>
        <s v="Gundars"/>
        <s v="Raimonda"/>
        <s v="Arvis"/>
        <s v="Ņikita"/>
        <s v="Jevgenijs"/>
        <s v="Nilss"/>
        <s v="Vasilijs"/>
        <s v="Anrijs"/>
        <s v="Elīza"/>
        <s v="Lāsma"/>
        <s v="Lizete"/>
        <s v="Dimitrijs"/>
        <s v="Vladlens"/>
        <s v="Rikards"/>
        <s v="Sigita"/>
        <s v="Olga"/>
        <s v="Irīna"/>
        <s v="Elvis"/>
        <s v="Julijs"/>
        <s v="Ineta"/>
        <s v="Ilona"/>
        <s v="Lilita"/>
        <s v="Ārija"/>
        <s v="Astra"/>
        <s v="Sabīne"/>
        <s v="Renis"/>
        <s v="Ritvars"/>
        <s v="Arvīds"/>
        <s v="Sarmis"/>
        <s v="Kristers"/>
        <s v="Raivo"/>
        <s v="Tālis"/>
        <s v="Ervīns"/>
        <s v="Andra"/>
        <s v="Laimonis"/>
        <s v="Ulvis"/>
        <s v="Patriks"/>
        <s v="Mare"/>
        <s v="Gundega"/>
        <s v="Dailis"/>
        <s v="Bruno"/>
        <s v="Kirils"/>
        <s v="Jana"/>
        <s v="Sanda"/>
        <s v="Nelda"/>
        <s v="Arkādijs"/>
        <s v="Arnolds"/>
        <s v="L"/>
        <s v="J"/>
        <s v="R"/>
        <s v="Nina"/>
        <s v="Egons"/>
        <s v="Agneta"/>
        <s v="Ručevska"/>
        <s v="Dārta"/>
        <s v="Helmārs"/>
        <s v="Gvido"/>
        <s v="Armīns"/>
        <s v="Mikuss"/>
        <s v="Rukevs"/>
        <s v="Sibilla"/>
        <s v="Romāns"/>
        <s v="Vēsma"/>
        <s v="Vivita"/>
        <s v="Rinalds"/>
        <s v="Egija"/>
        <s v="Alvils"/>
        <s v="Aija"/>
        <s v="Sandija"/>
        <s v="Malvīne"/>
        <s v="Māra"/>
        <s v="Haralds"/>
        <s v="Rūdolfs"/>
        <s v="Emils"/>
        <s v="Alvis"/>
        <s v="Aloizs"/>
        <s v="Raymond"/>
        <s v="Aivis"/>
        <s v="Marians"/>
        <s v="Kristiāna"/>
        <s v="Verners"/>
        <s v="Zaiga"/>
        <s v="Stūrmanis"/>
        <s v="Ruslans"/>
        <s v="Romans"/>
        <s v="Vilma"/>
        <s v="Grigorijs"/>
        <s v="Arilds"/>
        <s v="Mary"/>
        <s v="Vilmārs"/>
        <s v="Elans"/>
        <s v="Priit"/>
        <s v="Anna"/>
        <s v="Anastasija"/>
        <s v="Nils"/>
        <s v="Vidvuds"/>
        <s v="Valentīns"/>
        <s v="Georgs"/>
        <s v="Staņislavs"/>
        <s v="Ruta"/>
        <s v="Saulis"/>
        <s v="Edīte"/>
        <s v="Intars"/>
        <s v="Aļģirds"/>
        <s v="Vītola"/>
        <s v="Lida"/>
        <s v="Žanna"/>
        <s v="Fēliks"/>
        <s v="Sergey"/>
        <s v="Ingars"/>
        <s v="Tālivaldis"/>
        <s v="Gaidis"/>
        <s v="Lolita"/>
        <s v="Romualds"/>
        <s v="Martins"/>
        <s v="Monta"/>
        <s v="Līna"/>
        <s v="Velta"/>
        <s v="Vjačeslavs"/>
        <s v="Ādolfs"/>
      </sharedItems>
    </cacheField>
    <cacheField name="Klubs" numFmtId="0">
      <sharedItems>
        <s v="Rīga"/>
        <s v=""/>
        <s v="VIC velokurjers"/>
        <s v="V-sports"/>
        <s v="Krāsu nams"/>
        <s v="Viesnīca Santa"/>
        <s v="Bosch"/>
        <s v="Jelgava"/>
        <s v="Valmieras kom.Grods"/>
        <s v="Veloserviss"/>
        <s v="Sigulda"/>
        <s v="Ventspils"/>
        <s v="Vello 31"/>
        <s v="Valka"/>
        <s v="Marss"/>
        <s v="Rietumu Banka"/>
        <s v="Lateko"/>
        <s v="Komforts MTB"/>
        <s v="Komforts MTB RT"/>
        <s v="Aramini"/>
        <s v="Ondulat"/>
        <s v="Kuldīgas sporta sk."/>
        <s v="Karlos K"/>
        <s v="Tukums"/>
        <s v="Fans Cube Team"/>
        <s v="Jaunmārupe"/>
        <s v="Cēsis"/>
        <s v="Triāla klubs Karters"/>
        <s v="Team Milo Latvia"/>
        <s v="Spectus-Smiltene"/>
        <s v="Zumus"/>
        <s v="Ule"/>
        <s v="DTK"/>
        <s v="Latvello"/>
        <s v="Gūtmanis"/>
        <s v="NN-Marss"/>
        <s v="Tridens"/>
        <s v="Glazūra AG"/>
        <s v="Ogre-Latvello"/>
        <s v="Jūrmala"/>
        <s v="ZZK"/>
        <s v="JAM"/>
        <s v="Velobode"/>
        <s v="Madona"/>
        <s v="Ķegums"/>
        <s v="Priekuļi"/>
        <s v="Priekuļis"/>
        <s v="OK Prizma"/>
        <s v="Scantest"/>
        <s v="Auteko"/>
        <s v="Hansabanka"/>
        <s v="&quot;Projekts Pēdas&quot;"/>
        <s v="Spars"/>
        <s v="Raimaks"/>
        <s v="Krimuldas vsk."/>
        <s v="Salaspils Zīriņi"/>
        <s v="Velo-30"/>
        <s v="Concorde"/>
        <s v="Zumus sport"/>
        <s v="Tandēms/Dobele"/>
        <s v="Cēsis 800 - Cēsu alus"/>
        <s v="JV 11"/>
        <s v="Grifs AG"/>
        <s v="Ceļu Projekts"/>
        <s v="Kodak"/>
        <s v="Siguldas ģimn."/>
        <s v="LKSB"/>
        <s v="Kadaga"/>
        <s v="Grobiņa"/>
        <s v="Talsi"/>
        <s v="Dunalka"/>
        <s v="Ceru ģim."/>
        <s v="Jotul"/>
        <s v="BVA Auseklis"/>
        <s v="Bensons Auto"/>
        <s v="Reir"/>
        <s v="Ikšķile"/>
        <s v="BRT"/>
        <s v="Liepāja"/>
        <s v="Sprints AVK Tukums"/>
        <s v="Z-Pols"/>
        <s v="Berģi"/>
        <s v="Trek Philips"/>
        <s v="Tukums KMK"/>
        <s v="Beitāni"/>
        <s v="Velomaniac"/>
        <s v="Iecava"/>
        <s v="mtb.lv"/>
        <s v="www.247.lv"/>
        <s v="Fuji Team"/>
        <s v="IR"/>
        <s v="Ādažu vsk."/>
        <s v="Bauska"/>
        <s v="Hawaii Express"/>
        <s v="Smiltene-Spectus"/>
        <s v="Smiltene/Specuts"/>
        <s v="Kalngale"/>
        <s v="Tandēms"/>
        <s v="Varavīksne"/>
        <s v="Piņķi"/>
        <s v="Babīte"/>
        <s v="3V"/>
        <s v="Smiltene"/>
        <s v="Carnikava"/>
        <s v="Siguldas sporta sk."/>
        <s v="&quot;Projekts Pēda"/>
        <s v="Kuldīga"/>
        <s v="Vecdaugava"/>
        <s v="SK Favorīts"/>
        <s v="Daugavpils"/>
        <s v="Frukava"/>
        <s v="Zeņģis Racing Team"/>
        <s v="Elkor sports-author"/>
        <s v="Sprints AVK"/>
        <s v="SK More"/>
        <s v="Zepter"/>
        <s v="Vangaži"/>
        <s v="SK Brīvnieki"/>
        <s v="Trek-Philips"/>
        <s v="Otrā elpa"/>
        <s v="Valmiera"/>
        <s v="p/k Tinis"/>
        <s v="Cekules gaļas komb."/>
        <s v="Gandrs"/>
        <s v="Ogre"/>
        <s v="Arkādija"/>
        <s v="Tinis"/>
        <s v="Selonija"/>
        <s v="Rauna"/>
        <s v="Cēsis Reiņa trase"/>
        <s v="Iekšciems"/>
        <s v="Gulbene"/>
        <s v="Mārupe"/>
        <s v="Focus"/>
        <s v="augavpils"/>
        <s v="Elkor Sport Author"/>
        <s v="Capusta Club"/>
        <s v="Balvi"/>
        <s v="Baltika"/>
        <s v="Halis"/>
        <s v="SK Bebra"/>
        <s v="Mazsalaca"/>
        <s v="Hipotēku Banka"/>
        <s v="Kuldīgas sporta"/>
        <s v="Kwintet"/>
        <s v="&quot;Projekts Pē"/>
        <s v="NCC Konstrukcijas"/>
        <s v="X sports Corrate"/>
        <s v="Ģeogrāfi"/>
        <s v="Gandrs-Viss"/>
        <s v="xc.lv"/>
        <s v="JV11"/>
        <s v="Ulbroka"/>
        <s v="Ģimenīte &quot;Pipariņi&quot;"/>
        <s v="Balta"/>
        <s v="Rīgas Dome"/>
        <s v="Fokus Team"/>
        <s v="Ķekava"/>
        <s v="Schell Latvia"/>
        <s v="Rollerblade champion"/>
        <s v="Rollerblade-champion"/>
        <s v="Ropaži"/>
        <s v="Orfo"/>
        <s v="Theparadise.lv"/>
        <s v="Focus Team"/>
        <s v="SEB Unibanka"/>
        <s v="VAB"/>
        <s v="Ozolnieki"/>
        <s v="Timurs"/>
        <s v="R/a 2 koki u"/>
        <s v="Ādaži"/>
        <s v="Lāči"/>
        <s v="PRO Kapital Latvia"/>
        <s v="PRD Kapital Latvia"/>
        <s v="ZAP"/>
        <s v="Ķekavas vsk"/>
        <s v="Grods"/>
        <s v="tb.lv"/>
        <s v="Turaida"/>
        <s v="Fraternitas Lettica"/>
        <s v="MSĢ"/>
        <s v="Fans Cub"/>
        <s v="Tandēms/Dobel"/>
        <s v="Salspils trase"/>
        <s v="Tukuma sporta sk."/>
        <s v="Krimuldas"/>
        <s v="Eži"/>
        <s v="Lonebiker"/>
        <s v="Ogres raj."/>
        <s v="X-sports Cor"/>
        <s v="Elkor sport-author"/>
        <s v="Rietumu nafta"/>
        <s v="Spectus/Smiltene"/>
        <s v="Olaine"/>
        <s v="Tērvete"/>
        <s v="Bābelīte"/>
        <s v="Dūdas"/>
        <s v="Saldus"/>
        <s v="karters.lv"/>
        <s v="Salaspils"/>
        <s v="Frukawa"/>
        <s v="Limbaži"/>
        <s v="Santeko"/>
        <s v="R/a 2 koki u.c. Zvēri"/>
        <s v="KHS-Briko"/>
        <s v="Latvijas Gāze"/>
        <s v="NCC Konstrukcij"/>
        <s v="Cirkulis"/>
        <s v="Saulkrasti"/>
        <s v="V3"/>
        <s v="Hotel Centra Latvello"/>
        <s v="Kāpa"/>
        <s v="Dual"/>
        <s v="Sia Laneks-Kone"/>
        <s v="Velo 30"/>
        <s v="Talsu raj."/>
        <s v="Laumas"/>
        <s v="Ape"/>
        <s v="Līnijdeju klubs"/>
        <s v="Ikšķiles varenais trijnieks"/>
        <s v="Patrioti"/>
        <s v="z/s Beitāni"/>
        <s v="Vecāķi"/>
        <s v="Apallie"/>
        <s v="Grīziņš"/>
        <s v="Kuldīgas sp.sk"/>
        <s v="Baldone"/>
        <s v="Splīte"/>
        <s v="Zariņi"/>
        <s v="Komin"/>
        <s v="Mālpils"/>
        <s v="Bieriņi"/>
        <s v="Dunalka-Kuldīgas sp.sk"/>
        <s v="Woodline"/>
        <s v="Superior"/>
        <s v="SK Vidzeme"/>
        <s v="People"/>
        <s v="Focus Saulkrasti"/>
        <s v="Nikari"/>
        <s v="Big Team"/>
        <s v="Fotolukss"/>
        <s v="NBS Sporta klubs"/>
        <s v="Berģu 50"/>
        <s v="Ragana"/>
        <s v="Uve"/>
        <s v="VIP Style"/>
        <s v="Amserv Motors"/>
        <s v="Viesuļi"/>
        <s v="Alūksne"/>
        <s v="Aloja"/>
        <s v="Maskava"/>
        <s v="Lielvārde"/>
        <s v="3W"/>
        <s v="IT Alise"/>
        <s v="X sports Corratec"/>
        <s v="Tandems"/>
        <s v="Zelči"/>
        <s v="Kaķīškalns"/>
        <s v="Martins un Co"/>
        <s v="Zeņģis Racinng Team"/>
        <s v="OK Alnis"/>
      </sharedItems>
    </cacheField>
    <cacheField name="Laiks" numFmtId="0">
      <sharedItems>
        <s v="2:03:17"/>
        <s v="1:17:53"/>
        <s v="1:02:55"/>
        <s v="1:22:23"/>
        <s v="1:20:49"/>
        <s v="1:32:43"/>
        <s v="1:01:59"/>
        <s v="1:15:42"/>
        <s v="1:23:20"/>
        <s v="1:23:25"/>
        <s v="1:03:42"/>
        <s v="1:40:14"/>
        <s v="1:39:45"/>
        <s v="1:16:46"/>
        <s v="1:50:53"/>
        <s v="1:16:55"/>
        <s v="1:59:21"/>
        <s v="1:41:19"/>
        <s v="1:39:28"/>
        <s v="1:15:34"/>
        <s v="2:04:13"/>
        <s v="2:04:12"/>
        <s v="1:10:22"/>
        <s v="1:08:40"/>
        <s v="0:57:37"/>
        <s v="1:12:16"/>
        <s v="1:52:09"/>
        <s v="1:30:07"/>
        <s v="1:28:52"/>
        <s v="1:17:36"/>
        <s v="1:44:53"/>
        <s v="1:38:56"/>
        <s v="1:10:30"/>
        <s v="1:35:46"/>
        <s v="1:06:33"/>
        <s v="1:10:32"/>
        <s v="1:51:44"/>
        <s v="1:06:21"/>
        <s v="1:30:50"/>
        <s v="1:38:39"/>
        <s v="1:37:32"/>
        <s v="1:57:12"/>
        <s v="2:07:12"/>
        <s v="1:12:03"/>
        <s v="1:13:32"/>
        <s v="1:07:23"/>
        <s v="1:03:02"/>
        <s v="1:08:48"/>
        <s v="1:26:30"/>
        <s v="1:12:01"/>
        <s v="1:06:26"/>
        <s v="1:32:52"/>
        <s v="1:02:35"/>
        <s v="1:06:04"/>
        <s v="1:13:55"/>
        <s v="1:20:47"/>
        <s v="1:35:04"/>
        <s v="1:39:17"/>
        <s v="1:12:43"/>
        <s v="1:55:02"/>
        <s v="1:22:46"/>
        <s v="1:41:28"/>
        <s v="2:16:38"/>
        <s v="1:08:08"/>
        <s v="1:12:34"/>
        <s v="1:07:49"/>
        <s v="1:45:47"/>
        <s v="1:27:56"/>
        <s v="1:38:57"/>
        <s v="1:16:52"/>
        <s v="1:36:52"/>
        <s v="2:01:30"/>
        <s v="1:28:05"/>
        <s v="1:01:07"/>
        <s v="1:01:55"/>
        <s v="2:19:11"/>
        <s v="1:43:23"/>
        <s v="1:11:56"/>
        <s v="1:39:16"/>
        <s v="1:35:00"/>
        <s v="1:39:06"/>
        <s v="1:40:51"/>
        <s v="1:46:46"/>
        <s v="1:29:14"/>
        <s v="1:15:22"/>
        <s v="1:50:46"/>
        <s v="1:19:36"/>
        <s v="1:15:59"/>
        <s v="1:40:53"/>
        <s v="0:59:51"/>
        <s v="1:29:22"/>
        <s v="1:05:51"/>
        <s v="1:11:23"/>
        <s v="1:35:26"/>
        <s v="1:21:04"/>
        <s v="1:37:33"/>
        <s v="1:42:34"/>
        <s v="1:42:33"/>
        <s v="1:19:56"/>
        <s v="0:58:09"/>
        <s v="2:11:28"/>
        <s v="1:59:47"/>
        <s v="2:01:32"/>
        <s v="1:16:43"/>
        <s v="1:41:11"/>
        <s v="1:07:44"/>
        <s v="1:20:19"/>
        <s v="1:21:47"/>
        <s v="1:23:36"/>
        <s v="1:28:31"/>
        <s v="1:15:46"/>
        <s v="1:26:12"/>
        <s v="1:33:17"/>
        <s v="1:03:59"/>
        <s v="1:09:46"/>
        <s v="1:13:46"/>
        <s v="1:18:59"/>
        <s v="1:15:25"/>
        <s v="1:15:11"/>
        <s v="1:21:35"/>
        <s v="1:12:56"/>
        <s v="1:07:21"/>
        <s v="1:14:29"/>
        <s v="1:17:26"/>
        <s v="1:35:52"/>
        <s v="1:38:51"/>
        <s v="1:29:26"/>
        <s v="1:34:24"/>
        <s v="2:24:09"/>
        <s v="1:21:56"/>
        <s v="1:26:17"/>
        <s v="1:15:41"/>
        <s v="1:03:12"/>
        <s v="1:23:15"/>
        <s v="1:27:59"/>
        <s v="1:42:21"/>
        <s v="2:09:27"/>
        <s v="1:13:04"/>
        <s v="2:24:10"/>
        <s v="2:07:15"/>
        <s v="1:18:24"/>
        <s v="1:19:39"/>
        <s v="1:56:20"/>
        <s v="2:07:33"/>
        <s v="2:24:41"/>
        <s v="1:21:14"/>
        <s v="1:19:00"/>
        <s v="1:24:25"/>
        <s v="1:49:45"/>
        <s v="1:31:01"/>
        <s v="1:21:38"/>
        <s v="1:14:19"/>
        <s v="1:16:49"/>
        <s v="1:36:09"/>
        <s v="1:29:08"/>
        <s v="1:08:27"/>
        <s v="1:25:49"/>
        <s v="1:21:48"/>
        <s v="1:05:22"/>
        <s v="1:23:19"/>
        <s v="1:22:05"/>
        <s v="1:24:29"/>
        <s v="1:25:47"/>
        <s v="1:00:15"/>
        <s v="1:11:14"/>
        <s v="1:05:44"/>
        <s v="1:44:30"/>
        <s v="1:19:38"/>
        <s v="1:05:24"/>
        <s v="1:20:12"/>
        <s v="1:23:02"/>
        <s v="1:37:16"/>
        <s v="1:17:20"/>
        <s v="1:53:58"/>
        <s v="1:12:50"/>
        <s v="1:06:16"/>
        <s v="2:01:02"/>
        <s v="1:17:49"/>
        <s v="1:02:24"/>
        <s v="1:21:24"/>
        <s v="1:48:42"/>
        <s v="1:20:34"/>
        <s v="1:24:08"/>
        <s v="1:11:04"/>
        <s v="1:31:27"/>
        <s v="1:34:11"/>
        <s v="1:33:04"/>
        <s v="1:48:52"/>
        <s v="1:35:10"/>
        <s v="1:08:33"/>
        <s v="1:16:29"/>
        <s v="1:11:12"/>
        <s v="1:30:13"/>
        <s v="1:16:53"/>
        <s v="1:13:35"/>
        <s v="1:28:49"/>
        <s v="1:25:40"/>
        <s v="0:57:54"/>
        <s v="1:40:26"/>
        <s v="1:19:32"/>
        <s v="1:15:39"/>
        <s v="2:21:38"/>
        <s v="2:53:57"/>
        <s v="1:07:17"/>
        <s v="1:40:58"/>
        <s v="1:47:48"/>
        <s v="1:09:59"/>
        <s v="1:25:00"/>
        <s v="1:17:51"/>
        <s v="1:36:47"/>
        <s v="1:36:15"/>
        <s v="0:59:36"/>
        <s v="1:19:31"/>
        <s v="2:06:41"/>
        <s v="1:27:44"/>
        <s v="1:40:30"/>
        <s v="1:38:40"/>
        <s v="1:50:59"/>
        <s v="1:49:55"/>
        <s v="1:50:08"/>
        <s v="1:38:45"/>
        <s v="1:32:10"/>
        <s v="1:19:07"/>
        <s v="1:50:04"/>
        <s v="0:57:42"/>
        <s v="1:30:15"/>
        <s v="2:01:04"/>
        <s v="2:01:22"/>
        <s v="1:03:45"/>
        <s v="1:07:13"/>
        <s v="1:20:11"/>
        <s v="1:25:22"/>
        <s v="1:54:02"/>
        <s v="1:27:42"/>
        <s v="1:48:43"/>
        <s v="1:23:10"/>
        <s v="1:10:14"/>
        <s v="1:02:21"/>
        <s v="1:46:28"/>
        <s v="1:16:02"/>
        <s v="1:04:23"/>
        <s v="1:30:45"/>
        <s v="1:31:59"/>
        <s v="1:09:30"/>
        <s v="1:41:52"/>
        <s v="1:21:53"/>
        <s v="1:50:00"/>
        <s v="1:45:22"/>
        <s v="1:43:01"/>
        <s v="1:21:03"/>
        <s v="1:23:13"/>
        <s v="1:12:40"/>
        <s v="1:51:42"/>
        <s v="1:26:14"/>
        <s v="1:06:25"/>
        <s v="2:04:11"/>
        <s v="1:41:15"/>
        <s v="1:17:30"/>
        <s v="1:47:21"/>
        <s v="1:18:39"/>
        <s v="1:14:10"/>
        <s v="1:11:15"/>
        <s v="1:21:12"/>
        <s v="1:27:24"/>
        <s v="1:36:25"/>
        <s v="1:13:51"/>
        <s v="1:32:30"/>
        <s v="1:13:48"/>
        <s v="1:40:34"/>
        <s v="1:06:41"/>
        <s v="1:14:11"/>
        <s v="1:47:26"/>
        <s v="1:24:10"/>
        <s v="1:49:08"/>
        <s v="1:16:33"/>
        <s v="1:29:00"/>
        <s v="1:18:50"/>
        <s v="1:17:02"/>
        <s v="1:45:14"/>
        <s v="1:20:57"/>
        <s v="1:15:51"/>
        <s v="1:05:56"/>
        <s v="1:35:23"/>
        <s v="1:22:25"/>
        <s v="1:20:16"/>
        <s v="1:38:59"/>
        <s v="1:05:49"/>
        <s v="1:38:55"/>
        <s v="1:05:40"/>
        <s v="1:59:53"/>
        <s v="1:00:53"/>
        <s v="1:18:54"/>
        <s v="1:36:29"/>
        <s v="1:03:38"/>
        <s v="1:33:56"/>
        <s v="2:20:16"/>
        <s v="1:01:03"/>
        <s v="1:21:00"/>
        <s v="1:07:58"/>
        <s v="1:13:56"/>
        <s v="1:13:26"/>
        <s v="1:12:05"/>
        <s v="1:19:22"/>
        <s v="1:16:28"/>
        <s v="1:08:06"/>
        <s v="1:10:00"/>
        <s v="1:15:23"/>
        <s v="1:09:57"/>
        <s v="1:01:10"/>
        <s v="1:15:47"/>
        <s v="1:15:57"/>
        <s v="1:35:31"/>
        <s v="1:42:03"/>
        <s v="1:42:04"/>
        <s v="1:13:28"/>
        <s v="1:25:11"/>
        <s v="1:20:05"/>
        <s v="1:45:38"/>
        <s v="1:10:41"/>
        <s v="1:45:19"/>
        <s v="1:30:54"/>
        <s v="1:39:32"/>
        <s v="1:31:07"/>
        <s v="1:19:34"/>
        <s v="1:41:54"/>
        <s v="1:42:55"/>
        <s v="1:42:54"/>
        <s v="1:06:40"/>
        <s v="1:36:43"/>
        <s v="1:17:33"/>
        <s v="1:55:29"/>
        <s v="1:50:51"/>
        <s v="1:11:55"/>
        <s v="1:17:16"/>
        <s v="1:34:57"/>
        <s v="1:39:11"/>
        <s v="1:42:28"/>
        <s v="1:19:57"/>
        <s v="1:13:27"/>
        <s v="1:39:44"/>
        <s v="1:19:10"/>
        <s v="1:18:41"/>
        <s v="1:13:34"/>
        <s v="1:06:12"/>
        <s v="1:58:31"/>
        <s v="1:11:51"/>
        <s v="1:22:10"/>
        <s v="1:13:50"/>
        <s v="1:43:29"/>
        <s v="2:14:38"/>
        <s v="1:02:44"/>
        <s v="1:02:34"/>
        <s v="1:18:17"/>
        <s v="1:17:13"/>
        <s v="1:46:58"/>
        <s v="1:46:38"/>
        <s v="1:10:50"/>
        <s v="1:52:21"/>
        <s v="2:03:53"/>
        <s v="1:59:22"/>
        <s v="2:04:28"/>
        <s v="1:59:15"/>
        <s v="1:32:01"/>
        <s v="1:39:04"/>
        <s v="1:25:12"/>
        <s v="1:30:32"/>
        <s v="1:31:54"/>
        <s v="1:33:39"/>
        <s v="1:34:55"/>
        <s v="1:39:00"/>
        <s v="1:50:57"/>
        <s v="1:07:20"/>
        <s v="1:56:48"/>
        <s v="1:01:30"/>
        <s v="2:09:43"/>
        <s v="1:39:41"/>
        <s v="1:10:20"/>
        <s v="1:09:53"/>
        <s v="1:24:44"/>
        <s v="1:06:50"/>
        <s v="1:09:22"/>
        <s v="1:14:47"/>
        <s v="1:39:47"/>
        <s v="1:07:18"/>
        <s v="1:42:45"/>
        <s v="1:14:50"/>
        <s v="1:01:39"/>
        <s v="1:08:30"/>
        <s v="1:23:51"/>
        <s v="1:14:34"/>
        <s v="1:34:14"/>
        <s v="1:34:15"/>
        <s v="1:30:41"/>
        <s v="1:12:57"/>
        <s v="1:25:31"/>
        <s v="1:15:26"/>
        <s v="1:25:15"/>
        <s v="1:28:02"/>
        <s v="1:22:54"/>
        <s v="1:08:50"/>
        <s v="1:46:06"/>
        <s v="1:07:56"/>
        <s v="1:44:42"/>
        <s v="1:24:57"/>
        <s v="1:14:58"/>
        <s v="1:28:33"/>
        <s v="1:49:44"/>
        <s v="1:49:43"/>
        <s v="1:15:24"/>
        <s v="1:56:25"/>
        <s v="1:39:13"/>
        <s v="1:44:46"/>
        <s v="1:22:04"/>
        <s v="1:09:13"/>
        <s v="1:31:49"/>
        <s v="1:38:49"/>
        <s v="1:14:13"/>
        <s v="1:06:29"/>
        <s v="1:40:31"/>
        <s v="1:29:25"/>
        <s v="0:59:57"/>
        <s v="1:43:57"/>
        <s v="1:39:18"/>
        <s v="1:27:35"/>
        <s v="1:08:52"/>
        <s v="1:12:36"/>
        <s v="1:13:52"/>
        <s v="2:02:43"/>
        <s v="1:11:37"/>
        <s v="1:27:11"/>
        <s v="1:16:37"/>
        <s v="1:05:52"/>
        <s v="1:42:57"/>
        <s v="1:08:46"/>
        <s v="1:10:43"/>
        <s v="1:40:49"/>
        <s v="1:08:05"/>
        <s v="1:16:48"/>
        <s v="1:25:58"/>
        <s v="1:04:04"/>
        <s v="1:29:11"/>
        <s v="1:13:16"/>
        <s v="1:41:40"/>
        <s v="0:59:10"/>
        <s v="1:13:44"/>
        <s v="1:19:29"/>
        <s v="1:21:42"/>
        <s v="1:22:52"/>
        <s v="1:16:45"/>
        <s v="1:40:44"/>
        <s v="1:42:47"/>
        <s v="1:19:06"/>
        <s v="1:51:39"/>
        <s v="1:26:33"/>
        <s v="1:30:44"/>
        <s v="1:57:26"/>
        <s v="2:06:43"/>
        <s v="2:05:45"/>
        <s v="2:05:50"/>
        <s v="1:15:05"/>
        <s v="1:14:53"/>
        <s v="1:14:31"/>
        <s v="1:19:21"/>
        <s v="1:02:04"/>
        <s v="1:31:14"/>
        <s v="1:48:51"/>
        <s v="2:22:43"/>
        <s v="1:18:55"/>
        <s v="1:19:53"/>
        <s v="1:15:17"/>
        <s v="1:28:21"/>
        <s v="1:40:07"/>
        <s v="1:29:20"/>
        <s v="1:39:23"/>
        <s v="1:02:59"/>
        <s v="1:20:51"/>
        <s v="1:32:33"/>
        <s v="1:20:50"/>
        <s v="1:15:54"/>
        <s v="1:15:29"/>
        <s v="1:31:03"/>
        <s v="1:42:22"/>
        <s v="2:11:19"/>
        <s v="1:36:40"/>
        <s v="1:39:12"/>
        <s v="1:40:05"/>
        <s v="1:39:48"/>
        <s v="1:08:53"/>
        <s v="1:46:05"/>
        <s v="0:57:43"/>
        <s v="1:05:26"/>
        <s v="1:22:51"/>
        <s v="1:23:49"/>
        <s v="1:17:03"/>
        <s v="1:13:24"/>
        <s v="1:24:48"/>
        <s v="1:35:29"/>
        <s v="1:49:05"/>
        <s v="1:25:18"/>
        <s v="1:34:12"/>
        <s v="1:26:58"/>
        <s v="1:41:41"/>
        <s v="1:30:51"/>
        <s v="0:57:35"/>
        <s v="1:03:39"/>
        <s v="1:01:12"/>
        <s v="1:09:35"/>
        <s v="1:04:59"/>
        <s v="1:20:18"/>
        <s v="1:29:18"/>
        <s v="1:11:07"/>
        <s v="1:09:38"/>
        <s v="1:31:57"/>
        <s v="1:24:59"/>
        <s v="1:33:23"/>
        <s v="1:24:58"/>
        <s v="1:22:24"/>
        <s v="1:25:50"/>
        <s v="1:15:08"/>
        <s v="1:18:28"/>
        <s v="1:11:41"/>
        <s v="1:12:31"/>
        <s v="2:10:45"/>
        <s v="1:10:38"/>
        <s v="0:56:57"/>
        <s v="1:16:40"/>
        <s v="1:28:06"/>
        <s v="1:18:16"/>
        <s v="1:46:39"/>
        <s v="1:20:13"/>
        <s v="1:05:35"/>
        <s v="0:57:29"/>
        <s v="0:58:04"/>
        <s v="1:37:09"/>
        <s v="1:57:54"/>
        <s v="1:04:06"/>
        <s v="1:24:02"/>
        <s v="1:36:10"/>
        <s v="1:19:08"/>
        <s v="1:17:00"/>
        <s v="1:31:40"/>
        <s v="1:14:57"/>
        <s v="0:57:17"/>
        <s v="1:20:59"/>
        <s v="1:19:35"/>
        <s v="1:16:11"/>
        <s v="1:09:01"/>
        <s v="1:54:47"/>
        <s v="1:43:34"/>
        <s v="1:21:18"/>
        <s v="1:41:57"/>
        <s v="1:32:11"/>
        <s v="2:28:40"/>
        <s v="1:13:36"/>
        <s v="1:00:28"/>
        <s v="1:22:38"/>
        <s v="1:46:42"/>
        <s v="2:00:43"/>
        <s v="0:59:07"/>
        <s v="1:39:05"/>
        <s v="1:58:23"/>
        <s v="2:09:48"/>
        <s v="1:25:23"/>
        <s v="2:08:11"/>
        <s v="1:26:02"/>
        <s v="1:06:30"/>
        <s v="1:44:41"/>
        <s v="1:38:58"/>
        <s v="1:22:20"/>
        <s v="1:14:12"/>
        <s v="1:01:58"/>
        <s v="1:11:38"/>
        <s v="1:26:26"/>
        <s v="1:31:26"/>
        <s v="1:41:50"/>
        <s v="1:08:49"/>
        <s v="1:11:19"/>
        <s v="1:04:22"/>
        <s v="1:22:19"/>
        <s v="1:34:17"/>
        <s v="1:13:33"/>
        <s v="1:12:46"/>
        <s v="2:17:54"/>
        <s v="1:51:46"/>
        <s v="1:29:47"/>
        <s v="1:34:18"/>
        <s v="1:19:47"/>
        <s v="1:52:29"/>
        <s v="1:32:22"/>
        <s v="1:00:13"/>
        <s v="1:27:51"/>
        <s v="1:03:08"/>
        <s v="1:10:05"/>
        <s v="1:23:14"/>
        <s v="1:23:00"/>
        <s v="1:08:13"/>
        <s v="1:07:09"/>
        <s v="1:24:04"/>
        <s v="1:48:45"/>
        <s v="1:18:46"/>
        <s v="1:00:03"/>
        <s v="1:39:02"/>
        <s v="1:18:37"/>
        <s v="1:26:40"/>
        <s v="0:57:38"/>
        <s v="2:07:30"/>
        <s v="1:13:25"/>
        <s v="1:26:35"/>
        <s v="1:33:58"/>
        <s v="1:32:19"/>
        <s v="1:36:32"/>
        <s v="1:52:22"/>
        <s v="1:29:38"/>
        <s v="1:35:01"/>
        <s v="1:04:31"/>
        <s v="1:08:25"/>
        <s v="1:20:20"/>
        <s v="1:12:59"/>
        <s v="1:20:14"/>
        <s v="1:12:58"/>
        <s v="1:16:21"/>
        <s v="1:23:08"/>
        <s v="1:13:20"/>
        <s v="1:07:33"/>
        <s v="1:07:31"/>
        <s v="1:16:01"/>
        <s v="1:12:26"/>
        <s v="1:35:08"/>
        <s v="1:32:05"/>
        <s v="1:22:17"/>
        <s v="1:26:19"/>
        <s v="1:26:05"/>
        <s v="1:13:29"/>
        <s v="1:21:45"/>
        <s v="1:06:09"/>
        <s v="0:57:31"/>
        <s v="1:08:43"/>
        <s v="1:42:56"/>
        <s v="2:07:17"/>
        <s v="1:41:18"/>
        <s v="1:20:17"/>
        <s v="1:41:59"/>
        <s v="1:16:35"/>
        <s v="1:20:31"/>
        <s v="1:42:13"/>
        <s v="2:04:04"/>
        <s v="1:39:09"/>
        <s v="1:52:54"/>
        <s v="1:10:45"/>
        <s v="1:31:22"/>
        <s v="1:08:21"/>
        <s v="1:39:21"/>
        <s v="1:07:01"/>
        <s v="0:57:30"/>
        <s v="3:04:34"/>
        <s v="1:45:16"/>
        <s v="0:58:29"/>
        <s v="1:26:07"/>
        <s v="1:24:18"/>
        <s v="1:47:15"/>
        <s v="1:14:49"/>
        <s v="1:21:50"/>
        <s v="1:25:51"/>
        <s v="1:08:11"/>
        <s v="1:11:20"/>
        <s v="1:16:57"/>
        <s v="2:15:49"/>
        <s v="1:11:35"/>
        <s v="1:31:47"/>
        <s v="1:33:50"/>
        <s v="0:57:00"/>
        <s v="1:12:54"/>
        <s v="1:17:23"/>
        <s v="1:07:19"/>
        <s v="1:49:40"/>
        <s v="2:21:40"/>
        <s v="1:37:56"/>
        <s v="1:40:48"/>
        <s v="1:41:27"/>
        <s v="1:09:26"/>
        <s v="1:12:47"/>
        <s v="1:06:35"/>
        <s v="1:34:20"/>
        <s v="1:32:59"/>
        <s v="1:06:51"/>
        <s v="1:12:32"/>
        <s v="1:04:53"/>
        <s v="1:34:28"/>
        <s v="1:39:29"/>
        <s v="1:00:25"/>
        <s v="1:27:57"/>
        <s v="1:15:19"/>
        <s v="1:03:10"/>
        <s v="2:41:15"/>
        <s v="1:46:15"/>
        <s v="1:14:38"/>
        <s v="1:17:11"/>
        <s v="1:12:10"/>
        <s v="1:32:53"/>
        <s v="1:18:26"/>
        <s v="1:21:44"/>
        <s v="1:57:52"/>
        <s v="1:08:01"/>
        <s v="0:59:56"/>
        <s v="0:58:08"/>
        <s v="1:15:35"/>
        <s v="2:05:21"/>
        <s v="1:01:54"/>
        <s v="1:03:14"/>
        <s v="1:18:15"/>
        <s v="1:54:24"/>
        <s v="1:41:37"/>
        <s v="1:42:12"/>
        <s v="1:05:02"/>
        <s v="1:02:11"/>
        <s v="1:01:19"/>
        <s v="1:38:54"/>
        <s v="1:03:52"/>
        <s v="1:01:42"/>
        <s v="1:30:59"/>
        <s v="1:36:49"/>
        <s v="1:16:17"/>
        <s v="1:34:10"/>
        <s v="1:48:26"/>
        <s v="1:54:51"/>
        <s v="1:10:59"/>
        <s v="1:23:40"/>
        <s v="1:48:47"/>
        <s v="1:28:28"/>
        <s v="1:12:12"/>
        <s v="2:01:10"/>
        <s v="2:01:28"/>
        <s v="1:26:52"/>
        <s v="1:27:14"/>
        <s v="1:31:23"/>
        <s v="1:09:32"/>
        <s v="1:12:06"/>
        <s v="1:02:12"/>
        <s v="1:16:23"/>
        <s v="1:38:12"/>
        <s v="2:06:46"/>
        <s v="1:38:10"/>
        <s v="1:24:05"/>
        <s v="1:25:45"/>
        <s v="1:05:27"/>
        <s v="1:43:46"/>
        <s v="1:20:39"/>
        <s v="1:41:07"/>
        <s v="1:41:08"/>
        <s v="1:27:27"/>
        <s v="1:08:28"/>
        <s v="1:13:02"/>
        <s v="1:41:31"/>
        <s v="1:43:55"/>
        <s v="2:08:47"/>
        <s v="1:17:28"/>
        <s v="1:33:16"/>
        <s v="1:21:16"/>
        <s v="1:20:06"/>
        <s v="1:41:21"/>
        <s v="1:50:13"/>
        <s v="1:47:02"/>
        <s v="1:40:50"/>
        <s v="1:24:13"/>
        <s v="1:09:33"/>
        <s v="1:09:40"/>
        <s v="2:00:38"/>
        <s v="1:06:28"/>
        <s v="1:14:14"/>
        <s v="1:11:40"/>
        <s v="2:05:42"/>
        <s v="1:11:22"/>
        <s v="1:27:49"/>
        <s v="1:07:04"/>
        <s v="1:09:47"/>
        <s v="1:17:15"/>
        <s v="2:14:07"/>
        <s v="1:27:43"/>
        <s v="2:01:03"/>
        <s v="1:28:04"/>
        <s v="1:02:42"/>
        <s v="1:21:32"/>
        <s v="1:43:54"/>
        <s v="0:58:42"/>
        <s v="1:31:16"/>
        <s v="2:06:52"/>
        <s v="1:56:32"/>
        <s v="1:21:46"/>
        <s v="1:19:05"/>
        <s v="1:07:41"/>
        <s v="1:07:52"/>
        <s v="1:12:38"/>
        <s v="1:18:18"/>
        <s v="1:40:02"/>
        <s v="1:45:50"/>
        <s v="1:03:01"/>
        <s v="1:26:47"/>
        <s v="2:11:43"/>
        <s v="0:57:25"/>
        <s v="1:06:46"/>
        <s v="1:54:39"/>
        <s v="1:13:18"/>
        <s v="1:24:20"/>
        <s v="1:02:27"/>
        <s v="1:01:47"/>
        <s v="1:13:39"/>
        <s v="1:34:23"/>
        <s v="1:20:40"/>
        <s v="1:03:16"/>
        <s v="1:19:14"/>
        <s v="1:04:38"/>
        <s v="1:15:48"/>
        <s v="1:29:58"/>
        <s v="0:59:06"/>
        <s v="1:01:51"/>
        <s v="1:16:24"/>
        <s v="1:29:43"/>
        <s v="1:10:01"/>
        <s v="1:17:57"/>
        <s v="1:29:46"/>
        <s v="1:07:57"/>
        <s v="1:35:34"/>
        <s v="1:18:13"/>
        <s v="1:56:43"/>
        <s v="2:08:21"/>
        <s v="1:07:53"/>
        <s v="1:29:36"/>
        <s v="1:29:04"/>
        <s v="1:52:46"/>
        <s v="1:46:49"/>
        <s v="1:15:30"/>
        <s v="0:58:35"/>
        <s v="1:24:49"/>
        <s v="1:05:31"/>
        <s v="1:39:55"/>
        <s v="1:34:35"/>
        <s v="1:45:30"/>
        <s v="1:16:30"/>
        <s v="1:16:31"/>
        <s v="1:16:32"/>
        <s v="1:39:56"/>
        <s v="1:40:01"/>
        <s v="1:10:26"/>
        <s v="1:33:30"/>
        <s v="1:40:21"/>
        <s v="1:34:13"/>
        <s v="1:09:45"/>
        <s v="1:23:50"/>
        <s v="1:37:28"/>
        <s v="1:34:37"/>
        <s v="1:05:03"/>
        <s v="2:20:08"/>
        <s v="1:18:27"/>
        <s v="1:31:55"/>
        <s v="1:28:01"/>
        <s v="1:18:21"/>
        <s v="1:33:06"/>
        <s v="1:11:30"/>
        <s v="2:00:42"/>
        <s v="1:23:41"/>
        <s v="1:18:03"/>
        <s v="1:00:56"/>
        <s v="1:14:17"/>
        <s v="1:14:56"/>
        <s v="1:22:12"/>
        <s v="1:25:54"/>
        <s v="1:19:37"/>
        <s v="1:05:08"/>
        <s v="1:11:18"/>
        <s v="1:23:43"/>
        <s v="1:10:13"/>
        <s v="1:21:55"/>
        <s v="2:01:09"/>
        <s v="1:15:40"/>
        <s v="1:06:43"/>
        <s v="1:52:00"/>
        <s v="1:34:43"/>
        <s v="1:19:49"/>
        <s v="1:27:25"/>
        <s v="1:06:06"/>
        <s v="1:04:37"/>
        <s v="1:31:58"/>
        <s v="1:39:38"/>
        <s v="1:46:21"/>
        <s v="1:21:43"/>
        <s v="1:08:16"/>
        <s v="1:03:23"/>
        <s v="0:57:33"/>
        <s v="1:39:53"/>
        <s v="1:34:16"/>
        <s v="1:46:41"/>
        <s v="1:47:04"/>
        <s v="1:21:10"/>
        <s v="1:27:26"/>
        <s v="1:27:37"/>
        <s v="1:30:38"/>
        <s v="1:28:36"/>
        <s v="1:10:40"/>
        <s v="1:17:29"/>
        <s v="1:27:45"/>
        <s v="1:39:30"/>
        <s v="1:26:11"/>
        <s v="1:17:07"/>
        <s v="1:23:23"/>
        <s v="1:32:48"/>
        <s v="0:57:07"/>
        <s v="1:09:50"/>
        <s v="1:29:52"/>
        <s v="1:39:51"/>
        <s v="1:38:23"/>
        <s v="1:20:35"/>
        <s v="1:22:49"/>
        <s v="1:19:16"/>
        <s v="1:03:36"/>
        <s v="1:18:30"/>
        <s v="1:03:21"/>
        <s v="2:00:53"/>
        <s v="1:14:27"/>
        <s v="1:20:25"/>
        <s v="1:50:44"/>
        <s v="2:08:10"/>
        <s v="1:09:00"/>
        <s v="1:13:49"/>
        <s v="1:09:09"/>
        <s v="1:23:39"/>
        <s v="1:09:07"/>
        <s v="1:42:07"/>
        <s v="1:15:21"/>
        <s v="2:01:49"/>
        <s v="1:52:37"/>
        <s v="1:17:17"/>
        <s v="2:03:34"/>
        <s v="1:07:40"/>
        <s v="1:56:08"/>
        <s v="1:05:13"/>
        <s v="1:02:32"/>
        <s v="1:39:58"/>
        <s v="0:57:27"/>
        <s v="1:57:43"/>
        <s v="1:09:54"/>
        <s v="1:21:27"/>
        <s v="1:05:01"/>
        <s v="1:22:32"/>
        <s v="1:30:08"/>
        <s v="1:02:41"/>
        <s v="1:12:11"/>
        <s v="1:20:53"/>
        <s v="1:01:40"/>
        <s v="1:09:52"/>
        <s v="1:16:47"/>
        <s v="1:18:12"/>
        <s v="1:59:23"/>
        <s v="1:46:53"/>
        <s v="1:26:36"/>
        <s v="1:32:12"/>
        <s v="1:18:40"/>
        <s v="1:34:34"/>
        <s v="1:43:12"/>
        <s v="1:56:58"/>
        <s v="1:06:10"/>
        <s v="1:16:59"/>
        <s v="1:40:11"/>
        <s v="1:07:51"/>
        <s v="1:17:21"/>
        <s v="1:41:47"/>
        <s v="2:10:33"/>
        <s v="1:02:20"/>
        <s v="1:04:20"/>
        <s v="1:56:21"/>
        <s v="1:36:31"/>
        <s v="0:57:49"/>
        <s v="1:14:32"/>
        <s v="1:12:04"/>
        <s v="1:28:00"/>
        <s v="1:39:07"/>
        <s v="1:35:57"/>
        <s v="2:07:16"/>
        <s v="1:00:12"/>
        <s v="1:17:47"/>
        <s v="1:36:37"/>
        <s v="1:57:16"/>
        <s v="1:19:30"/>
        <s v="1:12:24"/>
        <s v="1:53:57"/>
        <s v="1:22:31"/>
        <s v="1:03:04"/>
        <s v="1:36:58"/>
        <s v="1:30:40"/>
        <s v="1:45:28"/>
        <s v="1:38:50"/>
        <s v="1:32:15"/>
        <s v="1:25:26"/>
        <s v="1:15:43"/>
        <s v="1:05:45"/>
        <s v="1:08:34"/>
        <s v="1:07:35"/>
        <s v="1:08:35"/>
        <s v="1:22:44"/>
        <s v="1:09:44"/>
        <s v="0:59:40"/>
        <s v="1:34:44"/>
        <s v="1:44:48"/>
        <s v="1:24:51"/>
        <s v="1:03:26"/>
        <s v="1:03:13"/>
        <s v="1:40:27"/>
        <s v="0:57:05"/>
        <s v="1:26:56"/>
        <s v="1:36:14"/>
        <s v="1:15:45"/>
        <s v="1:24:14"/>
        <s v="1:37:45"/>
        <s v="1:43:52"/>
        <s v="1:59:04"/>
        <s v="1:13:59"/>
        <s v="1:42:58"/>
        <s v="1:47:01"/>
        <s v="2:15:52"/>
        <s v="1:22:37"/>
        <s v="1:16:44"/>
        <s v="1:14:21"/>
        <s v="1:48:40"/>
        <s v="1:14:26"/>
        <s v="1:26:59"/>
        <s v="1:15:44"/>
        <s v="1:28:41"/>
        <s v="1:02:54"/>
        <s v="1:39:52"/>
        <s v="1:03:07"/>
        <s v="1:45:57"/>
        <s v="1:55:33"/>
        <s v="1:03:15"/>
        <s v="1:24:54"/>
        <s v="1:14:02"/>
        <s v="1:07:27"/>
        <s v="1:07:55"/>
        <s v="1:31:19"/>
        <s v="1:08:32"/>
        <s v="1:10:58"/>
        <s v="1:30:18"/>
        <s v="1:29:16"/>
        <s v="1:24:34"/>
        <s v="1:00:16"/>
        <s v="1:19:50"/>
        <s v="1:26:38"/>
        <s v="1:32:25"/>
        <s v="1:06:01"/>
        <s v="1:51:52"/>
        <s v="1:35:21"/>
        <s v="1:29:01"/>
        <s v="1:37:52"/>
        <s v="1:18:47"/>
        <s v="1:08:51"/>
        <s v="1:06:13"/>
        <s v="1:15:01"/>
        <s v="1:20:23"/>
        <s v="1:58:26"/>
        <s v="1:10:02"/>
        <s v="1:35:14"/>
        <s v="1:03:47"/>
        <s v="1:23:24"/>
        <s v="1:10:15"/>
        <s v="1:14:35"/>
        <s v="1:41:44"/>
        <s v="1:17:52"/>
        <s v="1:15:49"/>
        <s v="1:06:48"/>
        <s v="1:28:18"/>
        <s v="1:19:33"/>
        <s v="1:24:09"/>
        <s v="1:28:09"/>
        <s v="1:30:06"/>
        <s v="1:15:14"/>
        <s v="1:29:07"/>
        <s v="1:04:17"/>
        <s v="1:07:25"/>
        <s v="1:39:08"/>
        <s v="1:21:41"/>
        <s v="1:13:41"/>
        <s v="1:10:10"/>
        <s v="1:49:50"/>
        <s v="1:28:51"/>
        <s v="1:10:57"/>
        <s v="2:02:35"/>
        <s v="1:39:10"/>
        <s v="1:23:46"/>
        <s v="1:12:53"/>
        <s v="1:43:51"/>
        <s v="1:25:52"/>
        <s v="2:06:09"/>
        <s v="1:03:22"/>
        <s v="1:14:25"/>
        <s v="1:34:45"/>
        <s v="1:37:38"/>
        <s v="1:36:03"/>
        <s v="1:17:04"/>
        <s v="1:03:05"/>
        <s v="1:33:34"/>
        <s v="1:43:58"/>
        <s v="1:38:52"/>
        <s v="1:17:54"/>
        <s v="1:20:30"/>
        <s v="1:08:54"/>
        <s v="1:12:14"/>
        <s v="1:01:48"/>
        <s v="1:05:20"/>
        <s v="1:26:42"/>
        <s v="1:28:50"/>
        <s v="1:17:39"/>
        <s v="1:53:08"/>
        <s v="1:48:14"/>
        <s v="1:30:00"/>
        <s v="2:13:32"/>
        <s v="1:55:13"/>
        <s v="1:18:29"/>
        <s v="1:09:23"/>
        <s v="1:11:31"/>
        <s v="1:02:56"/>
        <s v="1:25:48"/>
        <s v="1:03:34"/>
        <s v="1:10:54"/>
        <s v="2:06:01"/>
        <s v="2:08:34"/>
        <s v="1:27:07"/>
        <s v="1:40:23"/>
        <s v="1:45:55"/>
        <s v="1:24:45"/>
        <s v="1:19:02"/>
        <s v="1:20:52"/>
        <s v="1:16:27"/>
        <s v="1:53:21"/>
        <s v="1:14:03"/>
        <s v="1:34:03"/>
        <s v="1:58:11"/>
        <s v="1:25:07"/>
        <s v="1:48:13"/>
        <s v="1:36:19"/>
        <s v="1:05:55"/>
        <s v="1:15:27"/>
        <s v="1:27:04"/>
        <s v="1:29:41"/>
        <s v="1:28:32"/>
        <s v="1:18:10"/>
        <s v="1:22:06"/>
        <s v="0:59:08"/>
        <s v="1:21:05"/>
        <s v="1:25:05"/>
        <s v="1:04:02"/>
        <s v="1:18:42"/>
        <s v="1:22:22"/>
        <s v="2:06:12"/>
        <s v="1:44:21"/>
        <s v="1:23:07"/>
        <s v="1:51:22"/>
        <s v="1:00:31"/>
        <s v="2:01:42"/>
        <s v="1:23:26"/>
        <s v="1:39:14"/>
        <s v="1:24:30"/>
        <s v="2:04:32"/>
        <s v="1:05:53"/>
        <s v="1:15:15"/>
        <s v="1:13:58"/>
        <s v="1:45:21"/>
        <s v="1:44:23"/>
        <s v="1:39:33"/>
        <s v="1:26:22"/>
        <s v="1:11:34"/>
        <s v="1:03:56"/>
        <s v="1:45:17"/>
        <s v="1:34:33"/>
        <s v="1:21:39"/>
        <s v="1:20:38"/>
        <s v="1:09:06"/>
        <s v="1:07:39"/>
        <s v="1:17:34"/>
        <s v="1:32:55"/>
        <s v="1:52:25"/>
        <s v="1:14:07"/>
        <s v="1:48:59"/>
        <s v="1:03:17"/>
        <s v="1:11:39"/>
        <s v="1:36:51"/>
        <s v="1:06:27"/>
        <s v="1:24:07"/>
        <s v="1:22:02"/>
        <s v="0:58:00"/>
        <s v="1:39:36"/>
        <s v="2:00:22"/>
        <s v="1:15:36"/>
        <s v="1:13:10"/>
        <s v="1:30:01"/>
        <s v="1:30:58"/>
        <s v="1:03:53"/>
        <s v="1:33:13"/>
        <s v="1:15:53"/>
        <s v="1:10:23"/>
        <s v="1:20:21"/>
        <s v="1:23:42"/>
        <s v="1:42:01"/>
        <s v="1:55:50"/>
        <s v="1:02:37"/>
        <s v="1:24:06"/>
        <s v="0:57:23"/>
      </sharedItems>
    </cacheField>
    <cacheField name="Ātrums" numFmtId="0">
      <sharedItems containsSemiMixedTypes="0" containsString="0" containsNumber="1">
        <n v="17.5"/>
        <n v="27.7"/>
        <n v="33.3"/>
        <n v="25.4"/>
        <n v="25.9"/>
        <n v="22.6"/>
        <n v="33.8"/>
        <n v="25.2"/>
        <n v="25.8"/>
        <n v="32.9"/>
        <n v="20.9"/>
        <n v="21.0"/>
        <n v="28.1"/>
        <n v="19.4"/>
        <n v="27.3"/>
        <n v="20.7"/>
        <n v="21.1"/>
        <n v="28.5"/>
        <n v="16.9"/>
        <n v="29.8"/>
        <n v="30.5"/>
        <n v="36.4"/>
        <n v="29.0"/>
        <n v="19.2"/>
        <n v="23.9"/>
        <n v="23.6"/>
        <n v="27.0"/>
        <n v="20.0"/>
        <n v="43.3"/>
        <n v="30.6"/>
        <n v="21.9"/>
        <n v="31.5"/>
        <n v="18.7"/>
        <n v="31.6"/>
        <n v="23.1"/>
        <n v="43.4"/>
        <n v="43.9"/>
        <n v="17.9"/>
        <n v="16.5"/>
        <n v="29.1"/>
        <n v="29.3"/>
        <n v="31.1"/>
        <n v="24.2"/>
        <n v="33.5"/>
        <n v="32.6"/>
        <n v="28.4"/>
        <n v="26.7"/>
        <n v="22.0"/>
        <n v="43.2"/>
        <n v="28.8"/>
        <n v="18.2"/>
        <n v="26.0"/>
        <n v="20.6"/>
        <n v="15.3"/>
        <n v="30.8"/>
        <n v="28.9"/>
        <n v="31.8"/>
        <n v="40.5"/>
        <n v="24.5"/>
        <n v="21.8"/>
        <n v="21.6"/>
        <n v="17.2"/>
        <n v="23.8"/>
        <n v="35.3"/>
        <n v="33.9"/>
        <n v="15.5"/>
        <n v="20.3"/>
        <n v="22.1"/>
        <n v="42.5"/>
        <n v="20.2"/>
        <n v="23.5"/>
        <n v="27.8"/>
        <n v="18.9"/>
        <n v="26.3"/>
        <n v="27.6"/>
        <n v="35.0"/>
        <n v="23.4"/>
        <n v="32.8"/>
        <n v="30.2"/>
        <n v="26.6"/>
        <n v="20.4"/>
        <n v="36.1"/>
        <n v="35.8"/>
        <n v="29.4"/>
        <n v="26.8"/>
        <n v="26.4"/>
        <n v="25.1"/>
        <n v="23.7"/>
        <n v="25.0"/>
        <n v="22.5"/>
        <n v="33.7"/>
        <n v="30.9"/>
        <n v="29.2"/>
        <n v="28.6"/>
        <n v="27.9"/>
        <n v="25.7"/>
        <n v="28.7"/>
        <n v="32.0"/>
        <n v="27.1"/>
        <n v="22.2"/>
        <n v="14.5"/>
        <n v="25.6"/>
        <n v="33.2"/>
        <n v="20.5"/>
        <n v="16.2"/>
        <n v="18.5"/>
        <n v="14.9"/>
        <n v="26.5"/>
        <n v="25.5"/>
        <n v="19.6"/>
        <n v="23.0"/>
        <n v="28.2"/>
        <n v="24.4"/>
        <n v="32.1"/>
        <n v="34.8"/>
        <n v="30.3"/>
        <n v="33.0"/>
        <n v="26.9"/>
        <n v="18.4"/>
        <n v="17.3"/>
        <n v="33.6"/>
        <n v="19.8"/>
        <n v="24.9"/>
        <n v="29.5"/>
        <n v="22.9"/>
        <n v="28.0"/>
        <n v="36.2"/>
        <n v="42.7"/>
        <n v="29.9"/>
        <n v="14.8"/>
        <n v="24.6"/>
        <n v="31.2"/>
        <n v="42.4"/>
        <n v="17.0"/>
        <n v="20.8"/>
        <n v="21.2"/>
        <n v="19.1"/>
        <n v="19.0"/>
        <n v="22.7"/>
        <n v="36.3"/>
        <n v="23.2"/>
        <n v="17.8"/>
        <n v="17.7"/>
        <n v="25.3"/>
        <n v="19.3"/>
        <n v="22.8"/>
        <n v="19.9"/>
        <n v="24.3"/>
        <n v="32.5"/>
        <n v="39.9"/>
        <n v="30.0"/>
        <n v="27.4"/>
        <n v="28.3"/>
        <n v="24.0"/>
        <n v="21.7"/>
        <n v="32.3"/>
        <n v="19.5"/>
        <n v="27.2"/>
        <n v="31.9"/>
        <n v="18.0"/>
        <n v="35.4"/>
        <n v="22.3"/>
        <n v="26.2"/>
        <n v="43.1"/>
        <n v="42.1"/>
        <n v="38.7"/>
        <n v="43.0"/>
        <n v="33.4"/>
        <n v="20.1"/>
        <n v="29.6"/>
        <n v="18.6"/>
        <n v="16.8"/>
        <n v="17.6"/>
        <n v="22.4"/>
        <n v="34.1"/>
        <n v="16.1"/>
        <n v="31.4"/>
        <n v="34.0"/>
        <n v="19.7"/>
        <n v="24.7"/>
        <n v="36.8"/>
        <n v="32.4"/>
        <n v="31.3"/>
        <n v="17.1"/>
        <n v="32.7"/>
        <n v="36.5"/>
        <n v="41.7"/>
        <n v="18.3"/>
        <n v="16.6"/>
        <n v="14.7"/>
        <n v="42.8"/>
        <n v="40.4"/>
        <n v="24.1"/>
        <n v="35.2"/>
        <n v="30.1"/>
        <n v="26.1"/>
        <n v="27.5"/>
        <n v="16.0"/>
        <n v="29.7"/>
        <n v="34.3"/>
        <n v="36.6"/>
        <n v="37.3"/>
        <n v="14.1"/>
        <n v="34.7"/>
        <n v="35.5"/>
        <n v="23.3"/>
        <n v="30.7"/>
        <n v="34.9"/>
        <n v="31.0"/>
        <n v="31.7"/>
        <n v="35.9"/>
        <n v="15.4"/>
        <n v="21.4"/>
        <n v="13.0"/>
        <n v="34.2"/>
        <n v="18.8"/>
        <n v="30.4"/>
        <n v="39.4"/>
        <n v="24.8"/>
        <n v="21.3"/>
        <n v="16.3"/>
        <n v="42.3"/>
        <n v="15.6"/>
        <n v="34.4"/>
        <n v="35.7"/>
        <n v="21.5"/>
        <n v="15.9"/>
        <n v="33.1"/>
        <n v="42.9"/>
        <n v="32.2"/>
        <n v="40.3"/>
        <n v="40.2"/>
        <n v="36.7"/>
        <n v="45.2"/>
        <n v="36.0"/>
        <n v="37.9"/>
        <n v="37.8"/>
        <n v="17.4"/>
        <n v="37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3:B5" firstHeaderRow="0" firstDataRow="1" firstDataCol="0"/>
  <pivotFields>
    <pivotField name="Gru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Uzvār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t="default"/>
      </items>
    </pivotField>
    <pivotField name="Vārds" axis="axisRow" compact="0" outline="0" multipleItemSelectionAllowed="1" showAll="0" sortType="ascending">
      <items>
        <item h="1" x="95"/>
        <item h="1" x="252"/>
        <item h="1" x="263"/>
        <item h="1" x="38"/>
        <item h="1" x="330"/>
        <item h="1" x="277"/>
        <item h="1" x="97"/>
        <item h="1" x="28"/>
        <item h="1" x="345"/>
        <item h="1" x="213"/>
        <item h="1" x="46"/>
        <item h="1" x="232"/>
        <item h="1" x="226"/>
        <item h="1" x="88"/>
        <item h="1" x="355"/>
        <item h="1" x="236"/>
        <item h="1" x="90"/>
        <item h="1" x="234"/>
        <item h="1" x="10"/>
        <item h="1" x="137"/>
        <item h="1" x="209"/>
        <item h="1" x="353"/>
        <item h="1" x="344"/>
        <item h="1" x="352"/>
        <item h="1" x="381"/>
        <item h="1" x="371"/>
        <item h="1" x="69"/>
        <item h="1" x="185"/>
        <item h="1" x="157"/>
        <item h="1" x="311"/>
        <item h="1" x="33"/>
        <item h="1" x="15"/>
        <item h="1" x="172"/>
        <item h="1" x="120"/>
        <item h="1" x="237"/>
        <item h="1" x="370"/>
        <item h="1" x="285"/>
        <item h="1" x="239"/>
        <item h="1" x="219"/>
        <item h="1" x="274"/>
        <item h="1" x="365"/>
        <item h="1" x="112"/>
        <item h="1" x="323"/>
        <item h="1" x="29"/>
        <item h="1" x="335"/>
        <item h="1" x="92"/>
        <item h="1" x="324"/>
        <item h="1" x="148"/>
        <item h="1" x="40"/>
        <item h="1" x="35"/>
        <item h="1" x="31"/>
        <item h="1" x="280"/>
        <item h="1" x="305"/>
        <item h="1" x="224"/>
        <item h="1" x="176"/>
        <item h="1" x="301"/>
        <item h="1" x="96"/>
        <item h="1" x="104"/>
        <item h="1" x="397"/>
        <item h="1" x="300"/>
        <item h="1" x="186"/>
        <item h="1" x="8"/>
        <item h="1" x="124"/>
        <item h="1" x="45"/>
        <item h="1" x="84"/>
        <item h="1" x="255"/>
        <item h="1" x="155"/>
        <item h="1" x="254"/>
        <item h="1" x="318"/>
        <item h="1" x="87"/>
        <item h="1" x="140"/>
        <item h="1" x="317"/>
        <item h="1" x="123"/>
        <item h="1" x="113"/>
        <item h="1" x="212"/>
        <item h="1" x="150"/>
        <item h="1" x="177"/>
        <item h="1" x="332"/>
        <item h="1" x="58"/>
        <item h="1" x="246"/>
        <item h="1" x="201"/>
        <item h="1" x="139"/>
        <item h="1" x="50"/>
        <item h="1" x="289"/>
        <item h="1" x="210"/>
        <item h="1" x="5"/>
        <item h="1" x="206"/>
        <item h="1" x="183"/>
        <item h="1" x="9"/>
        <item h="1" x="166"/>
        <item h="1" x="379"/>
        <item h="1" x="174"/>
        <item h="1" x="249"/>
        <item h="1" x="83"/>
        <item h="1" x="107"/>
        <item h="1" x="343"/>
        <item h="1" x="128"/>
        <item h="1" x="231"/>
        <item h="1" x="329"/>
        <item h="1" x="173"/>
        <item h="1" x="165"/>
        <item h="1" x="368"/>
        <item h="1" x="225"/>
        <item h="1" x="111"/>
        <item h="1" x="286"/>
        <item h="1" x="248"/>
        <item h="1" x="217"/>
        <item h="1" x="295"/>
        <item h="1" x="101"/>
        <item h="1" x="351"/>
        <item h="1" x="175"/>
        <item h="1" x="71"/>
        <item h="1" x="310"/>
        <item h="1" x="118"/>
        <item h="1" x="195"/>
        <item h="1" x="72"/>
        <item h="1" x="146"/>
        <item h="1" x="187"/>
        <item h="1" x="385"/>
        <item h="1" x="205"/>
        <item h="1" x="389"/>
        <item h="1" x="7"/>
        <item h="1" x="190"/>
        <item h="1" x="375"/>
        <item h="1" x="208"/>
        <item h="1" x="117"/>
        <item h="1" x="161"/>
        <item h="1" x="67"/>
        <item h="1" x="271"/>
        <item h="1" x="364"/>
        <item h="1" x="160"/>
        <item h="1" x="278"/>
        <item h="1" x="316"/>
        <item h="1" x="167"/>
        <item h="1" x="51"/>
        <item h="1" x="65"/>
        <item h="1" x="138"/>
        <item h="1" x="334"/>
        <item h="1" x="61"/>
        <item h="1" x="349"/>
        <item h="1" x="59"/>
        <item h="1" x="184"/>
        <item h="1" x="333"/>
        <item h="1" x="18"/>
        <item h="1" x="80"/>
        <item h="1" x="0"/>
        <item h="1" x="158"/>
        <item h="1" x="253"/>
        <item h="1" x="32"/>
        <item h="1" x="298"/>
        <item h="1" x="220"/>
        <item h="1" x="221"/>
        <item h="1" x="4"/>
        <item h="1" x="36"/>
        <item h="1" x="91"/>
        <item h="1" x="125"/>
        <item h="1" x="265"/>
        <item h="1" x="34"/>
        <item h="1" x="64"/>
        <item h="1" x="100"/>
        <item h="1" x="297"/>
        <item h="1" x="215"/>
        <item h="1" x="387"/>
        <item h="1" x="168"/>
        <item h="1" x="164"/>
        <item h="1" x="77"/>
        <item h="1" x="171"/>
        <item h="1" x="380"/>
        <item h="1" x="268"/>
        <item h="1" x="251"/>
        <item h="1" x="57"/>
        <item h="1" x="203"/>
        <item h="1" x="259"/>
        <item h="1" x="294"/>
        <item h="1" x="163"/>
        <item h="1" x="129"/>
        <item h="1" x="196"/>
        <item h="1" x="142"/>
        <item h="1" x="133"/>
        <item h="1" x="326"/>
        <item h="1" x="320"/>
        <item h="1" x="30"/>
        <item h="1" x="53"/>
        <item h="1" x="19"/>
        <item h="1" x="230"/>
        <item h="1" x="151"/>
        <item h="1" x="132"/>
        <item h="1" x="282"/>
        <item h="1" x="145"/>
        <item h="1" x="89"/>
        <item h="1" x="296"/>
        <item h="1" x="102"/>
        <item h="1" x="242"/>
        <item h="1" x="6"/>
        <item h="1" x="143"/>
        <item h="1" x="110"/>
        <item h="1" x="211"/>
        <item h="1" x="44"/>
        <item h="1" x="144"/>
        <item h="1" x="188"/>
        <item x="49"/>
        <item h="1" x="319"/>
        <item h="1" x="261"/>
        <item h="1" x="264"/>
        <item h="1" x="78"/>
        <item h="1" x="307"/>
        <item h="1" x="357"/>
        <item h="1" x="75"/>
        <item h="1" x="79"/>
        <item h="1" x="41"/>
        <item h="1" x="193"/>
        <item h="1" x="325"/>
        <item h="1" x="197"/>
        <item h="1" x="257"/>
        <item h="1" x="312"/>
        <item h="1" x="85"/>
        <item h="1" x="16"/>
        <item h="1" x="20"/>
        <item h="1" x="287"/>
        <item h="1" x="181"/>
        <item h="1" x="27"/>
        <item h="1" x="275"/>
        <item h="1" x="383"/>
        <item h="1" x="245"/>
        <item h="1" x="127"/>
        <item h="1" x="162"/>
        <item h="1" x="299"/>
        <item h="1" x="121"/>
        <item h="1" x="134"/>
        <item h="1" x="288"/>
        <item h="1" x="43"/>
        <item h="1" x="394"/>
        <item h="1" x="135"/>
        <item h="1" x="390"/>
        <item h="1" x="108"/>
        <item h="1" x="94"/>
        <item h="1" x="21"/>
        <item h="1" x="229"/>
        <item h="1" x="178"/>
        <item h="1" x="182"/>
        <item h="1" x="260"/>
        <item h="1" x="192"/>
        <item h="1" x="233"/>
        <item h="1" x="347"/>
        <item h="1" x="315"/>
        <item h="1" x="152"/>
        <item h="1" x="356"/>
        <item h="1" x="189"/>
        <item h="1" x="366"/>
        <item h="1" x="170"/>
        <item h="1" x="392"/>
        <item h="1" x="11"/>
        <item h="1" x="348"/>
        <item h="1" x="13"/>
        <item h="1" x="22"/>
        <item h="1" x="244"/>
        <item h="1" x="52"/>
        <item h="1" x="56"/>
        <item h="1" x="169"/>
        <item h="1" x="238"/>
        <item h="1" x="17"/>
        <item h="1" x="336"/>
        <item h="1" x="81"/>
        <item h="1" x="116"/>
        <item h="1" x="25"/>
        <item h="1" x="393"/>
        <item h="1" x="202"/>
        <item h="1" x="99"/>
        <item h="1" x="322"/>
        <item h="1" x="270"/>
        <item h="1" x="243"/>
        <item h="1" x="216"/>
        <item h="1" x="63"/>
        <item h="1" x="372"/>
        <item h="1" x="283"/>
        <item h="1" x="328"/>
        <item h="1" x="228"/>
        <item h="1" x="62"/>
        <item h="1" x="14"/>
        <item h="1" x="281"/>
        <item h="1" x="76"/>
        <item h="1" x="240"/>
        <item h="1" x="258"/>
        <item h="1" x="293"/>
        <item h="1" x="12"/>
        <item h="1" x="105"/>
        <item h="1" x="68"/>
        <item h="1" x="114"/>
        <item h="1" x="130"/>
        <item h="1" x="314"/>
        <item h="1" x="241"/>
        <item h="1" x="26"/>
        <item h="1" x="159"/>
        <item h="1" x="37"/>
        <item h="1" x="66"/>
        <item h="1" x="198"/>
        <item h="1" x="369"/>
        <item h="1" x="327"/>
        <item h="1" x="279"/>
        <item h="1" x="131"/>
        <item h="1" x="179"/>
        <item h="1" x="54"/>
        <item h="1" x="98"/>
        <item h="1" x="308"/>
        <item h="1" x="354"/>
        <item h="1" x="136"/>
        <item h="1" x="24"/>
        <item h="1" x="272"/>
        <item h="1" x="1"/>
        <item h="1" x="256"/>
        <item h="1" x="303"/>
        <item h="1" x="55"/>
        <item h="1" x="291"/>
        <item h="1" x="247"/>
        <item h="1" x="269"/>
        <item h="1" x="342"/>
        <item h="1" x="304"/>
        <item h="1" x="156"/>
        <item h="1" x="126"/>
        <item h="1" x="362"/>
        <item h="1" x="339"/>
        <item h="1" x="391"/>
        <item h="1" x="223"/>
        <item h="1" x="331"/>
        <item h="1" x="337"/>
        <item h="1" x="361"/>
        <item h="1" x="377"/>
        <item h="1" x="350"/>
        <item h="1" x="70"/>
        <item h="1" x="302"/>
        <item h="1" x="321"/>
        <item h="1" x="346"/>
        <item h="1" x="2"/>
        <item h="1" x="235"/>
        <item h="1" x="42"/>
        <item h="1" x="227"/>
        <item h="1" x="262"/>
        <item h="1" x="86"/>
        <item h="1" x="306"/>
        <item h="1" x="378"/>
        <item h="1" x="386"/>
        <item h="1" x="103"/>
        <item h="1" x="338"/>
        <item h="1" x="292"/>
        <item h="1" x="214"/>
        <item h="1" x="250"/>
        <item h="1" x="200"/>
        <item h="1" x="376"/>
        <item h="1" x="360"/>
        <item h="1" x="207"/>
        <item h="1" x="309"/>
        <item h="1" x="388"/>
        <item h="1" x="147"/>
        <item h="1" x="74"/>
        <item h="1" x="82"/>
        <item h="1" x="39"/>
        <item h="1" x="313"/>
        <item h="1" x="266"/>
        <item h="1" x="73"/>
        <item h="1" x="154"/>
        <item h="1" x="141"/>
        <item h="1" x="3"/>
        <item h="1" x="374"/>
        <item h="1" x="273"/>
        <item h="1" x="218"/>
        <item h="1" x="267"/>
        <item h="1" x="284"/>
        <item h="1" x="153"/>
        <item h="1" x="194"/>
        <item h="1" x="395"/>
        <item h="1" x="358"/>
        <item h="1" x="340"/>
        <item h="1" x="373"/>
        <item h="1" x="23"/>
        <item h="1" x="149"/>
        <item h="1" x="60"/>
        <item h="1" x="363"/>
        <item h="1" x="367"/>
        <item h="1" x="47"/>
        <item h="1" x="122"/>
        <item h="1" x="48"/>
        <item h="1" x="106"/>
        <item h="1" x="180"/>
        <item h="1" x="191"/>
        <item h="1" x="341"/>
        <item h="1" x="119"/>
        <item h="1" x="382"/>
        <item h="1" x="396"/>
        <item h="1" x="199"/>
        <item h="1" x="204"/>
        <item h="1" x="290"/>
        <item h="1" x="359"/>
        <item h="1" x="276"/>
        <item h="1" x="109"/>
        <item h="1" x="115"/>
        <item h="1" x="93"/>
        <item h="1" x="222"/>
        <item h="1" x="384"/>
        <item t="default"/>
      </items>
    </pivotField>
    <pivotField name="Klub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Lai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t="default"/>
      </items>
    </pivotField>
    <pivotField name="Ātru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</pivotFields>
  <rowFields>
    <field x="2"/>
  </rowFields>
  <dataFields>
    <dataField name="Count of Uzvārds" fld="1" subtotal="count" baseField="0"/>
  </dataFields>
</pivotTableDefinition>
</file>

<file path=xl/pivotTables/pivotTable2.xml><?xml version="1.0" encoding="utf-8"?>
<pivotTableDefinition xmlns="http://schemas.openxmlformats.org/spreadsheetml/2006/main" name="Sheet3" cacheId="1" dataCaption="" compact="0" compactData="0">
  <location ref="A5:A6" firstHeaderRow="0" firstDataRow="0" firstDataCol="0" rowPageCount="1" colPageCount="1"/>
  <pivotFields>
    <pivotField name="N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t="default"/>
      </items>
    </pivotField>
    <pivotField name="Grupa" axis="axisPage" compact="0" outline="0" multipleItemSelectionAllowed="1" showAll="0">
      <items>
        <item x="0"/>
        <item x="1"/>
        <item h="1" x="2"/>
        <item h="1" x="3"/>
        <item x="4"/>
        <item x="5"/>
        <item x="6"/>
        <item h="1" x="7"/>
        <item h="1" x="8"/>
        <item h="1" x="9"/>
        <item h="1" x="10"/>
        <item h="1" x="11"/>
        <item h="1" x="12"/>
        <item x="13"/>
        <item x="14"/>
        <item x="15"/>
        <item x="16"/>
        <item h="1" x="17"/>
        <item h="1" x="18"/>
        <item t="default"/>
      </items>
    </pivotField>
    <pivotField name="Uzvā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t="default"/>
      </items>
    </pivotField>
    <pivotField name="Vā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t="default"/>
      </items>
    </pivotField>
    <pivotField name="Klub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Lai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t="default"/>
      </items>
    </pivotField>
    <pivotField name="Ātru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</pivotFields>
  <pageFields>
    <pageField fld="1"/>
  </pageFields>
  <dataFields>
    <dataField name="Average of Ātrums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1.88"/>
    <col customWidth="1" min="2" max="26" width="8.63"/>
  </cols>
  <sheetData>
    <row r="1" ht="16.5" customHeight="1">
      <c r="A1" s="1" t="s">
        <v>0</v>
      </c>
    </row>
    <row r="2" ht="16.5" customHeight="1">
      <c r="A2" s="1" t="s">
        <v>1</v>
      </c>
    </row>
    <row r="3" ht="16.5" customHeight="1">
      <c r="A3" s="1" t="s">
        <v>2</v>
      </c>
    </row>
    <row r="4" ht="16.5" customHeight="1">
      <c r="A4" s="2" t="s">
        <v>3</v>
      </c>
    </row>
    <row r="5" ht="16.5" customHeight="1">
      <c r="A5" s="3" t="s">
        <v>4</v>
      </c>
    </row>
    <row r="6" ht="16.5" customHeight="1">
      <c r="A6" s="1" t="s">
        <v>5</v>
      </c>
    </row>
    <row r="7" ht="16.5" customHeight="1">
      <c r="A7" s="1" t="s">
        <v>6</v>
      </c>
    </row>
    <row r="8" ht="16.5" customHeight="1">
      <c r="A8" s="1" t="s">
        <v>7</v>
      </c>
    </row>
    <row r="9" ht="16.5" customHeight="1">
      <c r="A9" s="1" t="s">
        <v>8</v>
      </c>
    </row>
    <row r="10" ht="16.5" customHeight="1">
      <c r="A10" s="1" t="s">
        <v>9</v>
      </c>
    </row>
    <row r="11" ht="16.5" customHeight="1">
      <c r="A11" s="1" t="s">
        <v>10</v>
      </c>
    </row>
    <row r="12" ht="16.5" customHeight="1">
      <c r="A12" s="3" t="s">
        <v>11</v>
      </c>
    </row>
    <row r="13" ht="16.5" customHeight="1">
      <c r="A13" s="3" t="s">
        <v>12</v>
      </c>
    </row>
    <row r="14" ht="16.5" customHeight="1">
      <c r="A14" s="4" t="s">
        <v>13</v>
      </c>
      <c r="B14" s="5"/>
    </row>
    <row r="15" ht="16.5" customHeight="1">
      <c r="A15" s="6" t="s">
        <v>14</v>
      </c>
    </row>
    <row r="16" ht="16.5" customHeight="1">
      <c r="A16" s="7" t="s">
        <v>15</v>
      </c>
    </row>
    <row r="17" ht="15.75" customHeight="1">
      <c r="A17" s="6" t="s">
        <v>16</v>
      </c>
    </row>
    <row r="18" ht="16.5" customHeight="1">
      <c r="A18" s="6" t="s">
        <v>17</v>
      </c>
    </row>
    <row r="19" ht="16.5" customHeight="1">
      <c r="A19" s="6" t="s">
        <v>18</v>
      </c>
    </row>
    <row r="20" ht="16.5" customHeight="1">
      <c r="A20" s="6" t="s">
        <v>19</v>
      </c>
    </row>
    <row r="21" ht="16.5" customHeight="1">
      <c r="A21" s="8" t="s">
        <v>20</v>
      </c>
    </row>
    <row r="22" ht="16.5" customHeight="1">
      <c r="A22" s="8" t="s">
        <v>21</v>
      </c>
    </row>
    <row r="23" ht="16.5" customHeight="1">
      <c r="A23" s="6" t="s">
        <v>22</v>
      </c>
    </row>
    <row r="24" ht="16.5" customHeight="1">
      <c r="A24" s="4" t="s">
        <v>23</v>
      </c>
    </row>
    <row r="25" ht="16.5" customHeight="1">
      <c r="A25" s="9" t="s">
        <v>24</v>
      </c>
    </row>
    <row r="26" ht="16.5" customHeight="1">
      <c r="A26" s="9" t="s">
        <v>25</v>
      </c>
    </row>
    <row r="27" ht="16.5" customHeight="1">
      <c r="A27" s="9" t="s">
        <v>26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ht="16.5" customHeight="1">
      <c r="A28" s="9" t="s">
        <v>27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ht="16.5" customHeight="1"/>
    <row r="30" ht="16.5" customHeight="1">
      <c r="A30" s="12">
        <f>28+9+2</f>
        <v>39</v>
      </c>
    </row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25"/>
    <col customWidth="1" min="2" max="2" width="38.13"/>
    <col customWidth="1" min="3" max="3" width="9.13"/>
    <col customWidth="1" min="4" max="4" width="29.13"/>
    <col customWidth="1" min="5" max="5" width="9.13"/>
    <col customWidth="1" min="6" max="6" width="33.75"/>
    <col customWidth="1" min="7" max="26" width="9.13"/>
  </cols>
  <sheetData>
    <row r="1" ht="15.0" customHeight="1">
      <c r="A1" s="13" t="s">
        <v>28</v>
      </c>
      <c r="B1" s="14"/>
      <c r="D1" s="15">
        <v>42016.0</v>
      </c>
      <c r="F1" s="16">
        <v>42007.0</v>
      </c>
    </row>
    <row r="2" ht="15.0" customHeight="1">
      <c r="A2" s="17" t="s">
        <v>29</v>
      </c>
      <c r="B2" s="18">
        <v>41883.0</v>
      </c>
      <c r="F2" s="16">
        <v>42014.0</v>
      </c>
    </row>
    <row r="3" ht="15.0" customHeight="1">
      <c r="A3" s="17" t="s">
        <v>30</v>
      </c>
      <c r="B3" s="18">
        <v>42153.0</v>
      </c>
      <c r="F3" s="16">
        <v>42021.0</v>
      </c>
    </row>
    <row r="4" ht="15.0" customHeight="1">
      <c r="A4" s="17" t="s">
        <v>31</v>
      </c>
      <c r="B4" s="18">
        <v>42139.0</v>
      </c>
      <c r="F4" s="16">
        <v>42028.0</v>
      </c>
    </row>
    <row r="5" ht="15.0" customHeight="1">
      <c r="A5" s="17" t="s">
        <v>32</v>
      </c>
      <c r="B5" s="18">
        <v>41939.0</v>
      </c>
      <c r="F5" s="16">
        <v>42035.0</v>
      </c>
    </row>
    <row r="6" ht="15.0" customHeight="1">
      <c r="A6" s="17" t="s">
        <v>33</v>
      </c>
      <c r="B6" s="18">
        <v>41943.0</v>
      </c>
      <c r="F6" s="16">
        <v>42042.0</v>
      </c>
    </row>
    <row r="7" ht="15.0" customHeight="1">
      <c r="A7" s="17" t="s">
        <v>34</v>
      </c>
      <c r="B7" s="18">
        <v>41995.0</v>
      </c>
      <c r="F7" s="16">
        <v>42049.0</v>
      </c>
    </row>
    <row r="8" ht="15.0" customHeight="1">
      <c r="A8" s="17" t="s">
        <v>35</v>
      </c>
      <c r="B8" s="18">
        <v>42006.0</v>
      </c>
      <c r="F8" s="16">
        <v>42056.0</v>
      </c>
    </row>
    <row r="9" ht="15.0" customHeight="1">
      <c r="A9" s="17" t="s">
        <v>36</v>
      </c>
      <c r="B9" s="18">
        <v>42079.0</v>
      </c>
      <c r="F9" s="16">
        <v>42063.0</v>
      </c>
    </row>
    <row r="10" ht="15.0" customHeight="1">
      <c r="A10" s="17" t="s">
        <v>37</v>
      </c>
      <c r="B10" s="18">
        <v>42083.0</v>
      </c>
      <c r="F10" s="16">
        <v>42070.0</v>
      </c>
    </row>
    <row r="11" ht="15.0" customHeight="1">
      <c r="A11" s="17" t="s">
        <v>38</v>
      </c>
      <c r="B11" s="18">
        <v>42086.0</v>
      </c>
      <c r="F11" s="16">
        <v>42077.0</v>
      </c>
    </row>
    <row r="12" ht="15.0" customHeight="1">
      <c r="A12" s="17" t="s">
        <v>39</v>
      </c>
      <c r="B12" s="18">
        <v>42090.0</v>
      </c>
      <c r="F12" s="16">
        <v>42084.0</v>
      </c>
    </row>
    <row r="13" ht="15.0" customHeight="1">
      <c r="B13" s="19"/>
      <c r="F13" s="16">
        <v>42091.0</v>
      </c>
    </row>
    <row r="14" ht="15.0" customHeight="1">
      <c r="A14" s="20">
        <v>1.0</v>
      </c>
      <c r="B14" s="21" t="s">
        <v>40</v>
      </c>
      <c r="F14" s="16">
        <v>42098.0</v>
      </c>
    </row>
    <row r="15" ht="15.0" customHeight="1">
      <c r="A15" s="20"/>
      <c r="B15" s="22"/>
      <c r="C15" s="12" t="s">
        <v>41</v>
      </c>
      <c r="F15" s="16">
        <v>42105.0</v>
      </c>
    </row>
    <row r="16" ht="15.0" customHeight="1">
      <c r="A16" s="20"/>
      <c r="B16" s="23"/>
      <c r="F16" s="16">
        <v>42112.0</v>
      </c>
    </row>
    <row r="17" ht="15.0" customHeight="1">
      <c r="A17" s="20"/>
      <c r="B17" s="19"/>
      <c r="F17" s="16">
        <v>42119.0</v>
      </c>
    </row>
    <row r="18" ht="15.0" customHeight="1">
      <c r="A18" s="20">
        <v>2.0</v>
      </c>
      <c r="B18" s="21" t="s">
        <v>42</v>
      </c>
      <c r="F18" s="16">
        <v>42126.0</v>
      </c>
    </row>
    <row r="19" ht="15.0" customHeight="1">
      <c r="A19" s="20"/>
      <c r="B19" s="22"/>
      <c r="C19" s="12" t="s">
        <v>41</v>
      </c>
      <c r="F19" s="16">
        <v>42133.0</v>
      </c>
    </row>
    <row r="20" ht="15.0" customHeight="1">
      <c r="A20" s="20"/>
      <c r="B20" s="23"/>
      <c r="F20" s="16">
        <v>42140.0</v>
      </c>
    </row>
    <row r="21" ht="15.0" customHeight="1">
      <c r="A21" s="20"/>
      <c r="B21" s="19"/>
      <c r="F21" s="16">
        <v>42147.0</v>
      </c>
    </row>
    <row r="22" ht="15.0" customHeight="1">
      <c r="A22" s="20">
        <v>3.0</v>
      </c>
      <c r="B22" s="21" t="s">
        <v>43</v>
      </c>
      <c r="F22" s="16">
        <v>42154.0</v>
      </c>
    </row>
    <row r="23" ht="15.0" customHeight="1">
      <c r="B23" s="22"/>
      <c r="C23" s="12" t="s">
        <v>41</v>
      </c>
      <c r="F23" s="16">
        <v>42161.0</v>
      </c>
    </row>
    <row r="24" ht="15.0" customHeight="1">
      <c r="B24" s="23"/>
      <c r="F24" s="16">
        <v>42168.0</v>
      </c>
    </row>
    <row r="25" ht="15.0" customHeight="1">
      <c r="B25" s="19"/>
      <c r="F25" s="16">
        <v>42175.0</v>
      </c>
    </row>
    <row r="26" ht="15.0" customHeight="1">
      <c r="B26" s="19"/>
      <c r="F26" s="16">
        <v>42182.0</v>
      </c>
    </row>
    <row r="27" ht="15.0" customHeight="1">
      <c r="B27" s="19"/>
      <c r="F27" s="16">
        <v>42189.0</v>
      </c>
    </row>
    <row r="28" ht="15.0" customHeight="1">
      <c r="B28" s="19"/>
      <c r="F28" s="16">
        <v>42196.0</v>
      </c>
    </row>
    <row r="29" ht="15.0" customHeight="1">
      <c r="B29" s="19"/>
      <c r="F29" s="16">
        <v>42203.0</v>
      </c>
    </row>
    <row r="30" ht="15.0" customHeight="1">
      <c r="B30" s="19"/>
      <c r="F30" s="16">
        <v>42210.0</v>
      </c>
    </row>
    <row r="31" ht="15.0" customHeight="1">
      <c r="B31" s="19"/>
      <c r="F31" s="16">
        <v>42217.0</v>
      </c>
    </row>
    <row r="32" ht="15.0" customHeight="1">
      <c r="B32" s="19"/>
      <c r="F32" s="16">
        <v>42224.0</v>
      </c>
    </row>
    <row r="33" ht="15.0" customHeight="1">
      <c r="B33" s="19"/>
      <c r="F33" s="16">
        <v>42231.0</v>
      </c>
    </row>
    <row r="34" ht="15.0" customHeight="1">
      <c r="B34" s="19"/>
      <c r="F34" s="16">
        <v>42238.0</v>
      </c>
    </row>
    <row r="35" ht="15.0" customHeight="1">
      <c r="B35" s="19"/>
      <c r="F35" s="16">
        <v>42245.0</v>
      </c>
    </row>
    <row r="36" ht="15.0" customHeight="1">
      <c r="B36" s="19"/>
      <c r="F36" s="16">
        <v>42252.0</v>
      </c>
    </row>
    <row r="37" ht="15.0" customHeight="1">
      <c r="B37" s="19"/>
      <c r="F37" s="16">
        <v>42259.0</v>
      </c>
    </row>
    <row r="38" ht="15.0" customHeight="1">
      <c r="B38" s="19"/>
      <c r="F38" s="16">
        <v>42266.0</v>
      </c>
    </row>
    <row r="39" ht="15.0" customHeight="1">
      <c r="B39" s="19"/>
      <c r="F39" s="16">
        <v>42273.0</v>
      </c>
    </row>
    <row r="40" ht="15.0" customHeight="1">
      <c r="B40" s="19"/>
      <c r="F40" s="16">
        <v>42280.0</v>
      </c>
    </row>
    <row r="41" ht="15.0" customHeight="1">
      <c r="B41" s="19"/>
      <c r="F41" s="16">
        <v>42287.0</v>
      </c>
    </row>
    <row r="42" ht="15.0" customHeight="1">
      <c r="B42" s="19"/>
      <c r="F42" s="16">
        <v>42294.0</v>
      </c>
    </row>
    <row r="43" ht="15.0" customHeight="1">
      <c r="B43" s="19"/>
      <c r="F43" s="16">
        <v>42301.0</v>
      </c>
    </row>
    <row r="44" ht="15.0" customHeight="1">
      <c r="B44" s="19"/>
      <c r="F44" s="16">
        <v>42308.0</v>
      </c>
    </row>
    <row r="45" ht="15.0" customHeight="1">
      <c r="B45" s="19"/>
      <c r="F45" s="16">
        <v>42315.0</v>
      </c>
    </row>
    <row r="46" ht="15.0" customHeight="1">
      <c r="B46" s="19"/>
      <c r="F46" s="16">
        <v>42322.0</v>
      </c>
    </row>
    <row r="47" ht="15.0" customHeight="1">
      <c r="B47" s="19"/>
      <c r="F47" s="16">
        <v>42329.0</v>
      </c>
    </row>
    <row r="48" ht="15.0" customHeight="1">
      <c r="B48" s="19"/>
      <c r="F48" s="16">
        <v>42336.0</v>
      </c>
    </row>
    <row r="49" ht="15.0" customHeight="1">
      <c r="B49" s="19"/>
      <c r="F49" s="16">
        <v>42343.0</v>
      </c>
    </row>
    <row r="50" ht="15.0" customHeight="1">
      <c r="B50" s="19"/>
      <c r="F50" s="16">
        <v>42350.0</v>
      </c>
    </row>
    <row r="51" ht="15.0" customHeight="1">
      <c r="B51" s="19"/>
      <c r="F51" s="16">
        <v>42357.0</v>
      </c>
    </row>
    <row r="52" ht="15.0" customHeight="1">
      <c r="B52" s="19"/>
      <c r="F52" s="16">
        <v>42364.0</v>
      </c>
    </row>
    <row r="53" ht="15.75" customHeight="1">
      <c r="B53" s="19"/>
    </row>
    <row r="54" ht="15.75" customHeight="1">
      <c r="B54" s="19"/>
    </row>
    <row r="55" ht="15.75" customHeight="1">
      <c r="B55" s="19"/>
    </row>
    <row r="56" ht="15.75" customHeight="1">
      <c r="B56" s="19"/>
    </row>
    <row r="57" ht="15.75" customHeight="1">
      <c r="B57" s="19"/>
    </row>
    <row r="58" ht="15.75" customHeight="1">
      <c r="B58" s="19"/>
    </row>
    <row r="59" ht="15.75" customHeight="1">
      <c r="B59" s="19"/>
    </row>
    <row r="60" ht="15.75" customHeight="1">
      <c r="B60" s="19"/>
    </row>
    <row r="61" ht="15.75" customHeight="1">
      <c r="B61" s="19"/>
    </row>
    <row r="62" ht="15.75" customHeight="1">
      <c r="B62" s="19"/>
    </row>
    <row r="63" ht="15.75" customHeight="1">
      <c r="B63" s="19"/>
    </row>
    <row r="64" ht="15.75" customHeight="1">
      <c r="B64" s="19"/>
    </row>
    <row r="65" ht="15.75" customHeight="1">
      <c r="B65" s="19"/>
    </row>
    <row r="66" ht="15.75" customHeight="1">
      <c r="B66" s="19"/>
    </row>
    <row r="67" ht="15.75" customHeight="1">
      <c r="B67" s="19"/>
    </row>
    <row r="68" ht="15.75" customHeight="1">
      <c r="B68" s="19"/>
    </row>
    <row r="69" ht="15.75" customHeight="1">
      <c r="B69" s="19"/>
    </row>
    <row r="70" ht="15.75" customHeight="1">
      <c r="B70" s="19"/>
    </row>
    <row r="71" ht="15.75" customHeight="1">
      <c r="B71" s="19"/>
    </row>
    <row r="72" ht="15.75" customHeight="1">
      <c r="B72" s="19"/>
    </row>
    <row r="73" ht="15.75" customHeight="1">
      <c r="B73" s="19"/>
    </row>
    <row r="74" ht="15.75" customHeight="1">
      <c r="B74" s="19"/>
    </row>
    <row r="75" ht="15.75" customHeight="1">
      <c r="B75" s="19"/>
    </row>
    <row r="76" ht="15.75" customHeight="1">
      <c r="B76" s="19"/>
    </row>
    <row r="77" ht="15.75" customHeight="1">
      <c r="B77" s="19"/>
    </row>
    <row r="78" ht="15.75" customHeight="1">
      <c r="B78" s="19"/>
    </row>
    <row r="79" ht="15.75" customHeight="1">
      <c r="B79" s="19"/>
    </row>
    <row r="80" ht="15.75" customHeight="1">
      <c r="B80" s="19"/>
    </row>
    <row r="81" ht="15.75" customHeight="1">
      <c r="B81" s="19"/>
    </row>
    <row r="82" ht="15.75" customHeight="1">
      <c r="B82" s="19"/>
    </row>
    <row r="83" ht="15.75" customHeight="1">
      <c r="B83" s="19"/>
    </row>
    <row r="84" ht="15.75" customHeight="1">
      <c r="B84" s="19"/>
    </row>
    <row r="85" ht="15.75" customHeight="1">
      <c r="B85" s="19"/>
    </row>
    <row r="86" ht="15.75" customHeight="1">
      <c r="B86" s="19"/>
    </row>
    <row r="87" ht="15.75" customHeight="1">
      <c r="B87" s="19"/>
    </row>
    <row r="88" ht="15.75" customHeight="1">
      <c r="B88" s="19"/>
    </row>
    <row r="89" ht="15.75" customHeight="1">
      <c r="B89" s="19"/>
    </row>
    <row r="90" ht="15.75" customHeight="1">
      <c r="B90" s="19"/>
    </row>
    <row r="91" ht="15.75" customHeight="1">
      <c r="B91" s="19"/>
    </row>
    <row r="92" ht="15.75" customHeight="1">
      <c r="B92" s="19"/>
    </row>
    <row r="93" ht="15.75" customHeight="1">
      <c r="B93" s="19"/>
    </row>
    <row r="94" ht="15.75" customHeight="1">
      <c r="B94" s="19"/>
    </row>
    <row r="95" ht="15.75" customHeight="1">
      <c r="B95" s="19"/>
    </row>
    <row r="96" ht="15.75" customHeight="1">
      <c r="B96" s="19"/>
    </row>
    <row r="97" ht="15.75" customHeight="1">
      <c r="B97" s="19"/>
    </row>
    <row r="98" ht="15.75" customHeight="1">
      <c r="B98" s="19"/>
    </row>
    <row r="99" ht="15.75" customHeight="1">
      <c r="B99" s="19"/>
    </row>
    <row r="100" ht="15.75" customHeight="1">
      <c r="B100" s="19"/>
    </row>
    <row r="101" ht="15.75" customHeight="1">
      <c r="B101" s="19"/>
    </row>
    <row r="102" ht="15.75" customHeight="1">
      <c r="B102" s="19"/>
    </row>
    <row r="103" ht="15.75" customHeight="1">
      <c r="B103" s="19"/>
    </row>
    <row r="104" ht="15.75" customHeight="1">
      <c r="B104" s="19"/>
    </row>
    <row r="105" ht="15.75" customHeight="1">
      <c r="B105" s="19"/>
    </row>
    <row r="106" ht="15.75" customHeight="1">
      <c r="B106" s="19"/>
    </row>
    <row r="107" ht="15.75" customHeight="1">
      <c r="B107" s="19"/>
    </row>
    <row r="108" ht="15.75" customHeight="1">
      <c r="B108" s="19"/>
    </row>
    <row r="109" ht="15.75" customHeight="1">
      <c r="B109" s="19"/>
    </row>
    <row r="110" ht="15.75" customHeight="1">
      <c r="B110" s="19"/>
    </row>
    <row r="111" ht="15.75" customHeight="1">
      <c r="B111" s="19"/>
    </row>
    <row r="112" ht="15.75" customHeight="1">
      <c r="B112" s="19"/>
    </row>
    <row r="113" ht="15.75" customHeight="1">
      <c r="B113" s="19"/>
    </row>
    <row r="114" ht="15.75" customHeight="1">
      <c r="B114" s="19"/>
    </row>
    <row r="115" ht="15.75" customHeight="1">
      <c r="B115" s="19"/>
    </row>
    <row r="116" ht="15.75" customHeight="1">
      <c r="B116" s="19"/>
    </row>
    <row r="117" ht="15.75" customHeight="1">
      <c r="B117" s="19"/>
    </row>
    <row r="118" ht="15.75" customHeight="1">
      <c r="B118" s="19"/>
    </row>
    <row r="119" ht="15.75" customHeight="1">
      <c r="B119" s="19"/>
    </row>
    <row r="120" ht="15.75" customHeight="1">
      <c r="B120" s="19"/>
    </row>
    <row r="121" ht="15.75" customHeight="1">
      <c r="B121" s="19"/>
    </row>
    <row r="122" ht="15.75" customHeight="1">
      <c r="B122" s="19"/>
    </row>
    <row r="123" ht="15.75" customHeight="1">
      <c r="B123" s="19"/>
    </row>
    <row r="124" ht="15.75" customHeight="1">
      <c r="B124" s="19"/>
    </row>
    <row r="125" ht="15.75" customHeight="1">
      <c r="B125" s="19"/>
    </row>
    <row r="126" ht="15.75" customHeight="1">
      <c r="B126" s="19"/>
    </row>
    <row r="127" ht="15.75" customHeight="1">
      <c r="B127" s="19"/>
    </row>
    <row r="128" ht="15.75" customHeight="1">
      <c r="B128" s="19"/>
    </row>
    <row r="129" ht="15.75" customHeight="1">
      <c r="B129" s="19"/>
    </row>
    <row r="130" ht="15.75" customHeight="1">
      <c r="B130" s="19"/>
    </row>
    <row r="131" ht="15.75" customHeight="1">
      <c r="B131" s="19"/>
    </row>
    <row r="132" ht="15.75" customHeight="1">
      <c r="B132" s="19"/>
    </row>
    <row r="133" ht="15.75" customHeight="1">
      <c r="B133" s="19"/>
    </row>
    <row r="134" ht="15.75" customHeight="1">
      <c r="B134" s="19"/>
    </row>
    <row r="135" ht="15.75" customHeight="1">
      <c r="B135" s="19"/>
    </row>
    <row r="136" ht="15.75" customHeight="1">
      <c r="B136" s="19"/>
    </row>
    <row r="137" ht="15.75" customHeight="1">
      <c r="B137" s="19"/>
    </row>
    <row r="138" ht="15.75" customHeight="1">
      <c r="B138" s="19"/>
    </row>
    <row r="139" ht="15.75" customHeight="1">
      <c r="B139" s="19"/>
    </row>
    <row r="140" ht="15.75" customHeight="1">
      <c r="B140" s="19"/>
    </row>
    <row r="141" ht="15.75" customHeight="1">
      <c r="B141" s="19"/>
    </row>
    <row r="142" ht="15.75" customHeight="1">
      <c r="B142" s="19"/>
    </row>
    <row r="143" ht="15.75" customHeight="1">
      <c r="B143" s="19"/>
    </row>
    <row r="144" ht="15.75" customHeight="1">
      <c r="B144" s="19"/>
    </row>
    <row r="145" ht="15.75" customHeight="1">
      <c r="B145" s="19"/>
    </row>
    <row r="146" ht="15.75" customHeight="1">
      <c r="B146" s="19"/>
    </row>
    <row r="147" ht="15.75" customHeight="1">
      <c r="B147" s="19"/>
    </row>
    <row r="148" ht="15.75" customHeight="1">
      <c r="B148" s="19"/>
    </row>
    <row r="149" ht="15.75" customHeight="1">
      <c r="B149" s="19"/>
    </row>
    <row r="150" ht="15.75" customHeight="1">
      <c r="B150" s="19"/>
    </row>
    <row r="151" ht="15.75" customHeight="1">
      <c r="B151" s="19"/>
    </row>
    <row r="152" ht="15.75" customHeight="1">
      <c r="B152" s="19"/>
    </row>
    <row r="153" ht="15.75" customHeight="1">
      <c r="B153" s="19"/>
    </row>
    <row r="154" ht="15.75" customHeight="1">
      <c r="B154" s="19"/>
    </row>
    <row r="155" ht="15.75" customHeight="1">
      <c r="B155" s="19"/>
    </row>
    <row r="156" ht="15.75" customHeight="1">
      <c r="B156" s="19"/>
    </row>
    <row r="157" ht="15.75" customHeight="1">
      <c r="B157" s="19"/>
    </row>
    <row r="158" ht="15.75" customHeight="1">
      <c r="B158" s="19"/>
    </row>
    <row r="159" ht="15.75" customHeight="1">
      <c r="B159" s="19"/>
    </row>
    <row r="160" ht="15.75" customHeight="1">
      <c r="B160" s="19"/>
    </row>
    <row r="161" ht="15.75" customHeight="1">
      <c r="B161" s="19"/>
    </row>
    <row r="162" ht="15.75" customHeight="1">
      <c r="B162" s="19"/>
    </row>
    <row r="163" ht="15.75" customHeight="1">
      <c r="B163" s="19"/>
    </row>
    <row r="164" ht="15.75" customHeight="1">
      <c r="B164" s="19"/>
    </row>
    <row r="165" ht="15.75" customHeight="1">
      <c r="B165" s="19"/>
    </row>
    <row r="166" ht="15.75" customHeight="1">
      <c r="B166" s="19"/>
    </row>
    <row r="167" ht="15.75" customHeight="1">
      <c r="B167" s="19"/>
    </row>
    <row r="168" ht="15.75" customHeight="1">
      <c r="B168" s="19"/>
    </row>
    <row r="169" ht="15.75" customHeight="1">
      <c r="B169" s="19"/>
    </row>
    <row r="170" ht="15.75" customHeight="1">
      <c r="B170" s="19"/>
    </row>
    <row r="171" ht="15.75" customHeight="1">
      <c r="B171" s="19"/>
    </row>
    <row r="172" ht="15.75" customHeight="1">
      <c r="B172" s="19"/>
    </row>
    <row r="173" ht="15.75" customHeight="1">
      <c r="B173" s="19"/>
    </row>
    <row r="174" ht="15.75" customHeight="1">
      <c r="B174" s="19"/>
    </row>
    <row r="175" ht="15.75" customHeight="1">
      <c r="B175" s="19"/>
    </row>
    <row r="176" ht="15.75" customHeight="1">
      <c r="B176" s="19"/>
    </row>
    <row r="177" ht="15.75" customHeight="1">
      <c r="B177" s="19"/>
    </row>
    <row r="178" ht="15.75" customHeight="1">
      <c r="B178" s="19"/>
    </row>
    <row r="179" ht="15.75" customHeight="1">
      <c r="B179" s="19"/>
    </row>
    <row r="180" ht="15.75" customHeight="1">
      <c r="B180" s="19"/>
    </row>
    <row r="181" ht="15.75" customHeight="1">
      <c r="B181" s="19"/>
    </row>
    <row r="182" ht="15.75" customHeight="1">
      <c r="B182" s="19"/>
    </row>
    <row r="183" ht="15.75" customHeight="1">
      <c r="B183" s="19"/>
    </row>
    <row r="184" ht="15.75" customHeight="1">
      <c r="B184" s="19"/>
    </row>
    <row r="185" ht="15.75" customHeight="1">
      <c r="B185" s="19"/>
    </row>
    <row r="186" ht="15.75" customHeight="1">
      <c r="B186" s="19"/>
    </row>
    <row r="187" ht="15.75" customHeight="1">
      <c r="B187" s="19"/>
    </row>
    <row r="188" ht="15.75" customHeight="1">
      <c r="B188" s="19"/>
    </row>
    <row r="189" ht="15.75" customHeight="1">
      <c r="B189" s="19"/>
    </row>
    <row r="190" ht="15.75" customHeight="1">
      <c r="B190" s="19"/>
    </row>
    <row r="191" ht="15.75" customHeight="1">
      <c r="B191" s="19"/>
    </row>
    <row r="192" ht="15.75" customHeight="1">
      <c r="B192" s="19"/>
    </row>
    <row r="193" ht="15.75" customHeight="1">
      <c r="B193" s="19"/>
    </row>
    <row r="194" ht="15.75" customHeight="1">
      <c r="B194" s="19"/>
    </row>
    <row r="195" ht="15.75" customHeight="1">
      <c r="B195" s="19"/>
    </row>
    <row r="196" ht="15.75" customHeight="1">
      <c r="B196" s="19"/>
    </row>
    <row r="197" ht="15.75" customHeight="1">
      <c r="B197" s="19"/>
    </row>
    <row r="198" ht="15.75" customHeight="1">
      <c r="B198" s="19"/>
    </row>
    <row r="199" ht="15.75" customHeight="1">
      <c r="B199" s="19"/>
    </row>
    <row r="200" ht="15.75" customHeight="1">
      <c r="B200" s="19"/>
    </row>
    <row r="201" ht="15.75" customHeight="1">
      <c r="B201" s="19"/>
    </row>
    <row r="202" ht="15.75" customHeight="1">
      <c r="B202" s="19"/>
    </row>
    <row r="203" ht="15.75" customHeight="1">
      <c r="B203" s="19"/>
    </row>
    <row r="204" ht="15.75" customHeight="1">
      <c r="B204" s="19"/>
    </row>
    <row r="205" ht="15.75" customHeight="1">
      <c r="B205" s="19"/>
    </row>
    <row r="206" ht="15.75" customHeight="1">
      <c r="B206" s="19"/>
    </row>
    <row r="207" ht="15.75" customHeight="1">
      <c r="B207" s="19"/>
    </row>
    <row r="208" ht="15.75" customHeight="1">
      <c r="B208" s="19"/>
    </row>
    <row r="209" ht="15.75" customHeight="1">
      <c r="B209" s="19"/>
    </row>
    <row r="210" ht="15.75" customHeight="1">
      <c r="B210" s="19"/>
    </row>
    <row r="211" ht="15.75" customHeight="1">
      <c r="B211" s="19"/>
    </row>
    <row r="212" ht="15.75" customHeight="1">
      <c r="B212" s="19"/>
    </row>
    <row r="213" ht="15.75" customHeight="1">
      <c r="B213" s="19"/>
    </row>
    <row r="214" ht="15.75" customHeight="1">
      <c r="B214" s="19"/>
    </row>
    <row r="215" ht="15.75" customHeight="1">
      <c r="B215" s="19"/>
    </row>
    <row r="216" ht="15.75" customHeight="1">
      <c r="B216" s="19"/>
    </row>
    <row r="217" ht="15.75" customHeight="1">
      <c r="B217" s="19"/>
    </row>
    <row r="218" ht="15.75" customHeight="1">
      <c r="B218" s="19"/>
    </row>
    <row r="219" ht="15.75" customHeight="1">
      <c r="B219" s="19"/>
    </row>
    <row r="220" ht="15.75" customHeight="1">
      <c r="B220" s="19"/>
    </row>
    <row r="221" ht="15.75" customHeight="1">
      <c r="B221" s="19"/>
    </row>
    <row r="222" ht="15.75" customHeight="1">
      <c r="B222" s="19"/>
    </row>
    <row r="223" ht="15.75" customHeight="1">
      <c r="B223" s="19"/>
    </row>
    <row r="224" ht="15.75" customHeight="1">
      <c r="B224" s="19"/>
    </row>
    <row r="225" ht="15.75" customHeight="1">
      <c r="B225" s="19"/>
    </row>
    <row r="226" ht="15.75" customHeight="1">
      <c r="B226" s="19"/>
    </row>
    <row r="227" ht="15.75" customHeight="1">
      <c r="B227" s="19"/>
    </row>
    <row r="228" ht="15.75" customHeight="1">
      <c r="B228" s="19"/>
    </row>
    <row r="229" ht="15.75" customHeight="1">
      <c r="B229" s="19"/>
    </row>
    <row r="230" ht="15.75" customHeight="1">
      <c r="B230" s="19"/>
    </row>
    <row r="231" ht="15.75" customHeight="1">
      <c r="B231" s="19"/>
    </row>
    <row r="232" ht="15.75" customHeight="1">
      <c r="B232" s="19"/>
    </row>
    <row r="233" ht="15.75" customHeight="1">
      <c r="B233" s="19"/>
    </row>
    <row r="234" ht="15.75" customHeight="1">
      <c r="B234" s="19"/>
    </row>
    <row r="235" ht="15.75" customHeight="1">
      <c r="B235" s="19"/>
    </row>
    <row r="236" ht="15.75" customHeight="1">
      <c r="B236" s="19"/>
    </row>
    <row r="237" ht="15.75" customHeight="1">
      <c r="B237" s="19"/>
    </row>
    <row r="238" ht="15.75" customHeight="1">
      <c r="B238" s="19"/>
    </row>
    <row r="239" ht="15.75" customHeight="1">
      <c r="B239" s="19"/>
    </row>
    <row r="240" ht="15.75" customHeight="1">
      <c r="B240" s="19"/>
    </row>
    <row r="241" ht="15.75" customHeight="1">
      <c r="B241" s="19"/>
    </row>
    <row r="242" ht="15.75" customHeight="1">
      <c r="B242" s="19"/>
    </row>
    <row r="243" ht="15.75" customHeight="1">
      <c r="B243" s="19"/>
    </row>
    <row r="244" ht="15.75" customHeight="1">
      <c r="B244" s="19"/>
    </row>
    <row r="245" ht="15.75" customHeight="1">
      <c r="B245" s="19"/>
    </row>
    <row r="246" ht="15.75" customHeight="1">
      <c r="B246" s="19"/>
    </row>
    <row r="247" ht="15.75" customHeight="1">
      <c r="B247" s="19"/>
    </row>
    <row r="248" ht="15.75" customHeight="1">
      <c r="B248" s="19"/>
    </row>
    <row r="249" ht="15.75" customHeight="1">
      <c r="B249" s="19"/>
    </row>
    <row r="250" ht="15.75" customHeight="1">
      <c r="B250" s="19"/>
    </row>
    <row r="251" ht="15.75" customHeight="1">
      <c r="B251" s="19"/>
    </row>
    <row r="252" ht="15.75" customHeight="1">
      <c r="B252" s="19"/>
    </row>
    <row r="253" ht="15.75" customHeight="1">
      <c r="B253" s="19"/>
    </row>
    <row r="254" ht="15.75" customHeight="1">
      <c r="B254" s="19"/>
    </row>
    <row r="255" ht="15.75" customHeight="1">
      <c r="B255" s="19"/>
    </row>
    <row r="256" ht="15.75" customHeight="1">
      <c r="B256" s="19"/>
    </row>
    <row r="257" ht="15.75" customHeight="1">
      <c r="B257" s="19"/>
    </row>
    <row r="258" ht="15.75" customHeight="1">
      <c r="B258" s="19"/>
    </row>
    <row r="259" ht="15.75" customHeight="1">
      <c r="B259" s="19"/>
    </row>
    <row r="260" ht="15.75" customHeight="1">
      <c r="B260" s="19"/>
    </row>
    <row r="261" ht="15.75" customHeight="1">
      <c r="B261" s="19"/>
    </row>
    <row r="262" ht="15.75" customHeight="1">
      <c r="B262" s="19"/>
    </row>
    <row r="263" ht="15.75" customHeight="1">
      <c r="B263" s="19"/>
    </row>
    <row r="264" ht="15.75" customHeight="1">
      <c r="B264" s="19"/>
    </row>
    <row r="265" ht="15.75" customHeight="1">
      <c r="B265" s="19"/>
    </row>
    <row r="266" ht="15.75" customHeight="1">
      <c r="B266" s="19"/>
    </row>
    <row r="267" ht="15.75" customHeight="1">
      <c r="B267" s="19"/>
    </row>
    <row r="268" ht="15.75" customHeight="1">
      <c r="B268" s="19"/>
    </row>
    <row r="269" ht="15.75" customHeight="1">
      <c r="B269" s="19"/>
    </row>
    <row r="270" ht="15.75" customHeight="1">
      <c r="B270" s="19"/>
    </row>
    <row r="271" ht="15.75" customHeight="1">
      <c r="B271" s="19"/>
    </row>
    <row r="272" ht="15.75" customHeight="1">
      <c r="B272" s="19"/>
    </row>
    <row r="273" ht="15.75" customHeight="1">
      <c r="B273" s="19"/>
    </row>
    <row r="274" ht="15.75" customHeight="1">
      <c r="B274" s="19"/>
    </row>
    <row r="275" ht="15.75" customHeight="1">
      <c r="B275" s="19"/>
    </row>
    <row r="276" ht="15.75" customHeight="1">
      <c r="B276" s="19"/>
    </row>
    <row r="277" ht="15.75" customHeight="1">
      <c r="B277" s="19"/>
    </row>
    <row r="278" ht="15.75" customHeight="1">
      <c r="B278" s="19"/>
    </row>
    <row r="279" ht="15.75" customHeight="1">
      <c r="B279" s="19"/>
    </row>
    <row r="280" ht="15.75" customHeight="1">
      <c r="B280" s="19"/>
    </row>
    <row r="281" ht="15.75" customHeight="1">
      <c r="B281" s="19"/>
    </row>
    <row r="282" ht="15.75" customHeight="1">
      <c r="B282" s="19"/>
    </row>
    <row r="283" ht="15.75" customHeight="1">
      <c r="B283" s="19"/>
    </row>
    <row r="284" ht="15.75" customHeight="1">
      <c r="B284" s="19"/>
    </row>
    <row r="285" ht="15.75" customHeight="1">
      <c r="B285" s="19"/>
    </row>
    <row r="286" ht="15.75" customHeight="1">
      <c r="B286" s="19"/>
    </row>
    <row r="287" ht="15.75" customHeight="1">
      <c r="B287" s="19"/>
    </row>
    <row r="288" ht="15.75" customHeight="1">
      <c r="B288" s="19"/>
    </row>
    <row r="289" ht="15.75" customHeight="1">
      <c r="B289" s="19"/>
    </row>
    <row r="290" ht="15.75" customHeight="1">
      <c r="B290" s="19"/>
    </row>
    <row r="291" ht="15.75" customHeight="1">
      <c r="B291" s="19"/>
    </row>
    <row r="292" ht="15.75" customHeight="1">
      <c r="B292" s="19"/>
    </row>
    <row r="293" ht="15.75" customHeight="1">
      <c r="B293" s="19"/>
    </row>
    <row r="294" ht="15.75" customHeight="1">
      <c r="B294" s="19"/>
    </row>
    <row r="295" ht="15.75" customHeight="1">
      <c r="B295" s="19"/>
    </row>
    <row r="296" ht="15.75" customHeight="1">
      <c r="B296" s="19"/>
    </row>
    <row r="297" ht="15.75" customHeight="1">
      <c r="B297" s="19"/>
    </row>
    <row r="298" ht="15.75" customHeight="1">
      <c r="B298" s="19"/>
    </row>
    <row r="299" ht="15.75" customHeight="1">
      <c r="B299" s="19"/>
    </row>
    <row r="300" ht="15.75" customHeight="1">
      <c r="B300" s="19"/>
    </row>
    <row r="301" ht="15.75" customHeight="1">
      <c r="B301" s="19"/>
    </row>
    <row r="302" ht="15.75" customHeight="1">
      <c r="B302" s="19"/>
    </row>
    <row r="303" ht="15.75" customHeight="1">
      <c r="B303" s="19"/>
    </row>
    <row r="304" ht="15.75" customHeight="1">
      <c r="B304" s="19"/>
    </row>
    <row r="305" ht="15.75" customHeight="1">
      <c r="B305" s="19"/>
    </row>
    <row r="306" ht="15.75" customHeight="1">
      <c r="B306" s="19"/>
    </row>
    <row r="307" ht="15.75" customHeight="1">
      <c r="B307" s="19"/>
    </row>
    <row r="308" ht="15.75" customHeight="1">
      <c r="B308" s="19"/>
    </row>
    <row r="309" ht="15.75" customHeight="1">
      <c r="B309" s="19"/>
    </row>
    <row r="310" ht="15.75" customHeight="1">
      <c r="B310" s="19"/>
    </row>
    <row r="311" ht="15.75" customHeight="1">
      <c r="B311" s="19"/>
    </row>
    <row r="312" ht="15.75" customHeight="1">
      <c r="B312" s="19"/>
    </row>
    <row r="313" ht="15.75" customHeight="1">
      <c r="B313" s="19"/>
    </row>
    <row r="314" ht="15.75" customHeight="1">
      <c r="B314" s="19"/>
    </row>
    <row r="315" ht="15.75" customHeight="1">
      <c r="B315" s="19"/>
    </row>
    <row r="316" ht="15.75" customHeight="1">
      <c r="B316" s="19"/>
    </row>
    <row r="317" ht="15.75" customHeight="1">
      <c r="B317" s="19"/>
    </row>
    <row r="318" ht="15.75" customHeight="1">
      <c r="B318" s="19"/>
    </row>
    <row r="319" ht="15.75" customHeight="1">
      <c r="B319" s="19"/>
    </row>
    <row r="320" ht="15.75" customHeight="1">
      <c r="B320" s="19"/>
    </row>
    <row r="321" ht="15.75" customHeight="1">
      <c r="B321" s="19"/>
    </row>
    <row r="322" ht="15.75" customHeight="1">
      <c r="B322" s="19"/>
    </row>
    <row r="323" ht="15.75" customHeight="1">
      <c r="B323" s="19"/>
    </row>
    <row r="324" ht="15.75" customHeight="1">
      <c r="B324" s="19"/>
    </row>
    <row r="325" ht="15.75" customHeight="1">
      <c r="B325" s="19"/>
    </row>
    <row r="326" ht="15.75" customHeight="1">
      <c r="B326" s="19"/>
    </row>
    <row r="327" ht="15.75" customHeight="1">
      <c r="B327" s="19"/>
    </row>
    <row r="328" ht="15.75" customHeight="1">
      <c r="B328" s="19"/>
    </row>
    <row r="329" ht="15.75" customHeight="1">
      <c r="B329" s="19"/>
    </row>
    <row r="330" ht="15.75" customHeight="1">
      <c r="B330" s="19"/>
    </row>
    <row r="331" ht="15.75" customHeight="1">
      <c r="B331" s="19"/>
    </row>
    <row r="332" ht="15.75" customHeight="1">
      <c r="B332" s="19"/>
    </row>
    <row r="333" ht="15.75" customHeight="1">
      <c r="B333" s="19"/>
    </row>
    <row r="334" ht="15.75" customHeight="1">
      <c r="B334" s="19"/>
    </row>
    <row r="335" ht="15.75" customHeight="1">
      <c r="B335" s="19"/>
    </row>
    <row r="336" ht="15.75" customHeight="1">
      <c r="B336" s="19"/>
    </row>
    <row r="337" ht="15.75" customHeight="1">
      <c r="B337" s="19"/>
    </row>
    <row r="338" ht="15.75" customHeight="1">
      <c r="B338" s="19"/>
    </row>
    <row r="339" ht="15.75" customHeight="1">
      <c r="B339" s="19"/>
    </row>
    <row r="340" ht="15.75" customHeight="1">
      <c r="B340" s="19"/>
    </row>
    <row r="341" ht="15.75" customHeight="1">
      <c r="B341" s="19"/>
    </row>
    <row r="342" ht="15.75" customHeight="1">
      <c r="B342" s="19"/>
    </row>
    <row r="343" ht="15.75" customHeight="1">
      <c r="B343" s="19"/>
    </row>
    <row r="344" ht="15.75" customHeight="1">
      <c r="B344" s="19"/>
    </row>
    <row r="345" ht="15.75" customHeight="1">
      <c r="B345" s="19"/>
    </row>
    <row r="346" ht="15.75" customHeight="1">
      <c r="B346" s="19"/>
    </row>
    <row r="347" ht="15.75" customHeight="1">
      <c r="B347" s="19"/>
    </row>
    <row r="348" ht="15.75" customHeight="1">
      <c r="B348" s="19"/>
    </row>
    <row r="349" ht="15.75" customHeight="1">
      <c r="B349" s="19"/>
    </row>
    <row r="350" ht="15.75" customHeight="1">
      <c r="B350" s="19"/>
    </row>
    <row r="351" ht="15.75" customHeight="1">
      <c r="B351" s="19"/>
    </row>
    <row r="352" ht="15.75" customHeight="1">
      <c r="B352" s="19"/>
    </row>
    <row r="353" ht="15.75" customHeight="1">
      <c r="B353" s="19"/>
    </row>
    <row r="354" ht="15.75" customHeight="1">
      <c r="B354" s="19"/>
    </row>
    <row r="355" ht="15.75" customHeight="1">
      <c r="B355" s="19"/>
    </row>
    <row r="356" ht="15.75" customHeight="1">
      <c r="B356" s="19"/>
    </row>
    <row r="357" ht="15.75" customHeight="1">
      <c r="B357" s="19"/>
    </row>
    <row r="358" ht="15.75" customHeight="1">
      <c r="B358" s="19"/>
    </row>
    <row r="359" ht="15.75" customHeight="1">
      <c r="B359" s="19"/>
    </row>
    <row r="360" ht="15.75" customHeight="1">
      <c r="B360" s="19"/>
    </row>
    <row r="361" ht="15.75" customHeight="1">
      <c r="B361" s="19"/>
    </row>
    <row r="362" ht="15.75" customHeight="1">
      <c r="B362" s="19"/>
    </row>
    <row r="363" ht="15.75" customHeight="1">
      <c r="B363" s="19"/>
    </row>
    <row r="364" ht="15.75" customHeight="1">
      <c r="B364" s="19"/>
    </row>
    <row r="365" ht="15.75" customHeight="1">
      <c r="B365" s="19"/>
    </row>
    <row r="366" ht="15.75" customHeight="1">
      <c r="B366" s="19"/>
    </row>
    <row r="367" ht="15.75" customHeight="1">
      <c r="B367" s="19"/>
    </row>
    <row r="368" ht="15.75" customHeight="1">
      <c r="B368" s="19"/>
    </row>
    <row r="369" ht="15.75" customHeight="1">
      <c r="B369" s="19"/>
    </row>
    <row r="370" ht="15.75" customHeight="1">
      <c r="B370" s="19"/>
    </row>
    <row r="371" ht="15.75" customHeight="1">
      <c r="B371" s="19"/>
    </row>
    <row r="372" ht="15.75" customHeight="1">
      <c r="B372" s="19"/>
    </row>
    <row r="373" ht="15.75" customHeight="1">
      <c r="B373" s="19"/>
    </row>
    <row r="374" ht="15.75" customHeight="1">
      <c r="B374" s="19"/>
    </row>
    <row r="375" ht="15.75" customHeight="1">
      <c r="B375" s="19"/>
    </row>
    <row r="376" ht="15.75" customHeight="1">
      <c r="B376" s="19"/>
    </row>
    <row r="377" ht="15.75" customHeight="1">
      <c r="B377" s="19"/>
    </row>
    <row r="378" ht="15.75" customHeight="1">
      <c r="B378" s="19"/>
    </row>
    <row r="379" ht="15.75" customHeight="1">
      <c r="B379" s="19"/>
    </row>
    <row r="380" ht="15.75" customHeight="1">
      <c r="B380" s="19"/>
    </row>
    <row r="381" ht="15.75" customHeight="1">
      <c r="B381" s="19"/>
    </row>
    <row r="382" ht="15.75" customHeight="1">
      <c r="B382" s="19"/>
    </row>
    <row r="383" ht="15.75" customHeight="1">
      <c r="B383" s="19"/>
    </row>
    <row r="384" ht="15.75" customHeight="1">
      <c r="B384" s="19"/>
    </row>
    <row r="385" ht="15.75" customHeight="1">
      <c r="B385" s="19"/>
    </row>
    <row r="386" ht="15.75" customHeight="1">
      <c r="B386" s="19"/>
    </row>
    <row r="387" ht="15.75" customHeight="1">
      <c r="B387" s="19"/>
    </row>
    <row r="388" ht="15.75" customHeight="1">
      <c r="B388" s="19"/>
    </row>
    <row r="389" ht="15.75" customHeight="1">
      <c r="B389" s="19"/>
    </row>
    <row r="390" ht="15.75" customHeight="1">
      <c r="B390" s="19"/>
    </row>
    <row r="391" ht="15.75" customHeight="1">
      <c r="B391" s="19"/>
    </row>
    <row r="392" ht="15.75" customHeight="1">
      <c r="B392" s="19"/>
    </row>
    <row r="393" ht="15.75" customHeight="1">
      <c r="B393" s="19"/>
    </row>
    <row r="394" ht="15.75" customHeight="1">
      <c r="B394" s="19"/>
    </row>
    <row r="395" ht="15.75" customHeight="1">
      <c r="B395" s="19"/>
    </row>
    <row r="396" ht="15.75" customHeight="1">
      <c r="B396" s="19"/>
    </row>
    <row r="397" ht="15.75" customHeight="1">
      <c r="B397" s="19"/>
    </row>
    <row r="398" ht="15.75" customHeight="1">
      <c r="B398" s="19"/>
    </row>
    <row r="399" ht="15.75" customHeight="1">
      <c r="B399" s="19"/>
    </row>
    <row r="400" ht="15.75" customHeight="1">
      <c r="B400" s="19"/>
    </row>
    <row r="401" ht="15.75" customHeight="1">
      <c r="B401" s="19"/>
    </row>
    <row r="402" ht="15.75" customHeight="1">
      <c r="B402" s="19"/>
    </row>
    <row r="403" ht="15.75" customHeight="1">
      <c r="B403" s="19"/>
    </row>
    <row r="404" ht="15.75" customHeight="1">
      <c r="B404" s="19"/>
    </row>
    <row r="405" ht="15.75" customHeight="1">
      <c r="B405" s="19"/>
    </row>
    <row r="406" ht="15.75" customHeight="1">
      <c r="B406" s="19"/>
    </row>
    <row r="407" ht="15.75" customHeight="1">
      <c r="B407" s="19"/>
    </row>
    <row r="408" ht="15.75" customHeight="1">
      <c r="B408" s="19"/>
    </row>
    <row r="409" ht="15.75" customHeight="1">
      <c r="B409" s="19"/>
    </row>
    <row r="410" ht="15.75" customHeight="1">
      <c r="B410" s="19"/>
    </row>
    <row r="411" ht="15.75" customHeight="1">
      <c r="B411" s="19"/>
    </row>
    <row r="412" ht="15.75" customHeight="1">
      <c r="B412" s="19"/>
    </row>
    <row r="413" ht="15.75" customHeight="1">
      <c r="B413" s="19"/>
    </row>
    <row r="414" ht="15.75" customHeight="1">
      <c r="B414" s="19"/>
    </row>
    <row r="415" ht="15.75" customHeight="1">
      <c r="B415" s="19"/>
    </row>
    <row r="416" ht="15.75" customHeight="1">
      <c r="B416" s="19"/>
    </row>
    <row r="417" ht="15.75" customHeight="1">
      <c r="B417" s="19"/>
    </row>
    <row r="418" ht="15.75" customHeight="1">
      <c r="B418" s="19"/>
    </row>
    <row r="419" ht="15.75" customHeight="1">
      <c r="B419" s="19"/>
    </row>
    <row r="420" ht="15.75" customHeight="1">
      <c r="B420" s="19"/>
    </row>
    <row r="421" ht="15.75" customHeight="1">
      <c r="B421" s="19"/>
    </row>
    <row r="422" ht="15.75" customHeight="1">
      <c r="B422" s="19"/>
    </row>
    <row r="423" ht="15.75" customHeight="1">
      <c r="B423" s="19"/>
    </row>
    <row r="424" ht="15.75" customHeight="1">
      <c r="B424" s="19"/>
    </row>
    <row r="425" ht="15.75" customHeight="1">
      <c r="B425" s="19"/>
    </row>
    <row r="426" ht="15.75" customHeight="1">
      <c r="B426" s="19"/>
    </row>
    <row r="427" ht="15.75" customHeight="1">
      <c r="B427" s="19"/>
    </row>
    <row r="428" ht="15.75" customHeight="1">
      <c r="B428" s="19"/>
    </row>
    <row r="429" ht="15.75" customHeight="1">
      <c r="B429" s="19"/>
    </row>
    <row r="430" ht="15.75" customHeight="1">
      <c r="B430" s="19"/>
    </row>
    <row r="431" ht="15.75" customHeight="1">
      <c r="B431" s="19"/>
    </row>
    <row r="432" ht="15.75" customHeight="1">
      <c r="B432" s="19"/>
    </row>
    <row r="433" ht="15.75" customHeight="1">
      <c r="B433" s="19"/>
    </row>
    <row r="434" ht="15.75" customHeight="1">
      <c r="B434" s="19"/>
    </row>
    <row r="435" ht="15.75" customHeight="1">
      <c r="B435" s="19"/>
    </row>
    <row r="436" ht="15.75" customHeight="1">
      <c r="B436" s="19"/>
    </row>
    <row r="437" ht="15.75" customHeight="1">
      <c r="B437" s="19"/>
    </row>
    <row r="438" ht="15.75" customHeight="1">
      <c r="B438" s="19"/>
    </row>
    <row r="439" ht="15.75" customHeight="1">
      <c r="B439" s="19"/>
    </row>
    <row r="440" ht="15.75" customHeight="1">
      <c r="B440" s="19"/>
    </row>
    <row r="441" ht="15.75" customHeight="1">
      <c r="B441" s="19"/>
    </row>
    <row r="442" ht="15.75" customHeight="1">
      <c r="B442" s="19"/>
    </row>
    <row r="443" ht="15.75" customHeight="1">
      <c r="B443" s="19"/>
    </row>
    <row r="444" ht="15.75" customHeight="1">
      <c r="B444" s="19"/>
    </row>
    <row r="445" ht="15.75" customHeight="1">
      <c r="B445" s="19"/>
    </row>
    <row r="446" ht="15.75" customHeight="1">
      <c r="B446" s="19"/>
    </row>
    <row r="447" ht="15.75" customHeight="1">
      <c r="B447" s="19"/>
    </row>
    <row r="448" ht="15.75" customHeight="1">
      <c r="B448" s="19"/>
    </row>
    <row r="449" ht="15.75" customHeight="1">
      <c r="B449" s="19"/>
    </row>
    <row r="450" ht="15.75" customHeight="1">
      <c r="B450" s="19"/>
    </row>
    <row r="451" ht="15.75" customHeight="1">
      <c r="B451" s="19"/>
    </row>
    <row r="452" ht="15.75" customHeight="1">
      <c r="B452" s="19"/>
    </row>
    <row r="453" ht="15.75" customHeight="1">
      <c r="B453" s="19"/>
    </row>
    <row r="454" ht="15.75" customHeight="1">
      <c r="B454" s="19"/>
    </row>
    <row r="455" ht="15.75" customHeight="1">
      <c r="B455" s="19"/>
    </row>
    <row r="456" ht="15.75" customHeight="1">
      <c r="B456" s="19"/>
    </row>
    <row r="457" ht="15.75" customHeight="1">
      <c r="B457" s="19"/>
    </row>
    <row r="458" ht="15.75" customHeight="1">
      <c r="B458" s="19"/>
    </row>
    <row r="459" ht="15.75" customHeight="1">
      <c r="B459" s="19"/>
    </row>
    <row r="460" ht="15.75" customHeight="1">
      <c r="B460" s="19"/>
    </row>
    <row r="461" ht="15.75" customHeight="1">
      <c r="B461" s="19"/>
    </row>
    <row r="462" ht="15.75" customHeight="1">
      <c r="B462" s="19"/>
    </row>
    <row r="463" ht="15.75" customHeight="1">
      <c r="B463" s="19"/>
    </row>
    <row r="464" ht="15.75" customHeight="1">
      <c r="B464" s="19"/>
    </row>
    <row r="465" ht="15.75" customHeight="1">
      <c r="B465" s="19"/>
    </row>
    <row r="466" ht="15.75" customHeight="1">
      <c r="B466" s="19"/>
    </row>
    <row r="467" ht="15.75" customHeight="1">
      <c r="B467" s="19"/>
    </row>
    <row r="468" ht="15.75" customHeight="1">
      <c r="B468" s="19"/>
    </row>
    <row r="469" ht="15.75" customHeight="1">
      <c r="B469" s="19"/>
    </row>
    <row r="470" ht="15.75" customHeight="1">
      <c r="B470" s="19"/>
    </row>
    <row r="471" ht="15.75" customHeight="1">
      <c r="B471" s="19"/>
    </row>
    <row r="472" ht="15.75" customHeight="1">
      <c r="B472" s="19"/>
    </row>
    <row r="473" ht="15.75" customHeight="1">
      <c r="B473" s="19"/>
    </row>
    <row r="474" ht="15.75" customHeight="1">
      <c r="B474" s="19"/>
    </row>
    <row r="475" ht="15.75" customHeight="1">
      <c r="B475" s="19"/>
    </row>
    <row r="476" ht="15.75" customHeight="1">
      <c r="B476" s="19"/>
    </row>
    <row r="477" ht="15.75" customHeight="1">
      <c r="B477" s="19"/>
    </row>
    <row r="478" ht="15.75" customHeight="1">
      <c r="B478" s="19"/>
    </row>
    <row r="479" ht="15.75" customHeight="1">
      <c r="B479" s="19"/>
    </row>
    <row r="480" ht="15.75" customHeight="1">
      <c r="B480" s="19"/>
    </row>
    <row r="481" ht="15.75" customHeight="1">
      <c r="B481" s="19"/>
    </row>
    <row r="482" ht="15.75" customHeight="1">
      <c r="B482" s="19"/>
    </row>
    <row r="483" ht="15.75" customHeight="1">
      <c r="B483" s="19"/>
    </row>
    <row r="484" ht="15.75" customHeight="1">
      <c r="B484" s="19"/>
    </row>
    <row r="485" ht="15.75" customHeight="1">
      <c r="B485" s="19"/>
    </row>
    <row r="486" ht="15.75" customHeight="1">
      <c r="B486" s="19"/>
    </row>
    <row r="487" ht="15.75" customHeight="1">
      <c r="B487" s="19"/>
    </row>
    <row r="488" ht="15.75" customHeight="1">
      <c r="B488" s="19"/>
    </row>
    <row r="489" ht="15.75" customHeight="1">
      <c r="B489" s="19"/>
    </row>
    <row r="490" ht="15.75" customHeight="1">
      <c r="B490" s="19"/>
    </row>
    <row r="491" ht="15.75" customHeight="1">
      <c r="B491" s="19"/>
    </row>
    <row r="492" ht="15.75" customHeight="1">
      <c r="B492" s="19"/>
    </row>
    <row r="493" ht="15.75" customHeight="1">
      <c r="B493" s="19"/>
    </row>
    <row r="494" ht="15.75" customHeight="1">
      <c r="B494" s="19"/>
    </row>
    <row r="495" ht="15.75" customHeight="1">
      <c r="B495" s="19"/>
    </row>
    <row r="496" ht="15.75" customHeight="1">
      <c r="B496" s="19"/>
    </row>
    <row r="497" ht="15.75" customHeight="1">
      <c r="B497" s="19"/>
    </row>
    <row r="498" ht="15.75" customHeight="1">
      <c r="B498" s="19"/>
    </row>
    <row r="499" ht="15.75" customHeight="1">
      <c r="B499" s="19"/>
    </row>
    <row r="500" ht="15.75" customHeight="1">
      <c r="B500" s="19"/>
    </row>
    <row r="501" ht="15.75" customHeight="1">
      <c r="B501" s="19"/>
    </row>
    <row r="502" ht="15.75" customHeight="1">
      <c r="B502" s="19"/>
    </row>
    <row r="503" ht="15.75" customHeight="1">
      <c r="B503" s="19"/>
    </row>
    <row r="504" ht="15.75" customHeight="1">
      <c r="B504" s="19"/>
    </row>
    <row r="505" ht="15.75" customHeight="1">
      <c r="B505" s="19"/>
    </row>
    <row r="506" ht="15.75" customHeight="1">
      <c r="B506" s="19"/>
    </row>
    <row r="507" ht="15.75" customHeight="1">
      <c r="B507" s="19"/>
    </row>
    <row r="508" ht="15.75" customHeight="1">
      <c r="B508" s="19"/>
    </row>
    <row r="509" ht="15.75" customHeight="1">
      <c r="B509" s="19"/>
    </row>
    <row r="510" ht="15.75" customHeight="1">
      <c r="B510" s="19"/>
    </row>
    <row r="511" ht="15.75" customHeight="1">
      <c r="B511" s="19"/>
    </row>
    <row r="512" ht="15.75" customHeight="1">
      <c r="B512" s="19"/>
    </row>
    <row r="513" ht="15.75" customHeight="1">
      <c r="B513" s="19"/>
    </row>
    <row r="514" ht="15.75" customHeight="1">
      <c r="B514" s="19"/>
    </row>
    <row r="515" ht="15.75" customHeight="1">
      <c r="B515" s="19"/>
    </row>
    <row r="516" ht="15.75" customHeight="1">
      <c r="B516" s="19"/>
    </row>
    <row r="517" ht="15.75" customHeight="1">
      <c r="B517" s="19"/>
    </row>
    <row r="518" ht="15.75" customHeight="1">
      <c r="B518" s="19"/>
    </row>
    <row r="519" ht="15.75" customHeight="1">
      <c r="B519" s="19"/>
    </row>
    <row r="520" ht="15.75" customHeight="1">
      <c r="B520" s="19"/>
    </row>
    <row r="521" ht="15.75" customHeight="1">
      <c r="B521" s="19"/>
    </row>
    <row r="522" ht="15.75" customHeight="1">
      <c r="B522" s="19"/>
    </row>
    <row r="523" ht="15.75" customHeight="1">
      <c r="B523" s="19"/>
    </row>
    <row r="524" ht="15.75" customHeight="1">
      <c r="B524" s="19"/>
    </row>
    <row r="525" ht="15.75" customHeight="1">
      <c r="B525" s="19"/>
    </row>
    <row r="526" ht="15.75" customHeight="1">
      <c r="B526" s="19"/>
    </row>
    <row r="527" ht="15.75" customHeight="1">
      <c r="B527" s="19"/>
    </row>
    <row r="528" ht="15.75" customHeight="1">
      <c r="B528" s="19"/>
    </row>
    <row r="529" ht="15.75" customHeight="1">
      <c r="B529" s="19"/>
    </row>
    <row r="530" ht="15.75" customHeight="1">
      <c r="B530" s="19"/>
    </row>
    <row r="531" ht="15.75" customHeight="1">
      <c r="B531" s="19"/>
    </row>
    <row r="532" ht="15.75" customHeight="1">
      <c r="B532" s="19"/>
    </row>
    <row r="533" ht="15.75" customHeight="1">
      <c r="B533" s="19"/>
    </row>
    <row r="534" ht="15.75" customHeight="1">
      <c r="B534" s="19"/>
    </row>
    <row r="535" ht="15.75" customHeight="1">
      <c r="B535" s="19"/>
    </row>
    <row r="536" ht="15.75" customHeight="1">
      <c r="B536" s="19"/>
    </row>
    <row r="537" ht="15.75" customHeight="1">
      <c r="B537" s="19"/>
    </row>
    <row r="538" ht="15.75" customHeight="1">
      <c r="B538" s="19"/>
    </row>
    <row r="539" ht="15.75" customHeight="1">
      <c r="B539" s="19"/>
    </row>
    <row r="540" ht="15.75" customHeight="1">
      <c r="B540" s="19"/>
    </row>
    <row r="541" ht="15.75" customHeight="1">
      <c r="B541" s="19"/>
    </row>
    <row r="542" ht="15.75" customHeight="1">
      <c r="B542" s="19"/>
    </row>
    <row r="543" ht="15.75" customHeight="1">
      <c r="B543" s="19"/>
    </row>
    <row r="544" ht="15.75" customHeight="1">
      <c r="B544" s="19"/>
    </row>
    <row r="545" ht="15.75" customHeight="1">
      <c r="B545" s="19"/>
    </row>
    <row r="546" ht="15.75" customHeight="1">
      <c r="B546" s="19"/>
    </row>
    <row r="547" ht="15.75" customHeight="1">
      <c r="B547" s="19"/>
    </row>
    <row r="548" ht="15.75" customHeight="1">
      <c r="B548" s="19"/>
    </row>
    <row r="549" ht="15.75" customHeight="1">
      <c r="B549" s="19"/>
    </row>
    <row r="550" ht="15.75" customHeight="1">
      <c r="B550" s="19"/>
    </row>
    <row r="551" ht="15.75" customHeight="1">
      <c r="B551" s="19"/>
    </row>
    <row r="552" ht="15.75" customHeight="1">
      <c r="B552" s="19"/>
    </row>
    <row r="553" ht="15.75" customHeight="1">
      <c r="B553" s="19"/>
    </row>
    <row r="554" ht="15.75" customHeight="1">
      <c r="B554" s="19"/>
    </row>
    <row r="555" ht="15.75" customHeight="1">
      <c r="B555" s="19"/>
    </row>
    <row r="556" ht="15.75" customHeight="1">
      <c r="B556" s="19"/>
    </row>
    <row r="557" ht="15.75" customHeight="1">
      <c r="B557" s="19"/>
    </row>
    <row r="558" ht="15.75" customHeight="1">
      <c r="B558" s="19"/>
    </row>
    <row r="559" ht="15.75" customHeight="1">
      <c r="B559" s="19"/>
    </row>
    <row r="560" ht="15.75" customHeight="1">
      <c r="B560" s="19"/>
    </row>
    <row r="561" ht="15.75" customHeight="1">
      <c r="B561" s="19"/>
    </row>
    <row r="562" ht="15.75" customHeight="1">
      <c r="B562" s="19"/>
    </row>
    <row r="563" ht="15.75" customHeight="1">
      <c r="B563" s="19"/>
    </row>
    <row r="564" ht="15.75" customHeight="1">
      <c r="B564" s="19"/>
    </row>
    <row r="565" ht="15.75" customHeight="1">
      <c r="B565" s="19"/>
    </row>
    <row r="566" ht="15.75" customHeight="1">
      <c r="B566" s="19"/>
    </row>
    <row r="567" ht="15.75" customHeight="1">
      <c r="B567" s="19"/>
    </row>
    <row r="568" ht="15.75" customHeight="1">
      <c r="B568" s="19"/>
    </row>
    <row r="569" ht="15.75" customHeight="1">
      <c r="B569" s="19"/>
    </row>
    <row r="570" ht="15.75" customHeight="1">
      <c r="B570" s="19"/>
    </row>
    <row r="571" ht="15.75" customHeight="1">
      <c r="B571" s="19"/>
    </row>
    <row r="572" ht="15.75" customHeight="1">
      <c r="B572" s="19"/>
    </row>
    <row r="573" ht="15.75" customHeight="1">
      <c r="B573" s="19"/>
    </row>
    <row r="574" ht="15.75" customHeight="1">
      <c r="B574" s="19"/>
    </row>
    <row r="575" ht="15.75" customHeight="1">
      <c r="B575" s="19"/>
    </row>
    <row r="576" ht="15.75" customHeight="1">
      <c r="B576" s="19"/>
    </row>
    <row r="577" ht="15.75" customHeight="1">
      <c r="B577" s="19"/>
    </row>
    <row r="578" ht="15.75" customHeight="1">
      <c r="B578" s="19"/>
    </row>
    <row r="579" ht="15.75" customHeight="1">
      <c r="B579" s="19"/>
    </row>
    <row r="580" ht="15.75" customHeight="1">
      <c r="B580" s="19"/>
    </row>
    <row r="581" ht="15.75" customHeight="1">
      <c r="B581" s="19"/>
    </row>
    <row r="582" ht="15.75" customHeight="1">
      <c r="B582" s="19"/>
    </row>
    <row r="583" ht="15.75" customHeight="1">
      <c r="B583" s="19"/>
    </row>
    <row r="584" ht="15.75" customHeight="1">
      <c r="B584" s="19"/>
    </row>
    <row r="585" ht="15.75" customHeight="1">
      <c r="B585" s="19"/>
    </row>
    <row r="586" ht="15.75" customHeight="1">
      <c r="B586" s="19"/>
    </row>
    <row r="587" ht="15.75" customHeight="1">
      <c r="B587" s="19"/>
    </row>
    <row r="588" ht="15.75" customHeight="1">
      <c r="B588" s="19"/>
    </row>
    <row r="589" ht="15.75" customHeight="1">
      <c r="B589" s="19"/>
    </row>
    <row r="590" ht="15.75" customHeight="1">
      <c r="B590" s="19"/>
    </row>
    <row r="591" ht="15.75" customHeight="1">
      <c r="B591" s="19"/>
    </row>
    <row r="592" ht="15.75" customHeight="1">
      <c r="B592" s="19"/>
    </row>
    <row r="593" ht="15.75" customHeight="1">
      <c r="B593" s="19"/>
    </row>
    <row r="594" ht="15.75" customHeight="1">
      <c r="B594" s="19"/>
    </row>
    <row r="595" ht="15.75" customHeight="1">
      <c r="B595" s="19"/>
    </row>
    <row r="596" ht="15.75" customHeight="1">
      <c r="B596" s="19"/>
    </row>
    <row r="597" ht="15.75" customHeight="1">
      <c r="B597" s="19"/>
    </row>
    <row r="598" ht="15.75" customHeight="1">
      <c r="B598" s="19"/>
    </row>
    <row r="599" ht="15.75" customHeight="1">
      <c r="B599" s="19"/>
    </row>
    <row r="600" ht="15.75" customHeight="1">
      <c r="B600" s="19"/>
    </row>
    <row r="601" ht="15.75" customHeight="1">
      <c r="B601" s="19"/>
    </row>
    <row r="602" ht="15.75" customHeight="1">
      <c r="B602" s="19"/>
    </row>
    <row r="603" ht="15.75" customHeight="1">
      <c r="B603" s="19"/>
    </row>
    <row r="604" ht="15.75" customHeight="1">
      <c r="B604" s="19"/>
    </row>
    <row r="605" ht="15.75" customHeight="1">
      <c r="B605" s="19"/>
    </row>
    <row r="606" ht="15.75" customHeight="1">
      <c r="B606" s="19"/>
    </row>
    <row r="607" ht="15.75" customHeight="1">
      <c r="B607" s="19"/>
    </row>
    <row r="608" ht="15.75" customHeight="1">
      <c r="B608" s="19"/>
    </row>
    <row r="609" ht="15.75" customHeight="1">
      <c r="B609" s="19"/>
    </row>
    <row r="610" ht="15.75" customHeight="1">
      <c r="B610" s="19"/>
    </row>
    <row r="611" ht="15.75" customHeight="1">
      <c r="B611" s="19"/>
    </row>
    <row r="612" ht="15.75" customHeight="1">
      <c r="B612" s="19"/>
    </row>
    <row r="613" ht="15.75" customHeight="1">
      <c r="B613" s="19"/>
    </row>
    <row r="614" ht="15.75" customHeight="1">
      <c r="B614" s="19"/>
    </row>
    <row r="615" ht="15.75" customHeight="1">
      <c r="B615" s="19"/>
    </row>
    <row r="616" ht="15.75" customHeight="1">
      <c r="B616" s="19"/>
    </row>
    <row r="617" ht="15.75" customHeight="1">
      <c r="B617" s="19"/>
    </row>
    <row r="618" ht="15.75" customHeight="1">
      <c r="B618" s="19"/>
    </row>
    <row r="619" ht="15.75" customHeight="1">
      <c r="B619" s="19"/>
    </row>
    <row r="620" ht="15.75" customHeight="1">
      <c r="B620" s="19"/>
    </row>
    <row r="621" ht="15.75" customHeight="1">
      <c r="B621" s="19"/>
    </row>
    <row r="622" ht="15.75" customHeight="1">
      <c r="B622" s="19"/>
    </row>
    <row r="623" ht="15.75" customHeight="1">
      <c r="B623" s="19"/>
    </row>
    <row r="624" ht="15.75" customHeight="1">
      <c r="B624" s="19"/>
    </row>
    <row r="625" ht="15.75" customHeight="1">
      <c r="B625" s="19"/>
    </row>
    <row r="626" ht="15.75" customHeight="1">
      <c r="B626" s="19"/>
    </row>
    <row r="627" ht="15.75" customHeight="1">
      <c r="B627" s="19"/>
    </row>
    <row r="628" ht="15.75" customHeight="1">
      <c r="B628" s="19"/>
    </row>
    <row r="629" ht="15.75" customHeight="1">
      <c r="B629" s="19"/>
    </row>
    <row r="630" ht="15.75" customHeight="1">
      <c r="B630" s="19"/>
    </row>
    <row r="631" ht="15.75" customHeight="1">
      <c r="B631" s="19"/>
    </row>
    <row r="632" ht="15.75" customHeight="1">
      <c r="B632" s="19"/>
    </row>
    <row r="633" ht="15.75" customHeight="1">
      <c r="B633" s="19"/>
    </row>
    <row r="634" ht="15.75" customHeight="1">
      <c r="B634" s="19"/>
    </row>
    <row r="635" ht="15.75" customHeight="1">
      <c r="B635" s="19"/>
    </row>
    <row r="636" ht="15.75" customHeight="1">
      <c r="B636" s="19"/>
    </row>
    <row r="637" ht="15.75" customHeight="1">
      <c r="B637" s="19"/>
    </row>
    <row r="638" ht="15.75" customHeight="1">
      <c r="B638" s="19"/>
    </row>
    <row r="639" ht="15.75" customHeight="1">
      <c r="B639" s="19"/>
    </row>
    <row r="640" ht="15.75" customHeight="1">
      <c r="B640" s="19"/>
    </row>
    <row r="641" ht="15.75" customHeight="1">
      <c r="B641" s="19"/>
    </row>
    <row r="642" ht="15.75" customHeight="1">
      <c r="B642" s="19"/>
    </row>
    <row r="643" ht="15.75" customHeight="1">
      <c r="B643" s="19"/>
    </row>
    <row r="644" ht="15.75" customHeight="1">
      <c r="B644" s="19"/>
    </row>
    <row r="645" ht="15.75" customHeight="1">
      <c r="B645" s="19"/>
    </row>
    <row r="646" ht="15.75" customHeight="1">
      <c r="B646" s="19"/>
    </row>
    <row r="647" ht="15.75" customHeight="1">
      <c r="B647" s="19"/>
    </row>
    <row r="648" ht="15.75" customHeight="1">
      <c r="B648" s="19"/>
    </row>
    <row r="649" ht="15.75" customHeight="1">
      <c r="B649" s="19"/>
    </row>
    <row r="650" ht="15.75" customHeight="1">
      <c r="B650" s="19"/>
    </row>
    <row r="651" ht="15.75" customHeight="1">
      <c r="B651" s="19"/>
    </row>
    <row r="652" ht="15.75" customHeight="1">
      <c r="B652" s="19"/>
    </row>
    <row r="653" ht="15.75" customHeight="1">
      <c r="B653" s="19"/>
    </row>
    <row r="654" ht="15.75" customHeight="1">
      <c r="B654" s="19"/>
    </row>
    <row r="655" ht="15.75" customHeight="1">
      <c r="B655" s="19"/>
    </row>
    <row r="656" ht="15.75" customHeight="1">
      <c r="B656" s="19"/>
    </row>
    <row r="657" ht="15.75" customHeight="1">
      <c r="B657" s="19"/>
    </row>
    <row r="658" ht="15.75" customHeight="1">
      <c r="B658" s="19"/>
    </row>
    <row r="659" ht="15.75" customHeight="1">
      <c r="B659" s="19"/>
    </row>
    <row r="660" ht="15.75" customHeight="1">
      <c r="B660" s="19"/>
    </row>
    <row r="661" ht="15.75" customHeight="1">
      <c r="B661" s="19"/>
    </row>
    <row r="662" ht="15.75" customHeight="1">
      <c r="B662" s="19"/>
    </row>
    <row r="663" ht="15.75" customHeight="1">
      <c r="B663" s="19"/>
    </row>
    <row r="664" ht="15.75" customHeight="1">
      <c r="B664" s="19"/>
    </row>
    <row r="665" ht="15.75" customHeight="1">
      <c r="B665" s="19"/>
    </row>
    <row r="666" ht="15.75" customHeight="1">
      <c r="B666" s="19"/>
    </row>
    <row r="667" ht="15.75" customHeight="1">
      <c r="B667" s="19"/>
    </row>
    <row r="668" ht="15.75" customHeight="1">
      <c r="B668" s="19"/>
    </row>
    <row r="669" ht="15.75" customHeight="1">
      <c r="B669" s="19"/>
    </row>
    <row r="670" ht="15.75" customHeight="1">
      <c r="B670" s="19"/>
    </row>
    <row r="671" ht="15.75" customHeight="1">
      <c r="B671" s="19"/>
    </row>
    <row r="672" ht="15.75" customHeight="1">
      <c r="B672" s="19"/>
    </row>
    <row r="673" ht="15.75" customHeight="1">
      <c r="B673" s="19"/>
    </row>
    <row r="674" ht="15.75" customHeight="1">
      <c r="B674" s="19"/>
    </row>
    <row r="675" ht="15.75" customHeight="1">
      <c r="B675" s="19"/>
    </row>
    <row r="676" ht="15.75" customHeight="1">
      <c r="B676" s="19"/>
    </row>
    <row r="677" ht="15.75" customHeight="1">
      <c r="B677" s="19"/>
    </row>
    <row r="678" ht="15.75" customHeight="1">
      <c r="B678" s="19"/>
    </row>
    <row r="679" ht="15.75" customHeight="1">
      <c r="B679" s="19"/>
    </row>
    <row r="680" ht="15.75" customHeight="1">
      <c r="B680" s="19"/>
    </row>
    <row r="681" ht="15.75" customHeight="1">
      <c r="B681" s="19"/>
    </row>
    <row r="682" ht="15.75" customHeight="1">
      <c r="B682" s="19"/>
    </row>
    <row r="683" ht="15.75" customHeight="1">
      <c r="B683" s="19"/>
    </row>
    <row r="684" ht="15.75" customHeight="1">
      <c r="B684" s="19"/>
    </row>
    <row r="685" ht="15.75" customHeight="1">
      <c r="B685" s="19"/>
    </row>
    <row r="686" ht="15.75" customHeight="1">
      <c r="B686" s="19"/>
    </row>
    <row r="687" ht="15.75" customHeight="1">
      <c r="B687" s="19"/>
    </row>
    <row r="688" ht="15.75" customHeight="1">
      <c r="B688" s="19"/>
    </row>
    <row r="689" ht="15.75" customHeight="1">
      <c r="B689" s="19"/>
    </row>
    <row r="690" ht="15.75" customHeight="1">
      <c r="B690" s="19"/>
    </row>
    <row r="691" ht="15.75" customHeight="1">
      <c r="B691" s="19"/>
    </row>
    <row r="692" ht="15.75" customHeight="1">
      <c r="B692" s="19"/>
    </row>
    <row r="693" ht="15.75" customHeight="1">
      <c r="B693" s="19"/>
    </row>
    <row r="694" ht="15.75" customHeight="1">
      <c r="B694" s="19"/>
    </row>
    <row r="695" ht="15.75" customHeight="1">
      <c r="B695" s="19"/>
    </row>
    <row r="696" ht="15.75" customHeight="1">
      <c r="B696" s="19"/>
    </row>
    <row r="697" ht="15.75" customHeight="1">
      <c r="B697" s="19"/>
    </row>
    <row r="698" ht="15.75" customHeight="1">
      <c r="B698" s="19"/>
    </row>
    <row r="699" ht="15.75" customHeight="1">
      <c r="B699" s="19"/>
    </row>
    <row r="700" ht="15.75" customHeight="1">
      <c r="B700" s="19"/>
    </row>
    <row r="701" ht="15.75" customHeight="1">
      <c r="B701" s="19"/>
    </row>
    <row r="702" ht="15.75" customHeight="1">
      <c r="B702" s="19"/>
    </row>
    <row r="703" ht="15.75" customHeight="1">
      <c r="B703" s="19"/>
    </row>
    <row r="704" ht="15.75" customHeight="1">
      <c r="B704" s="19"/>
    </row>
    <row r="705" ht="15.75" customHeight="1">
      <c r="B705" s="19"/>
    </row>
    <row r="706" ht="15.75" customHeight="1">
      <c r="B706" s="19"/>
    </row>
    <row r="707" ht="15.75" customHeight="1">
      <c r="B707" s="19"/>
    </row>
    <row r="708" ht="15.75" customHeight="1">
      <c r="B708" s="19"/>
    </row>
    <row r="709" ht="15.75" customHeight="1">
      <c r="B709" s="19"/>
    </row>
    <row r="710" ht="15.75" customHeight="1">
      <c r="B710" s="19"/>
    </row>
    <row r="711" ht="15.75" customHeight="1">
      <c r="B711" s="19"/>
    </row>
    <row r="712" ht="15.75" customHeight="1">
      <c r="B712" s="19"/>
    </row>
    <row r="713" ht="15.75" customHeight="1">
      <c r="B713" s="19"/>
    </row>
    <row r="714" ht="15.75" customHeight="1">
      <c r="B714" s="19"/>
    </row>
    <row r="715" ht="15.75" customHeight="1">
      <c r="B715" s="19"/>
    </row>
    <row r="716" ht="15.75" customHeight="1">
      <c r="B716" s="19"/>
    </row>
    <row r="717" ht="15.75" customHeight="1">
      <c r="B717" s="19"/>
    </row>
    <row r="718" ht="15.75" customHeight="1">
      <c r="B718" s="19"/>
    </row>
    <row r="719" ht="15.75" customHeight="1">
      <c r="B719" s="19"/>
    </row>
    <row r="720" ht="15.75" customHeight="1">
      <c r="B720" s="19"/>
    </row>
    <row r="721" ht="15.75" customHeight="1">
      <c r="B721" s="19"/>
    </row>
    <row r="722" ht="15.75" customHeight="1">
      <c r="B722" s="19"/>
    </row>
    <row r="723" ht="15.75" customHeight="1">
      <c r="B723" s="19"/>
    </row>
    <row r="724" ht="15.75" customHeight="1">
      <c r="B724" s="19"/>
    </row>
    <row r="725" ht="15.75" customHeight="1">
      <c r="B725" s="19"/>
    </row>
    <row r="726" ht="15.75" customHeight="1">
      <c r="B726" s="19"/>
    </row>
    <row r="727" ht="15.75" customHeight="1">
      <c r="B727" s="19"/>
    </row>
    <row r="728" ht="15.75" customHeight="1">
      <c r="B728" s="19"/>
    </row>
    <row r="729" ht="15.75" customHeight="1">
      <c r="B729" s="19"/>
    </row>
    <row r="730" ht="15.75" customHeight="1">
      <c r="B730" s="19"/>
    </row>
    <row r="731" ht="15.75" customHeight="1">
      <c r="B731" s="19"/>
    </row>
    <row r="732" ht="15.75" customHeight="1">
      <c r="B732" s="19"/>
    </row>
    <row r="733" ht="15.75" customHeight="1">
      <c r="B733" s="19"/>
    </row>
    <row r="734" ht="15.75" customHeight="1">
      <c r="B734" s="19"/>
    </row>
    <row r="735" ht="15.75" customHeight="1">
      <c r="B735" s="19"/>
    </row>
    <row r="736" ht="15.75" customHeight="1">
      <c r="B736" s="19"/>
    </row>
    <row r="737" ht="15.75" customHeight="1">
      <c r="B737" s="19"/>
    </row>
    <row r="738" ht="15.75" customHeight="1">
      <c r="B738" s="19"/>
    </row>
    <row r="739" ht="15.75" customHeight="1">
      <c r="B739" s="19"/>
    </row>
    <row r="740" ht="15.75" customHeight="1">
      <c r="B740" s="19"/>
    </row>
    <row r="741" ht="15.75" customHeight="1">
      <c r="B741" s="19"/>
    </row>
    <row r="742" ht="15.75" customHeight="1">
      <c r="B742" s="19"/>
    </row>
    <row r="743" ht="15.75" customHeight="1">
      <c r="B743" s="19"/>
    </row>
    <row r="744" ht="15.75" customHeight="1">
      <c r="B744" s="19"/>
    </row>
    <row r="745" ht="15.75" customHeight="1">
      <c r="B745" s="19"/>
    </row>
    <row r="746" ht="15.75" customHeight="1">
      <c r="B746" s="19"/>
    </row>
    <row r="747" ht="15.75" customHeight="1">
      <c r="B747" s="19"/>
    </row>
    <row r="748" ht="15.75" customHeight="1">
      <c r="B748" s="19"/>
    </row>
    <row r="749" ht="15.75" customHeight="1">
      <c r="B749" s="19"/>
    </row>
    <row r="750" ht="15.75" customHeight="1">
      <c r="B750" s="19"/>
    </row>
    <row r="751" ht="15.75" customHeight="1">
      <c r="B751" s="19"/>
    </row>
    <row r="752" ht="15.75" customHeight="1">
      <c r="B752" s="19"/>
    </row>
    <row r="753" ht="15.75" customHeight="1">
      <c r="B753" s="19"/>
    </row>
    <row r="754" ht="15.75" customHeight="1">
      <c r="B754" s="19"/>
    </row>
    <row r="755" ht="15.75" customHeight="1">
      <c r="B755" s="19"/>
    </row>
    <row r="756" ht="15.75" customHeight="1">
      <c r="B756" s="19"/>
    </row>
    <row r="757" ht="15.75" customHeight="1">
      <c r="B757" s="19"/>
    </row>
    <row r="758" ht="15.75" customHeight="1">
      <c r="B758" s="19"/>
    </row>
    <row r="759" ht="15.75" customHeight="1">
      <c r="B759" s="19"/>
    </row>
    <row r="760" ht="15.75" customHeight="1">
      <c r="B760" s="19"/>
    </row>
    <row r="761" ht="15.75" customHeight="1">
      <c r="B761" s="19"/>
    </row>
    <row r="762" ht="15.75" customHeight="1">
      <c r="B762" s="19"/>
    </row>
    <row r="763" ht="15.75" customHeight="1">
      <c r="B763" s="19"/>
    </row>
    <row r="764" ht="15.75" customHeight="1">
      <c r="B764" s="19"/>
    </row>
    <row r="765" ht="15.75" customHeight="1">
      <c r="B765" s="19"/>
    </row>
    <row r="766" ht="15.75" customHeight="1">
      <c r="B766" s="19"/>
    </row>
    <row r="767" ht="15.75" customHeight="1">
      <c r="B767" s="19"/>
    </row>
    <row r="768" ht="15.75" customHeight="1">
      <c r="B768" s="19"/>
    </row>
    <row r="769" ht="15.75" customHeight="1">
      <c r="B769" s="19"/>
    </row>
    <row r="770" ht="15.75" customHeight="1">
      <c r="B770" s="19"/>
    </row>
    <row r="771" ht="15.75" customHeight="1">
      <c r="B771" s="19"/>
    </row>
    <row r="772" ht="15.75" customHeight="1">
      <c r="B772" s="19"/>
    </row>
    <row r="773" ht="15.75" customHeight="1">
      <c r="B773" s="19"/>
    </row>
    <row r="774" ht="15.75" customHeight="1">
      <c r="B774" s="19"/>
    </row>
    <row r="775" ht="15.75" customHeight="1">
      <c r="B775" s="19"/>
    </row>
    <row r="776" ht="15.75" customHeight="1">
      <c r="B776" s="19"/>
    </row>
    <row r="777" ht="15.75" customHeight="1">
      <c r="B777" s="19"/>
    </row>
    <row r="778" ht="15.75" customHeight="1">
      <c r="B778" s="19"/>
    </row>
    <row r="779" ht="15.75" customHeight="1">
      <c r="B779" s="19"/>
    </row>
    <row r="780" ht="15.75" customHeight="1">
      <c r="B780" s="19"/>
    </row>
    <row r="781" ht="15.75" customHeight="1">
      <c r="B781" s="19"/>
    </row>
    <row r="782" ht="15.75" customHeight="1">
      <c r="B782" s="19"/>
    </row>
    <row r="783" ht="15.75" customHeight="1">
      <c r="B783" s="19"/>
    </row>
    <row r="784" ht="15.75" customHeight="1">
      <c r="B784" s="19"/>
    </row>
    <row r="785" ht="15.75" customHeight="1">
      <c r="B785" s="19"/>
    </row>
    <row r="786" ht="15.75" customHeight="1">
      <c r="B786" s="19"/>
    </row>
    <row r="787" ht="15.75" customHeight="1">
      <c r="B787" s="19"/>
    </row>
    <row r="788" ht="15.75" customHeight="1">
      <c r="B788" s="19"/>
    </row>
    <row r="789" ht="15.75" customHeight="1">
      <c r="B789" s="19"/>
    </row>
    <row r="790" ht="15.75" customHeight="1">
      <c r="B790" s="19"/>
    </row>
    <row r="791" ht="15.75" customHeight="1">
      <c r="B791" s="19"/>
    </row>
    <row r="792" ht="15.75" customHeight="1">
      <c r="B792" s="19"/>
    </row>
    <row r="793" ht="15.75" customHeight="1">
      <c r="B793" s="19"/>
    </row>
    <row r="794" ht="15.75" customHeight="1">
      <c r="B794" s="19"/>
    </row>
    <row r="795" ht="15.75" customHeight="1">
      <c r="B795" s="19"/>
    </row>
    <row r="796" ht="15.75" customHeight="1">
      <c r="B796" s="19"/>
    </row>
    <row r="797" ht="15.75" customHeight="1">
      <c r="B797" s="19"/>
    </row>
    <row r="798" ht="15.75" customHeight="1">
      <c r="B798" s="19"/>
    </row>
    <row r="799" ht="15.75" customHeight="1">
      <c r="B799" s="19"/>
    </row>
    <row r="800" ht="15.75" customHeight="1">
      <c r="B800" s="19"/>
    </row>
    <row r="801" ht="15.75" customHeight="1">
      <c r="B801" s="19"/>
    </row>
    <row r="802" ht="15.75" customHeight="1">
      <c r="B802" s="19"/>
    </row>
    <row r="803" ht="15.75" customHeight="1">
      <c r="B803" s="19"/>
    </row>
    <row r="804" ht="15.75" customHeight="1">
      <c r="B804" s="19"/>
    </row>
    <row r="805" ht="15.75" customHeight="1">
      <c r="B805" s="19"/>
    </row>
    <row r="806" ht="15.75" customHeight="1">
      <c r="B806" s="19"/>
    </row>
    <row r="807" ht="15.75" customHeight="1">
      <c r="B807" s="19"/>
    </row>
    <row r="808" ht="15.75" customHeight="1">
      <c r="B808" s="19"/>
    </row>
    <row r="809" ht="15.75" customHeight="1">
      <c r="B809" s="19"/>
    </row>
    <row r="810" ht="15.75" customHeight="1">
      <c r="B810" s="19"/>
    </row>
    <row r="811" ht="15.75" customHeight="1">
      <c r="B811" s="19"/>
    </row>
    <row r="812" ht="15.75" customHeight="1">
      <c r="B812" s="19"/>
    </row>
    <row r="813" ht="15.75" customHeight="1">
      <c r="B813" s="19"/>
    </row>
    <row r="814" ht="15.75" customHeight="1">
      <c r="B814" s="19"/>
    </row>
    <row r="815" ht="15.75" customHeight="1">
      <c r="B815" s="19"/>
    </row>
    <row r="816" ht="15.75" customHeight="1">
      <c r="B816" s="19"/>
    </row>
    <row r="817" ht="15.75" customHeight="1">
      <c r="B817" s="19"/>
    </row>
    <row r="818" ht="15.75" customHeight="1">
      <c r="B818" s="19"/>
    </row>
    <row r="819" ht="15.75" customHeight="1">
      <c r="B819" s="19"/>
    </row>
    <row r="820" ht="15.75" customHeight="1">
      <c r="B820" s="19"/>
    </row>
    <row r="821" ht="15.75" customHeight="1">
      <c r="B821" s="19"/>
    </row>
    <row r="822" ht="15.75" customHeight="1">
      <c r="B822" s="19"/>
    </row>
    <row r="823" ht="15.75" customHeight="1">
      <c r="B823" s="19"/>
    </row>
    <row r="824" ht="15.75" customHeight="1">
      <c r="B824" s="19"/>
    </row>
    <row r="825" ht="15.75" customHeight="1">
      <c r="B825" s="19"/>
    </row>
    <row r="826" ht="15.75" customHeight="1">
      <c r="B826" s="19"/>
    </row>
    <row r="827" ht="15.75" customHeight="1">
      <c r="B827" s="19"/>
    </row>
    <row r="828" ht="15.75" customHeight="1">
      <c r="B828" s="19"/>
    </row>
    <row r="829" ht="15.75" customHeight="1">
      <c r="B829" s="19"/>
    </row>
    <row r="830" ht="15.75" customHeight="1">
      <c r="B830" s="19"/>
    </row>
    <row r="831" ht="15.75" customHeight="1">
      <c r="B831" s="19"/>
    </row>
    <row r="832" ht="15.75" customHeight="1">
      <c r="B832" s="19"/>
    </row>
    <row r="833" ht="15.75" customHeight="1">
      <c r="B833" s="19"/>
    </row>
    <row r="834" ht="15.75" customHeight="1">
      <c r="B834" s="19"/>
    </row>
    <row r="835" ht="15.75" customHeight="1">
      <c r="B835" s="19"/>
    </row>
    <row r="836" ht="15.75" customHeight="1">
      <c r="B836" s="19"/>
    </row>
    <row r="837" ht="15.75" customHeight="1">
      <c r="B837" s="19"/>
    </row>
    <row r="838" ht="15.75" customHeight="1">
      <c r="B838" s="19"/>
    </row>
    <row r="839" ht="15.75" customHeight="1">
      <c r="B839" s="19"/>
    </row>
    <row r="840" ht="15.75" customHeight="1">
      <c r="B840" s="19"/>
    </row>
    <row r="841" ht="15.75" customHeight="1">
      <c r="B841" s="19"/>
    </row>
    <row r="842" ht="15.75" customHeight="1">
      <c r="B842" s="19"/>
    </row>
    <row r="843" ht="15.75" customHeight="1">
      <c r="B843" s="19"/>
    </row>
    <row r="844" ht="15.75" customHeight="1">
      <c r="B844" s="19"/>
    </row>
    <row r="845" ht="15.75" customHeight="1">
      <c r="B845" s="19"/>
    </row>
    <row r="846" ht="15.75" customHeight="1">
      <c r="B846" s="19"/>
    </row>
    <row r="847" ht="15.75" customHeight="1">
      <c r="B847" s="19"/>
    </row>
    <row r="848" ht="15.75" customHeight="1">
      <c r="B848" s="19"/>
    </row>
    <row r="849" ht="15.75" customHeight="1">
      <c r="B849" s="19"/>
    </row>
    <row r="850" ht="15.75" customHeight="1">
      <c r="B850" s="19"/>
    </row>
    <row r="851" ht="15.75" customHeight="1">
      <c r="B851" s="19"/>
    </row>
    <row r="852" ht="15.75" customHeight="1">
      <c r="B852" s="19"/>
    </row>
    <row r="853" ht="15.75" customHeight="1">
      <c r="B853" s="19"/>
    </row>
    <row r="854" ht="15.75" customHeight="1">
      <c r="B854" s="19"/>
    </row>
    <row r="855" ht="15.75" customHeight="1">
      <c r="B855" s="19"/>
    </row>
    <row r="856" ht="15.75" customHeight="1">
      <c r="B856" s="19"/>
    </row>
    <row r="857" ht="15.75" customHeight="1">
      <c r="B857" s="19"/>
    </row>
    <row r="858" ht="15.75" customHeight="1">
      <c r="B858" s="19"/>
    </row>
    <row r="859" ht="15.75" customHeight="1">
      <c r="B859" s="19"/>
    </row>
    <row r="860" ht="15.75" customHeight="1">
      <c r="B860" s="19"/>
    </row>
    <row r="861" ht="15.75" customHeight="1">
      <c r="B861" s="19"/>
    </row>
    <row r="862" ht="15.75" customHeight="1">
      <c r="B862" s="19"/>
    </row>
    <row r="863" ht="15.75" customHeight="1">
      <c r="B863" s="19"/>
    </row>
    <row r="864" ht="15.75" customHeight="1">
      <c r="B864" s="19"/>
    </row>
    <row r="865" ht="15.75" customHeight="1">
      <c r="B865" s="19"/>
    </row>
    <row r="866" ht="15.75" customHeight="1">
      <c r="B866" s="19"/>
    </row>
    <row r="867" ht="15.75" customHeight="1">
      <c r="B867" s="19"/>
    </row>
    <row r="868" ht="15.75" customHeight="1">
      <c r="B868" s="19"/>
    </row>
    <row r="869" ht="15.75" customHeight="1">
      <c r="B869" s="19"/>
    </row>
    <row r="870" ht="15.75" customHeight="1">
      <c r="B870" s="19"/>
    </row>
    <row r="871" ht="15.75" customHeight="1">
      <c r="B871" s="19"/>
    </row>
    <row r="872" ht="15.75" customHeight="1">
      <c r="B872" s="19"/>
    </row>
    <row r="873" ht="15.75" customHeight="1">
      <c r="B873" s="19"/>
    </row>
    <row r="874" ht="15.75" customHeight="1">
      <c r="B874" s="19"/>
    </row>
    <row r="875" ht="15.75" customHeight="1">
      <c r="B875" s="19"/>
    </row>
    <row r="876" ht="15.75" customHeight="1">
      <c r="B876" s="19"/>
    </row>
    <row r="877" ht="15.75" customHeight="1">
      <c r="B877" s="19"/>
    </row>
    <row r="878" ht="15.75" customHeight="1">
      <c r="B878" s="19"/>
    </row>
    <row r="879" ht="15.75" customHeight="1">
      <c r="B879" s="19"/>
    </row>
    <row r="880" ht="15.75" customHeight="1">
      <c r="B880" s="19"/>
    </row>
    <row r="881" ht="15.75" customHeight="1">
      <c r="B881" s="19"/>
    </row>
    <row r="882" ht="15.75" customHeight="1">
      <c r="B882" s="19"/>
    </row>
    <row r="883" ht="15.75" customHeight="1">
      <c r="B883" s="19"/>
    </row>
    <row r="884" ht="15.75" customHeight="1">
      <c r="B884" s="19"/>
    </row>
    <row r="885" ht="15.75" customHeight="1">
      <c r="B885" s="19"/>
    </row>
    <row r="886" ht="15.75" customHeight="1">
      <c r="B886" s="19"/>
    </row>
    <row r="887" ht="15.75" customHeight="1">
      <c r="B887" s="19"/>
    </row>
    <row r="888" ht="15.75" customHeight="1">
      <c r="B888" s="19"/>
    </row>
    <row r="889" ht="15.75" customHeight="1">
      <c r="B889" s="19"/>
    </row>
    <row r="890" ht="15.75" customHeight="1">
      <c r="B890" s="19"/>
    </row>
    <row r="891" ht="15.75" customHeight="1">
      <c r="B891" s="19"/>
    </row>
    <row r="892" ht="15.75" customHeight="1">
      <c r="B892" s="19"/>
    </row>
    <row r="893" ht="15.75" customHeight="1">
      <c r="B893" s="19"/>
    </row>
    <row r="894" ht="15.75" customHeight="1">
      <c r="B894" s="19"/>
    </row>
    <row r="895" ht="15.75" customHeight="1">
      <c r="B895" s="19"/>
    </row>
    <row r="896" ht="15.75" customHeight="1">
      <c r="B896" s="19"/>
    </row>
    <row r="897" ht="15.75" customHeight="1">
      <c r="B897" s="19"/>
    </row>
    <row r="898" ht="15.75" customHeight="1">
      <c r="B898" s="19"/>
    </row>
    <row r="899" ht="15.75" customHeight="1">
      <c r="B899" s="19"/>
    </row>
    <row r="900" ht="15.75" customHeight="1">
      <c r="B900" s="19"/>
    </row>
    <row r="901" ht="15.75" customHeight="1">
      <c r="B901" s="19"/>
    </row>
    <row r="902" ht="15.75" customHeight="1">
      <c r="B902" s="19"/>
    </row>
    <row r="903" ht="15.75" customHeight="1">
      <c r="B903" s="19"/>
    </row>
    <row r="904" ht="15.75" customHeight="1">
      <c r="B904" s="19"/>
    </row>
    <row r="905" ht="15.75" customHeight="1">
      <c r="B905" s="19"/>
    </row>
    <row r="906" ht="15.75" customHeight="1">
      <c r="B906" s="19"/>
    </row>
    <row r="907" ht="15.75" customHeight="1">
      <c r="B907" s="19"/>
    </row>
    <row r="908" ht="15.75" customHeight="1">
      <c r="B908" s="19"/>
    </row>
    <row r="909" ht="15.75" customHeight="1">
      <c r="B909" s="19"/>
    </row>
    <row r="910" ht="15.75" customHeight="1">
      <c r="B910" s="19"/>
    </row>
    <row r="911" ht="15.75" customHeight="1">
      <c r="B911" s="19"/>
    </row>
    <row r="912" ht="15.75" customHeight="1">
      <c r="B912" s="19"/>
    </row>
    <row r="913" ht="15.75" customHeight="1">
      <c r="B913" s="19"/>
    </row>
    <row r="914" ht="15.75" customHeight="1">
      <c r="B914" s="19"/>
    </row>
    <row r="915" ht="15.75" customHeight="1">
      <c r="B915" s="19"/>
    </row>
    <row r="916" ht="15.75" customHeight="1">
      <c r="B916" s="19"/>
    </row>
    <row r="917" ht="15.75" customHeight="1">
      <c r="B917" s="19"/>
    </row>
    <row r="918" ht="15.75" customHeight="1">
      <c r="B918" s="19"/>
    </row>
    <row r="919" ht="15.75" customHeight="1">
      <c r="B919" s="19"/>
    </row>
    <row r="920" ht="15.75" customHeight="1">
      <c r="B920" s="19"/>
    </row>
    <row r="921" ht="15.75" customHeight="1">
      <c r="B921" s="19"/>
    </row>
    <row r="922" ht="15.75" customHeight="1">
      <c r="B922" s="19"/>
    </row>
    <row r="923" ht="15.75" customHeight="1">
      <c r="B923" s="19"/>
    </row>
    <row r="924" ht="15.75" customHeight="1">
      <c r="B924" s="19"/>
    </row>
    <row r="925" ht="15.75" customHeight="1">
      <c r="B925" s="19"/>
    </row>
    <row r="926" ht="15.75" customHeight="1">
      <c r="B926" s="19"/>
    </row>
    <row r="927" ht="15.75" customHeight="1">
      <c r="B927" s="19"/>
    </row>
    <row r="928" ht="15.75" customHeight="1">
      <c r="B928" s="19"/>
    </row>
    <row r="929" ht="15.75" customHeight="1">
      <c r="B929" s="19"/>
    </row>
    <row r="930" ht="15.75" customHeight="1">
      <c r="B930" s="19"/>
    </row>
    <row r="931" ht="15.75" customHeight="1">
      <c r="B931" s="19"/>
    </row>
    <row r="932" ht="15.75" customHeight="1">
      <c r="B932" s="19"/>
    </row>
    <row r="933" ht="15.75" customHeight="1">
      <c r="B933" s="19"/>
    </row>
    <row r="934" ht="15.75" customHeight="1">
      <c r="B934" s="19"/>
    </row>
    <row r="935" ht="15.75" customHeight="1">
      <c r="B935" s="19"/>
    </row>
    <row r="936" ht="15.75" customHeight="1">
      <c r="B936" s="19"/>
    </row>
    <row r="937" ht="15.75" customHeight="1">
      <c r="B937" s="19"/>
    </row>
    <row r="938" ht="15.75" customHeight="1">
      <c r="B938" s="19"/>
    </row>
    <row r="939" ht="15.75" customHeight="1">
      <c r="B939" s="19"/>
    </row>
    <row r="940" ht="15.75" customHeight="1">
      <c r="B940" s="19"/>
    </row>
    <row r="941" ht="15.75" customHeight="1">
      <c r="B941" s="19"/>
    </row>
    <row r="942" ht="15.75" customHeight="1">
      <c r="B942" s="19"/>
    </row>
    <row r="943" ht="15.75" customHeight="1">
      <c r="B943" s="19"/>
    </row>
    <row r="944" ht="15.75" customHeight="1">
      <c r="B944" s="19"/>
    </row>
    <row r="945" ht="15.75" customHeight="1">
      <c r="B945" s="19"/>
    </row>
    <row r="946" ht="15.75" customHeight="1">
      <c r="B946" s="19"/>
    </row>
    <row r="947" ht="15.75" customHeight="1">
      <c r="B947" s="19"/>
    </row>
    <row r="948" ht="15.75" customHeight="1">
      <c r="B948" s="19"/>
    </row>
    <row r="949" ht="15.75" customHeight="1">
      <c r="B949" s="19"/>
    </row>
    <row r="950" ht="15.75" customHeight="1">
      <c r="B950" s="19"/>
    </row>
    <row r="951" ht="15.75" customHeight="1">
      <c r="B951" s="19"/>
    </row>
    <row r="952" ht="15.75" customHeight="1">
      <c r="B952" s="19"/>
    </row>
    <row r="953" ht="15.75" customHeight="1">
      <c r="B953" s="19"/>
    </row>
    <row r="954" ht="15.75" customHeight="1">
      <c r="B954" s="19"/>
    </row>
    <row r="955" ht="15.75" customHeight="1">
      <c r="B955" s="19"/>
    </row>
    <row r="956" ht="15.75" customHeight="1">
      <c r="B956" s="19"/>
    </row>
    <row r="957" ht="15.75" customHeight="1">
      <c r="B957" s="19"/>
    </row>
    <row r="958" ht="15.75" customHeight="1">
      <c r="B958" s="19"/>
    </row>
    <row r="959" ht="15.75" customHeight="1">
      <c r="B959" s="19"/>
    </row>
    <row r="960" ht="15.75" customHeight="1">
      <c r="B960" s="19"/>
    </row>
    <row r="961" ht="15.75" customHeight="1">
      <c r="B961" s="19"/>
    </row>
    <row r="962" ht="15.75" customHeight="1">
      <c r="B962" s="19"/>
    </row>
    <row r="963" ht="15.75" customHeight="1">
      <c r="B963" s="19"/>
    </row>
    <row r="964" ht="15.75" customHeight="1">
      <c r="B964" s="19"/>
    </row>
    <row r="965" ht="15.75" customHeight="1">
      <c r="B965" s="19"/>
    </row>
    <row r="966" ht="15.75" customHeight="1">
      <c r="B966" s="19"/>
    </row>
    <row r="967" ht="15.75" customHeight="1">
      <c r="B967" s="19"/>
    </row>
    <row r="968" ht="15.75" customHeight="1">
      <c r="B968" s="19"/>
    </row>
    <row r="969" ht="15.75" customHeight="1">
      <c r="B969" s="19"/>
    </row>
    <row r="970" ht="15.75" customHeight="1">
      <c r="B970" s="19"/>
    </row>
    <row r="971" ht="15.75" customHeight="1">
      <c r="B971" s="19"/>
    </row>
    <row r="972" ht="15.75" customHeight="1">
      <c r="B972" s="19"/>
    </row>
    <row r="973" ht="15.75" customHeight="1">
      <c r="B973" s="19"/>
    </row>
    <row r="974" ht="15.75" customHeight="1">
      <c r="B974" s="19"/>
    </row>
    <row r="975" ht="15.75" customHeight="1">
      <c r="B975" s="19"/>
    </row>
    <row r="976" ht="15.75" customHeight="1">
      <c r="B976" s="19"/>
    </row>
    <row r="977" ht="15.75" customHeight="1">
      <c r="B977" s="19"/>
    </row>
    <row r="978" ht="15.75" customHeight="1">
      <c r="B978" s="19"/>
    </row>
    <row r="979" ht="15.75" customHeight="1">
      <c r="B979" s="19"/>
    </row>
    <row r="980" ht="15.75" customHeight="1">
      <c r="B980" s="19"/>
    </row>
    <row r="981" ht="15.75" customHeight="1">
      <c r="B981" s="19"/>
    </row>
    <row r="982" ht="15.75" customHeight="1">
      <c r="B982" s="19"/>
    </row>
    <row r="983" ht="15.75" customHeight="1">
      <c r="B983" s="19"/>
    </row>
    <row r="984" ht="15.75" customHeight="1">
      <c r="B984" s="19"/>
    </row>
    <row r="985" ht="15.75" customHeight="1">
      <c r="B985" s="19"/>
    </row>
    <row r="986" ht="15.75" customHeight="1">
      <c r="B986" s="19"/>
    </row>
    <row r="987" ht="15.75" customHeight="1">
      <c r="B987" s="19"/>
    </row>
    <row r="988" ht="15.75" customHeight="1">
      <c r="B988" s="19"/>
    </row>
    <row r="989" ht="15.75" customHeight="1">
      <c r="B989" s="19"/>
    </row>
    <row r="990" ht="15.75" customHeight="1">
      <c r="B990" s="19"/>
    </row>
    <row r="991" ht="15.75" customHeight="1">
      <c r="B991" s="19"/>
    </row>
    <row r="992" ht="15.75" customHeight="1">
      <c r="B992" s="19"/>
    </row>
    <row r="993" ht="15.75" customHeight="1">
      <c r="B993" s="19"/>
    </row>
    <row r="994" ht="15.75" customHeight="1">
      <c r="B994" s="19"/>
    </row>
    <row r="995" ht="15.75" customHeight="1">
      <c r="B995" s="19"/>
    </row>
    <row r="996" ht="15.75" customHeight="1">
      <c r="B996" s="19"/>
    </row>
    <row r="997" ht="15.75" customHeight="1">
      <c r="B997" s="19"/>
    </row>
    <row r="998" ht="15.75" customHeight="1">
      <c r="B998" s="19"/>
    </row>
    <row r="999" ht="15.75" customHeight="1">
      <c r="B999" s="19"/>
    </row>
    <row r="1000" ht="15.75" customHeight="1">
      <c r="B1000" s="19"/>
    </row>
  </sheetData>
  <mergeCells count="4">
    <mergeCell ref="A1:B1"/>
    <mergeCell ref="B14:B16"/>
    <mergeCell ref="B18:B20"/>
    <mergeCell ref="B22:B2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 ht="12.7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2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2.7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2.7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2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2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2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2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2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2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1.38"/>
    <col customWidth="1" min="5" max="26" width="8.63"/>
  </cols>
  <sheetData>
    <row r="1" ht="12.75" customHeight="1">
      <c r="A1" s="20" t="s">
        <v>44</v>
      </c>
      <c r="B1" s="20"/>
      <c r="C1" s="20"/>
      <c r="D1" s="20"/>
      <c r="E1" s="20"/>
    </row>
    <row r="2" ht="13.5" customHeight="1">
      <c r="A2" s="20" t="s">
        <v>45</v>
      </c>
      <c r="B2" s="20" t="s">
        <v>46</v>
      </c>
      <c r="C2" s="20" t="s">
        <v>47</v>
      </c>
      <c r="D2" s="20" t="s">
        <v>48</v>
      </c>
      <c r="E2" s="20" t="s">
        <v>49</v>
      </c>
      <c r="P2" s="20">
        <v>5.0</v>
      </c>
      <c r="Q2" s="25" t="s">
        <v>50</v>
      </c>
      <c r="R2" s="26"/>
      <c r="S2" s="26"/>
      <c r="T2" s="26"/>
      <c r="U2" s="27"/>
      <c r="V2" s="12" t="s">
        <v>51</v>
      </c>
    </row>
    <row r="3" ht="12.75" customHeight="1">
      <c r="A3" s="28">
        <v>90.0</v>
      </c>
      <c r="B3" s="28">
        <v>10.0</v>
      </c>
      <c r="C3" s="28">
        <f t="shared" ref="C3:C26" si="1">90-B3</f>
        <v>80</v>
      </c>
      <c r="D3" s="28">
        <v>20.0</v>
      </c>
      <c r="E3" s="28">
        <v>43.16911861358277</v>
      </c>
      <c r="Q3" s="29"/>
      <c r="U3" s="30"/>
    </row>
    <row r="4" ht="12.75" customHeight="1">
      <c r="A4" s="28">
        <v>90.0</v>
      </c>
      <c r="B4" s="28">
        <v>20.0</v>
      </c>
      <c r="C4" s="28">
        <f t="shared" si="1"/>
        <v>70</v>
      </c>
      <c r="D4" s="28">
        <v>20.0</v>
      </c>
      <c r="E4" s="28">
        <v>45.634255282231535</v>
      </c>
      <c r="Q4" s="29"/>
      <c r="U4" s="30"/>
    </row>
    <row r="5" ht="12.75" customHeight="1">
      <c r="A5" s="28">
        <v>90.0</v>
      </c>
      <c r="B5" s="28">
        <v>30.0</v>
      </c>
      <c r="C5" s="28">
        <f t="shared" si="1"/>
        <v>60</v>
      </c>
      <c r="D5" s="28">
        <v>20.0</v>
      </c>
      <c r="E5" s="28">
        <v>47.320508075688764</v>
      </c>
      <c r="Q5" s="29"/>
      <c r="U5" s="30"/>
    </row>
    <row r="6" ht="12.75" customHeight="1">
      <c r="A6" s="28">
        <v>90.0</v>
      </c>
      <c r="B6" s="28">
        <v>40.0</v>
      </c>
      <c r="C6" s="28">
        <f t="shared" si="1"/>
        <v>50</v>
      </c>
      <c r="D6" s="28">
        <v>20.0</v>
      </c>
      <c r="E6" s="28">
        <v>48.17664105611034</v>
      </c>
      <c r="Q6" s="31"/>
      <c r="R6" s="32"/>
      <c r="S6" s="32"/>
      <c r="T6" s="32"/>
      <c r="U6" s="33"/>
    </row>
    <row r="7" ht="12.75" customHeight="1">
      <c r="A7" s="28">
        <v>90.0</v>
      </c>
      <c r="B7" s="28">
        <v>50.0</v>
      </c>
      <c r="C7" s="28">
        <f t="shared" si="1"/>
        <v>40</v>
      </c>
      <c r="D7" s="28">
        <v>20.0</v>
      </c>
      <c r="E7" s="28">
        <v>48.17664105611034</v>
      </c>
    </row>
    <row r="8" ht="12.75" customHeight="1">
      <c r="A8" s="28">
        <v>90.0</v>
      </c>
      <c r="B8" s="28">
        <v>60.0</v>
      </c>
      <c r="C8" s="28">
        <f t="shared" si="1"/>
        <v>30</v>
      </c>
      <c r="D8" s="28">
        <v>20.0</v>
      </c>
      <c r="E8" s="28">
        <v>47.320508075688764</v>
      </c>
    </row>
    <row r="9" ht="12.75" customHeight="1">
      <c r="A9" s="28">
        <v>90.0</v>
      </c>
      <c r="B9" s="28">
        <v>70.0</v>
      </c>
      <c r="C9" s="28">
        <f t="shared" si="1"/>
        <v>20</v>
      </c>
      <c r="D9" s="28">
        <v>20.0</v>
      </c>
      <c r="E9" s="28">
        <v>45.63425528223155</v>
      </c>
    </row>
    <row r="10" ht="12.75" customHeight="1">
      <c r="A10" s="28">
        <v>90.0</v>
      </c>
      <c r="B10" s="28">
        <v>80.0</v>
      </c>
      <c r="C10" s="28">
        <f t="shared" si="1"/>
        <v>10</v>
      </c>
      <c r="D10" s="28">
        <v>20.0</v>
      </c>
      <c r="E10" s="28">
        <v>43.169118613582775</v>
      </c>
    </row>
    <row r="11" ht="12.75" customHeight="1">
      <c r="A11" s="28">
        <v>90.0</v>
      </c>
      <c r="B11" s="28">
        <v>10.0</v>
      </c>
      <c r="C11" s="28">
        <f t="shared" si="1"/>
        <v>80</v>
      </c>
      <c r="D11" s="28">
        <v>30.0</v>
      </c>
      <c r="E11" s="28">
        <v>64.75367792037414</v>
      </c>
    </row>
    <row r="12" ht="12.75" customHeight="1">
      <c r="A12" s="28">
        <v>90.0</v>
      </c>
      <c r="B12" s="28">
        <v>20.0</v>
      </c>
      <c r="C12" s="28">
        <f t="shared" si="1"/>
        <v>70</v>
      </c>
      <c r="D12" s="28">
        <v>30.0</v>
      </c>
      <c r="E12" s="28">
        <v>68.4513829233473</v>
      </c>
    </row>
    <row r="13" ht="12.75" customHeight="1">
      <c r="A13" s="28">
        <v>90.0</v>
      </c>
      <c r="B13" s="28">
        <v>30.0</v>
      </c>
      <c r="C13" s="28">
        <f t="shared" si="1"/>
        <v>60</v>
      </c>
      <c r="D13" s="28">
        <v>30.0</v>
      </c>
      <c r="E13" s="28">
        <v>70.98076211353315</v>
      </c>
    </row>
    <row r="14" ht="12.75" customHeight="1">
      <c r="A14" s="28">
        <v>90.0</v>
      </c>
      <c r="B14" s="28">
        <v>40.0</v>
      </c>
      <c r="C14" s="28">
        <f t="shared" si="1"/>
        <v>50</v>
      </c>
      <c r="D14" s="28">
        <v>30.0</v>
      </c>
      <c r="E14" s="28">
        <v>72.26496158416552</v>
      </c>
    </row>
    <row r="15" ht="12.75" customHeight="1">
      <c r="A15" s="28">
        <v>90.0</v>
      </c>
      <c r="B15" s="28">
        <v>50.0</v>
      </c>
      <c r="C15" s="28">
        <f t="shared" si="1"/>
        <v>40</v>
      </c>
      <c r="D15" s="28">
        <v>30.0</v>
      </c>
      <c r="E15" s="28">
        <v>72.26496158416552</v>
      </c>
    </row>
    <row r="16" ht="12.75" customHeight="1">
      <c r="A16" s="28">
        <v>90.0</v>
      </c>
      <c r="B16" s="28">
        <v>60.0</v>
      </c>
      <c r="C16" s="28">
        <f t="shared" si="1"/>
        <v>30</v>
      </c>
      <c r="D16" s="28">
        <v>30.0</v>
      </c>
      <c r="E16" s="28">
        <v>70.98076211353315</v>
      </c>
    </row>
    <row r="17" ht="12.75" customHeight="1">
      <c r="A17" s="28">
        <v>90.0</v>
      </c>
      <c r="B17" s="28">
        <v>70.0</v>
      </c>
      <c r="C17" s="28">
        <f t="shared" si="1"/>
        <v>20</v>
      </c>
      <c r="D17" s="28">
        <v>30.0</v>
      </c>
      <c r="E17" s="28">
        <v>68.45138292334732</v>
      </c>
    </row>
    <row r="18" ht="12.75" customHeight="1">
      <c r="A18" s="28">
        <v>90.0</v>
      </c>
      <c r="B18" s="28">
        <v>80.0</v>
      </c>
      <c r="C18" s="28">
        <f t="shared" si="1"/>
        <v>10</v>
      </c>
      <c r="D18" s="28">
        <v>30.0</v>
      </c>
      <c r="E18" s="28">
        <v>64.75367792037416</v>
      </c>
    </row>
    <row r="19" ht="12.75" customHeight="1">
      <c r="A19" s="28">
        <v>90.0</v>
      </c>
      <c r="B19" s="28">
        <v>10.0</v>
      </c>
      <c r="C19" s="28">
        <f t="shared" si="1"/>
        <v>80</v>
      </c>
      <c r="D19" s="28">
        <v>40.0</v>
      </c>
      <c r="E19" s="28">
        <v>86.33823722716554</v>
      </c>
    </row>
    <row r="20" ht="12.75" customHeight="1">
      <c r="A20" s="28">
        <v>90.0</v>
      </c>
      <c r="B20" s="28">
        <v>20.0</v>
      </c>
      <c r="C20" s="28">
        <f t="shared" si="1"/>
        <v>70</v>
      </c>
      <c r="D20" s="28">
        <v>40.0</v>
      </c>
      <c r="E20" s="28">
        <v>91.26851056446307</v>
      </c>
    </row>
    <row r="21" ht="12.75" customHeight="1">
      <c r="A21" s="28">
        <v>90.0</v>
      </c>
      <c r="B21" s="28">
        <v>30.0</v>
      </c>
      <c r="C21" s="28">
        <f t="shared" si="1"/>
        <v>60</v>
      </c>
      <c r="D21" s="28">
        <v>40.0</v>
      </c>
      <c r="E21" s="28">
        <v>94.64101615137753</v>
      </c>
    </row>
    <row r="22" ht="12.75" customHeight="1">
      <c r="A22" s="28">
        <v>90.0</v>
      </c>
      <c r="B22" s="28">
        <v>40.0</v>
      </c>
      <c r="C22" s="28">
        <f t="shared" si="1"/>
        <v>50</v>
      </c>
      <c r="D22" s="28">
        <v>40.0</v>
      </c>
      <c r="E22" s="28">
        <v>96.35328211222068</v>
      </c>
    </row>
    <row r="23" ht="12.75" customHeight="1">
      <c r="A23" s="28">
        <v>90.0</v>
      </c>
      <c r="B23" s="28">
        <v>50.0</v>
      </c>
      <c r="C23" s="28">
        <f t="shared" si="1"/>
        <v>40</v>
      </c>
      <c r="D23" s="28">
        <v>40.0</v>
      </c>
      <c r="E23" s="28">
        <v>96.35328211222068</v>
      </c>
    </row>
    <row r="24" ht="12.75" customHeight="1">
      <c r="A24" s="28">
        <v>90.0</v>
      </c>
      <c r="B24" s="28">
        <v>60.0</v>
      </c>
      <c r="C24" s="28">
        <f t="shared" si="1"/>
        <v>30</v>
      </c>
      <c r="D24" s="28">
        <v>40.0</v>
      </c>
      <c r="E24" s="28">
        <v>94.64101615137753</v>
      </c>
    </row>
    <row r="25" ht="12.75" customHeight="1">
      <c r="A25" s="28">
        <v>90.0</v>
      </c>
      <c r="B25" s="28">
        <v>70.0</v>
      </c>
      <c r="C25" s="28">
        <f t="shared" si="1"/>
        <v>20</v>
      </c>
      <c r="D25" s="28">
        <v>40.0</v>
      </c>
      <c r="E25" s="28">
        <v>91.2685105644631</v>
      </c>
    </row>
    <row r="26" ht="12.75" customHeight="1">
      <c r="A26" s="28">
        <v>90.0</v>
      </c>
      <c r="B26" s="28">
        <v>80.0</v>
      </c>
      <c r="C26" s="28">
        <f t="shared" si="1"/>
        <v>10</v>
      </c>
      <c r="D26" s="28">
        <v>40.0</v>
      </c>
      <c r="E26" s="28">
        <v>86.33823722716555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Q2:U6"/>
  </mergeCells>
  <printOptions/>
  <pageMargins bottom="0.75" footer="0.0" header="0.0" left="0.25" right="0.25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0.38"/>
    <col customWidth="1" min="5" max="5" width="10.75"/>
    <col customWidth="1" min="6" max="26" width="8.63"/>
  </cols>
  <sheetData>
    <row r="1" ht="12.75" customHeight="1">
      <c r="A1" s="20" t="s">
        <v>52</v>
      </c>
      <c r="B1" s="20"/>
      <c r="C1" s="20"/>
      <c r="D1" s="20"/>
      <c r="E1" s="20"/>
    </row>
    <row r="2" ht="12.75" customHeight="1">
      <c r="A2" s="34" t="s">
        <v>45</v>
      </c>
      <c r="B2" s="34" t="s">
        <v>46</v>
      </c>
      <c r="C2" s="34" t="s">
        <v>47</v>
      </c>
      <c r="D2" s="34" t="s">
        <v>48</v>
      </c>
      <c r="E2" s="34" t="s">
        <v>53</v>
      </c>
    </row>
    <row r="3" ht="13.5" customHeight="1">
      <c r="A3" s="28">
        <v>90.0</v>
      </c>
      <c r="B3" s="28">
        <v>10.0</v>
      </c>
      <c r="C3" s="28">
        <f t="shared" ref="C3:C26" si="1">90-B3</f>
        <v>80</v>
      </c>
      <c r="D3" s="28">
        <v>20.0</v>
      </c>
      <c r="E3" s="28">
        <v>34.20201433256687</v>
      </c>
      <c r="S3" s="20">
        <v>6.0</v>
      </c>
      <c r="T3" s="25" t="s">
        <v>54</v>
      </c>
      <c r="U3" s="26"/>
      <c r="V3" s="27"/>
      <c r="W3" s="12" t="s">
        <v>41</v>
      </c>
    </row>
    <row r="4" ht="12.75" customHeight="1">
      <c r="A4" s="28">
        <v>90.0</v>
      </c>
      <c r="B4" s="28">
        <v>20.0</v>
      </c>
      <c r="C4" s="28">
        <f t="shared" si="1"/>
        <v>70</v>
      </c>
      <c r="D4" s="28">
        <v>20.0</v>
      </c>
      <c r="E4" s="28">
        <v>64.27876096865391</v>
      </c>
      <c r="T4" s="29"/>
      <c r="V4" s="30"/>
    </row>
    <row r="5" ht="12.75" customHeight="1">
      <c r="A5" s="28">
        <v>90.0</v>
      </c>
      <c r="B5" s="28">
        <v>30.0</v>
      </c>
      <c r="C5" s="28">
        <f t="shared" si="1"/>
        <v>60</v>
      </c>
      <c r="D5" s="28">
        <v>20.0</v>
      </c>
      <c r="E5" s="28">
        <v>86.60254037844385</v>
      </c>
      <c r="T5" s="29"/>
      <c r="V5" s="30"/>
    </row>
    <row r="6" ht="12.75" customHeight="1">
      <c r="A6" s="28">
        <v>90.0</v>
      </c>
      <c r="B6" s="28">
        <v>40.0</v>
      </c>
      <c r="C6" s="28">
        <f t="shared" si="1"/>
        <v>50</v>
      </c>
      <c r="D6" s="28">
        <v>20.0</v>
      </c>
      <c r="E6" s="28">
        <v>98.48077530122079</v>
      </c>
      <c r="T6" s="31"/>
      <c r="U6" s="32"/>
      <c r="V6" s="33"/>
    </row>
    <row r="7" ht="12.75" customHeight="1">
      <c r="A7" s="28">
        <v>90.0</v>
      </c>
      <c r="B7" s="28">
        <v>50.0</v>
      </c>
      <c r="C7" s="28">
        <f t="shared" si="1"/>
        <v>40</v>
      </c>
      <c r="D7" s="28">
        <v>20.0</v>
      </c>
      <c r="E7" s="28">
        <v>98.4807753012208</v>
      </c>
    </row>
    <row r="8" ht="12.75" customHeight="1">
      <c r="A8" s="28">
        <v>90.0</v>
      </c>
      <c r="B8" s="28">
        <v>60.0</v>
      </c>
      <c r="C8" s="28">
        <f t="shared" si="1"/>
        <v>30</v>
      </c>
      <c r="D8" s="28">
        <v>20.0</v>
      </c>
      <c r="E8" s="28">
        <v>86.60254037844385</v>
      </c>
    </row>
    <row r="9" ht="12.75" customHeight="1">
      <c r="A9" s="28">
        <v>90.0</v>
      </c>
      <c r="B9" s="28">
        <v>70.0</v>
      </c>
      <c r="C9" s="28">
        <f t="shared" si="1"/>
        <v>20</v>
      </c>
      <c r="D9" s="28">
        <v>20.0</v>
      </c>
      <c r="E9" s="28">
        <v>64.27876096865393</v>
      </c>
    </row>
    <row r="10" ht="12.75" customHeight="1">
      <c r="A10" s="28">
        <v>90.0</v>
      </c>
      <c r="B10" s="28">
        <v>80.0</v>
      </c>
      <c r="C10" s="28">
        <f t="shared" si="1"/>
        <v>10</v>
      </c>
      <c r="D10" s="28">
        <v>20.0</v>
      </c>
      <c r="E10" s="28">
        <v>34.20201433256687</v>
      </c>
    </row>
    <row r="11" ht="12.75" customHeight="1">
      <c r="A11" s="28">
        <v>90.0</v>
      </c>
      <c r="B11" s="28">
        <v>10.0</v>
      </c>
      <c r="C11" s="28">
        <f t="shared" si="1"/>
        <v>80</v>
      </c>
      <c r="D11" s="28">
        <v>30.0</v>
      </c>
      <c r="E11" s="12">
        <v>76.95453224827546</v>
      </c>
    </row>
    <row r="12" ht="12.75" customHeight="1">
      <c r="A12" s="28">
        <v>90.0</v>
      </c>
      <c r="B12" s="28">
        <v>20.0</v>
      </c>
      <c r="C12" s="28">
        <f t="shared" si="1"/>
        <v>70</v>
      </c>
      <c r="D12" s="28">
        <v>30.0</v>
      </c>
      <c r="E12" s="12">
        <v>144.62721217947131</v>
      </c>
    </row>
    <row r="13" ht="12.75" customHeight="1">
      <c r="A13" s="28">
        <v>90.0</v>
      </c>
      <c r="B13" s="28">
        <v>30.0</v>
      </c>
      <c r="C13" s="28">
        <f t="shared" si="1"/>
        <v>60</v>
      </c>
      <c r="D13" s="28">
        <v>30.0</v>
      </c>
      <c r="E13" s="12">
        <v>194.85571585149867</v>
      </c>
    </row>
    <row r="14" ht="12.75" customHeight="1">
      <c r="A14" s="28">
        <v>90.0</v>
      </c>
      <c r="B14" s="28">
        <v>40.0</v>
      </c>
      <c r="C14" s="28">
        <f t="shared" si="1"/>
        <v>50</v>
      </c>
      <c r="D14" s="28">
        <v>30.0</v>
      </c>
      <c r="E14" s="12">
        <v>221.5817444277468</v>
      </c>
    </row>
    <row r="15" ht="12.75" customHeight="1">
      <c r="A15" s="28">
        <v>90.0</v>
      </c>
      <c r="B15" s="28">
        <v>50.0</v>
      </c>
      <c r="C15" s="28">
        <f t="shared" si="1"/>
        <v>40</v>
      </c>
      <c r="D15" s="28">
        <v>30.0</v>
      </c>
      <c r="E15" s="12">
        <v>221.58174442774686</v>
      </c>
    </row>
    <row r="16" ht="12.75" customHeight="1">
      <c r="A16" s="28">
        <v>90.0</v>
      </c>
      <c r="B16" s="28">
        <v>60.0</v>
      </c>
      <c r="C16" s="28">
        <f t="shared" si="1"/>
        <v>30</v>
      </c>
      <c r="D16" s="28">
        <v>30.0</v>
      </c>
      <c r="E16" s="12">
        <v>194.85571585149867</v>
      </c>
    </row>
    <row r="17" ht="12.75" customHeight="1">
      <c r="A17" s="28">
        <v>90.0</v>
      </c>
      <c r="B17" s="28">
        <v>70.0</v>
      </c>
      <c r="C17" s="28">
        <f t="shared" si="1"/>
        <v>20</v>
      </c>
      <c r="D17" s="28">
        <v>30.0</v>
      </c>
      <c r="E17" s="12">
        <v>144.62721217947131</v>
      </c>
    </row>
    <row r="18" ht="12.75" customHeight="1">
      <c r="A18" s="28">
        <v>90.0</v>
      </c>
      <c r="B18" s="28">
        <v>80.0</v>
      </c>
      <c r="C18" s="28">
        <f t="shared" si="1"/>
        <v>10</v>
      </c>
      <c r="D18" s="28">
        <v>30.0</v>
      </c>
      <c r="E18" s="12">
        <v>76.95453224827546</v>
      </c>
    </row>
    <row r="19" ht="12.75" customHeight="1">
      <c r="A19" s="28">
        <v>90.0</v>
      </c>
      <c r="B19" s="28">
        <v>10.0</v>
      </c>
      <c r="C19" s="28">
        <f t="shared" si="1"/>
        <v>80</v>
      </c>
      <c r="D19" s="28">
        <v>40.0</v>
      </c>
      <c r="E19" s="12">
        <v>136.80805733026745</v>
      </c>
    </row>
    <row r="20" ht="12.75" customHeight="1">
      <c r="A20" s="28">
        <v>90.0</v>
      </c>
      <c r="B20" s="28">
        <v>20.0</v>
      </c>
      <c r="C20" s="28">
        <f t="shared" si="1"/>
        <v>70</v>
      </c>
      <c r="D20" s="28">
        <v>40.0</v>
      </c>
      <c r="E20" s="12">
        <v>257.1150438746157</v>
      </c>
    </row>
    <row r="21" ht="12.75" customHeight="1">
      <c r="A21" s="28">
        <v>90.0</v>
      </c>
      <c r="B21" s="28">
        <v>30.0</v>
      </c>
      <c r="C21" s="28">
        <f t="shared" si="1"/>
        <v>60</v>
      </c>
      <c r="D21" s="28">
        <v>40.0</v>
      </c>
      <c r="E21" s="12">
        <v>346.4101615137754</v>
      </c>
    </row>
    <row r="22" ht="12.75" customHeight="1">
      <c r="A22" s="28">
        <v>90.0</v>
      </c>
      <c r="B22" s="28">
        <v>40.0</v>
      </c>
      <c r="C22" s="28">
        <f t="shared" si="1"/>
        <v>50</v>
      </c>
      <c r="D22" s="28">
        <v>40.0</v>
      </c>
      <c r="E22" s="12">
        <v>393.92310120488315</v>
      </c>
    </row>
    <row r="23" ht="12.75" customHeight="1">
      <c r="A23" s="28">
        <v>90.0</v>
      </c>
      <c r="B23" s="28">
        <v>50.0</v>
      </c>
      <c r="C23" s="28">
        <f t="shared" si="1"/>
        <v>40</v>
      </c>
      <c r="D23" s="28">
        <v>40.0</v>
      </c>
      <c r="E23" s="12">
        <v>393.92310120488327</v>
      </c>
    </row>
    <row r="24" ht="12.75" customHeight="1">
      <c r="A24" s="28">
        <v>90.0</v>
      </c>
      <c r="B24" s="28">
        <v>60.0</v>
      </c>
      <c r="C24" s="28">
        <f t="shared" si="1"/>
        <v>30</v>
      </c>
      <c r="D24" s="28">
        <v>40.0</v>
      </c>
      <c r="E24" s="12">
        <v>346.4101615137754</v>
      </c>
    </row>
    <row r="25" ht="12.75" customHeight="1">
      <c r="A25" s="28">
        <v>90.0</v>
      </c>
      <c r="B25" s="28">
        <v>70.0</v>
      </c>
      <c r="C25" s="28">
        <f t="shared" si="1"/>
        <v>20</v>
      </c>
      <c r="D25" s="28">
        <v>40.0</v>
      </c>
      <c r="E25" s="12">
        <v>257.1150438746157</v>
      </c>
    </row>
    <row r="26" ht="12.75" customHeight="1">
      <c r="A26" s="28">
        <v>90.0</v>
      </c>
      <c r="B26" s="28">
        <v>80.0</v>
      </c>
      <c r="C26" s="28">
        <f t="shared" si="1"/>
        <v>10</v>
      </c>
      <c r="D26" s="28">
        <v>40.0</v>
      </c>
      <c r="E26" s="12">
        <v>136.80805733026745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T3:V6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24.38"/>
    <col customWidth="1" min="3" max="3" width="10.0"/>
    <col customWidth="1" min="4" max="4" width="11.25"/>
    <col customWidth="1" min="5" max="5" width="14.13"/>
    <col customWidth="1" min="6" max="6" width="14.63"/>
    <col customWidth="1" min="7" max="7" width="16.0"/>
    <col customWidth="1" min="8" max="8" width="14.0"/>
    <col customWidth="1" min="9" max="9" width="12.25"/>
    <col customWidth="1" min="10" max="10" width="14.0"/>
    <col customWidth="1" min="11" max="11" width="21.88"/>
    <col customWidth="1" min="12" max="12" width="5.0"/>
    <col customWidth="1" min="13" max="26" width="9.13"/>
  </cols>
  <sheetData>
    <row r="1" ht="15.0" customHeight="1">
      <c r="A1" s="34" t="s">
        <v>55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0" customHeight="1">
      <c r="A2" s="34" t="s">
        <v>56</v>
      </c>
      <c r="B2" s="34" t="s">
        <v>57</v>
      </c>
      <c r="C2" s="34" t="s">
        <v>58</v>
      </c>
      <c r="D2" s="34" t="s">
        <v>59</v>
      </c>
      <c r="E2" s="34" t="s">
        <v>60</v>
      </c>
      <c r="F2" s="34" t="s">
        <v>61</v>
      </c>
      <c r="G2" s="34" t="s">
        <v>62</v>
      </c>
      <c r="H2" s="34" t="s">
        <v>63</v>
      </c>
      <c r="I2" s="34" t="s">
        <v>64</v>
      </c>
      <c r="J2" s="34" t="s">
        <v>65</v>
      </c>
      <c r="K2" s="35" t="s">
        <v>66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0" customHeight="1">
      <c r="A3" s="28">
        <v>89.0</v>
      </c>
      <c r="B3" s="36">
        <f t="shared" ref="B3:B70" si="1">(180-A3)/2</f>
        <v>45.5</v>
      </c>
      <c r="C3" s="36">
        <f t="shared" ref="C3:C70" si="2">SQRT((D3+E3+F3)/2*((D3+E3+F3)/2-D3)*((D3+E3+F3)/2-E3)*((D3+E3+F3)/2-F3))</f>
        <v>30.78262364</v>
      </c>
      <c r="D3" s="28">
        <v>11.0</v>
      </c>
      <c r="E3" s="28">
        <v>7.846950069199092</v>
      </c>
      <c r="F3" s="28">
        <v>7.846950069199092</v>
      </c>
      <c r="G3" s="28">
        <f t="shared" ref="G3:G70" si="3">SUM(D3,F3,E3)</f>
        <v>26.69390014</v>
      </c>
      <c r="H3" s="36">
        <f t="shared" ref="H3:H70" si="4">SQRT(E3*E3-D3*D3/4)</f>
        <v>5.596840661</v>
      </c>
      <c r="I3" s="36" t="str">
        <f t="shared" ref="I3:I70" si="5">IF(A3&gt;90,"platleņķa","cits")</f>
        <v>cits</v>
      </c>
      <c r="J3" s="36">
        <f>COUNT(A3:A70)</f>
        <v>68</v>
      </c>
      <c r="K3" s="36">
        <f>MAX(A3:A70)</f>
        <v>130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0" customHeight="1">
      <c r="A4" s="28">
        <v>124.0</v>
      </c>
      <c r="B4" s="36">
        <f t="shared" si="1"/>
        <v>28</v>
      </c>
      <c r="C4" s="36">
        <f t="shared" si="2"/>
        <v>16.08421031</v>
      </c>
      <c r="D4" s="28">
        <v>11.0</v>
      </c>
      <c r="E4" s="28">
        <v>6.229135278789716</v>
      </c>
      <c r="F4" s="28">
        <v>6.229135278789716</v>
      </c>
      <c r="G4" s="28">
        <f t="shared" si="3"/>
        <v>23.45827056</v>
      </c>
      <c r="H4" s="36">
        <f t="shared" si="4"/>
        <v>2.924401874</v>
      </c>
      <c r="I4" s="36" t="str">
        <f t="shared" si="5"/>
        <v>platleņķa</v>
      </c>
      <c r="J4" s="28"/>
      <c r="K4" s="28"/>
      <c r="L4" s="37">
        <v>7.0</v>
      </c>
      <c r="M4" s="25" t="s">
        <v>67</v>
      </c>
      <c r="N4" s="26"/>
      <c r="O4" s="26"/>
      <c r="P4" s="26"/>
      <c r="Q4" s="26"/>
      <c r="R4" s="27"/>
      <c r="S4" s="28" t="s">
        <v>41</v>
      </c>
      <c r="T4" s="28"/>
      <c r="U4" s="28"/>
      <c r="V4" s="28"/>
      <c r="W4" s="28"/>
      <c r="X4" s="28"/>
      <c r="Y4" s="28"/>
      <c r="Z4" s="28"/>
    </row>
    <row r="5" ht="15.0" customHeight="1">
      <c r="A5" s="28">
        <v>39.0</v>
      </c>
      <c r="B5" s="36">
        <f t="shared" si="1"/>
        <v>70.5</v>
      </c>
      <c r="C5" s="36">
        <f t="shared" si="2"/>
        <v>101.6608639</v>
      </c>
      <c r="D5" s="28">
        <v>12.0</v>
      </c>
      <c r="E5" s="28">
        <v>17.974465874585558</v>
      </c>
      <c r="F5" s="28">
        <v>17.974465874585558</v>
      </c>
      <c r="G5" s="28">
        <f t="shared" si="3"/>
        <v>47.94893175</v>
      </c>
      <c r="H5" s="36">
        <f t="shared" si="4"/>
        <v>16.94347731</v>
      </c>
      <c r="I5" s="36" t="str">
        <f t="shared" si="5"/>
        <v>cits</v>
      </c>
      <c r="J5" s="28"/>
      <c r="K5" s="28"/>
      <c r="L5" s="37"/>
      <c r="M5" s="31"/>
      <c r="N5" s="32"/>
      <c r="O5" s="32"/>
      <c r="P5" s="32"/>
      <c r="Q5" s="32"/>
      <c r="R5" s="33"/>
      <c r="S5" s="28"/>
      <c r="T5" s="28"/>
      <c r="U5" s="28"/>
      <c r="V5" s="28"/>
      <c r="W5" s="28"/>
      <c r="X5" s="28"/>
      <c r="Y5" s="28"/>
      <c r="Z5" s="28"/>
    </row>
    <row r="6" ht="15.0" customHeight="1">
      <c r="A6" s="28">
        <v>99.0</v>
      </c>
      <c r="B6" s="36">
        <f t="shared" si="1"/>
        <v>40.5</v>
      </c>
      <c r="C6" s="36">
        <f t="shared" si="2"/>
        <v>61.70732952</v>
      </c>
      <c r="D6" s="28">
        <v>17.0</v>
      </c>
      <c r="E6" s="28">
        <v>11.17823949907167</v>
      </c>
      <c r="F6" s="28">
        <v>11.17823949907167</v>
      </c>
      <c r="G6" s="28">
        <f t="shared" si="3"/>
        <v>39.356479</v>
      </c>
      <c r="H6" s="36">
        <f t="shared" si="4"/>
        <v>7.259685826</v>
      </c>
      <c r="I6" s="36" t="str">
        <f t="shared" si="5"/>
        <v>platleņķa</v>
      </c>
      <c r="J6" s="28"/>
      <c r="K6" s="28"/>
      <c r="L6" s="37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0" customHeight="1">
      <c r="A7" s="28">
        <v>38.0</v>
      </c>
      <c r="B7" s="36">
        <f t="shared" si="1"/>
        <v>71</v>
      </c>
      <c r="C7" s="36">
        <f t="shared" si="2"/>
        <v>490.8116383</v>
      </c>
      <c r="D7" s="28">
        <v>26.0</v>
      </c>
      <c r="E7" s="28">
        <v>39.930195327844146</v>
      </c>
      <c r="F7" s="28">
        <v>39.930195327844146</v>
      </c>
      <c r="G7" s="28">
        <f t="shared" si="3"/>
        <v>105.8603907</v>
      </c>
      <c r="H7" s="36">
        <f t="shared" si="4"/>
        <v>37.75474141</v>
      </c>
      <c r="I7" s="36" t="str">
        <f t="shared" si="5"/>
        <v>cits</v>
      </c>
      <c r="J7" s="28"/>
      <c r="K7" s="28"/>
      <c r="L7" s="37">
        <v>8.0</v>
      </c>
      <c r="M7" s="3" t="s">
        <v>68</v>
      </c>
      <c r="N7" s="3"/>
      <c r="O7" s="3"/>
      <c r="P7" s="3"/>
      <c r="Q7" s="3"/>
      <c r="R7" s="3"/>
      <c r="S7" s="28" t="s">
        <v>41</v>
      </c>
      <c r="T7" s="28"/>
      <c r="U7" s="28"/>
      <c r="V7" s="28"/>
      <c r="W7" s="28"/>
      <c r="X7" s="28"/>
      <c r="Y7" s="28"/>
      <c r="Z7" s="28"/>
    </row>
    <row r="8" ht="15.0" customHeight="1">
      <c r="A8" s="28">
        <v>100.0</v>
      </c>
      <c r="B8" s="36">
        <f t="shared" si="1"/>
        <v>40</v>
      </c>
      <c r="C8" s="36">
        <f t="shared" si="2"/>
        <v>176.4206975</v>
      </c>
      <c r="D8" s="28">
        <v>29.0</v>
      </c>
      <c r="E8" s="28">
        <v>18.92840569531804</v>
      </c>
      <c r="F8" s="28">
        <v>18.92840569531804</v>
      </c>
      <c r="G8" s="28">
        <f t="shared" si="3"/>
        <v>66.85681139</v>
      </c>
      <c r="H8" s="36">
        <f t="shared" si="4"/>
        <v>12.16694465</v>
      </c>
      <c r="I8" s="36" t="str">
        <f t="shared" si="5"/>
        <v>platleņķa</v>
      </c>
      <c r="J8" s="28"/>
      <c r="K8" s="28"/>
      <c r="L8" s="37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0" customHeight="1">
      <c r="A9" s="28">
        <v>54.0</v>
      </c>
      <c r="B9" s="36">
        <f t="shared" si="1"/>
        <v>63</v>
      </c>
      <c r="C9" s="36">
        <f t="shared" si="2"/>
        <v>471.5171739</v>
      </c>
      <c r="D9" s="28">
        <v>31.0</v>
      </c>
      <c r="E9" s="28">
        <v>34.141683601071634</v>
      </c>
      <c r="F9" s="28">
        <v>34.141683601071634</v>
      </c>
      <c r="G9" s="28">
        <f t="shared" si="3"/>
        <v>99.2833672</v>
      </c>
      <c r="H9" s="36">
        <f t="shared" si="4"/>
        <v>30.42046284</v>
      </c>
      <c r="I9" s="36" t="str">
        <f t="shared" si="5"/>
        <v>cits</v>
      </c>
      <c r="J9" s="28"/>
      <c r="K9" s="28"/>
      <c r="L9" s="37">
        <v>9.0</v>
      </c>
      <c r="M9" s="25" t="s">
        <v>69</v>
      </c>
      <c r="N9" s="26"/>
      <c r="O9" s="26"/>
      <c r="P9" s="26"/>
      <c r="Q9" s="26"/>
      <c r="R9" s="27"/>
      <c r="S9" s="28" t="s">
        <v>41</v>
      </c>
      <c r="T9" s="28"/>
      <c r="U9" s="28"/>
      <c r="V9" s="28"/>
      <c r="W9" s="28"/>
      <c r="X9" s="28"/>
      <c r="Y9" s="28"/>
      <c r="Z9" s="28"/>
    </row>
    <row r="10" ht="15.0" customHeight="1">
      <c r="A10" s="28">
        <v>26.0</v>
      </c>
      <c r="B10" s="36">
        <f t="shared" si="1"/>
        <v>77</v>
      </c>
      <c r="C10" s="36">
        <f t="shared" si="2"/>
        <v>1179.244307</v>
      </c>
      <c r="D10" s="28">
        <v>33.0</v>
      </c>
      <c r="E10" s="28">
        <v>73.34928946266571</v>
      </c>
      <c r="F10" s="28">
        <v>73.34928946266571</v>
      </c>
      <c r="G10" s="28">
        <f t="shared" si="3"/>
        <v>179.6985789</v>
      </c>
      <c r="H10" s="36">
        <f t="shared" si="4"/>
        <v>71.46935193</v>
      </c>
      <c r="I10" s="36" t="str">
        <f t="shared" si="5"/>
        <v>cits</v>
      </c>
      <c r="J10" s="28"/>
      <c r="K10" s="28"/>
      <c r="L10" s="37"/>
      <c r="M10" s="29"/>
      <c r="R10" s="30"/>
      <c r="S10" s="28"/>
      <c r="T10" s="28"/>
      <c r="U10" s="28"/>
      <c r="V10" s="28"/>
      <c r="W10" s="28"/>
      <c r="X10" s="28"/>
      <c r="Y10" s="28"/>
      <c r="Z10" s="28"/>
    </row>
    <row r="11" ht="15.0" customHeight="1">
      <c r="A11" s="28">
        <v>126.0</v>
      </c>
      <c r="B11" s="36">
        <f t="shared" si="1"/>
        <v>27</v>
      </c>
      <c r="C11" s="36">
        <f t="shared" si="2"/>
        <v>174.3850851</v>
      </c>
      <c r="D11" s="28">
        <v>37.0</v>
      </c>
      <c r="E11" s="28">
        <v>20.763035396235676</v>
      </c>
      <c r="F11" s="28">
        <v>20.763035396235676</v>
      </c>
      <c r="G11" s="28">
        <f t="shared" si="3"/>
        <v>78.52607079</v>
      </c>
      <c r="H11" s="36">
        <f t="shared" si="4"/>
        <v>9.426220816</v>
      </c>
      <c r="I11" s="36" t="str">
        <f t="shared" si="5"/>
        <v>platleņķa</v>
      </c>
      <c r="J11" s="28"/>
      <c r="K11" s="28"/>
      <c r="L11" s="37"/>
      <c r="M11" s="31"/>
      <c r="N11" s="32"/>
      <c r="O11" s="32"/>
      <c r="P11" s="32"/>
      <c r="Q11" s="32"/>
      <c r="R11" s="33"/>
      <c r="S11" s="28"/>
      <c r="T11" s="28"/>
      <c r="U11" s="28"/>
      <c r="V11" s="28"/>
      <c r="W11" s="28"/>
      <c r="X11" s="28"/>
      <c r="Y11" s="28"/>
      <c r="Z11" s="28"/>
    </row>
    <row r="12" ht="15.0" customHeight="1">
      <c r="A12" s="28">
        <v>89.0</v>
      </c>
      <c r="B12" s="36">
        <f t="shared" si="1"/>
        <v>45.5</v>
      </c>
      <c r="C12" s="36">
        <f t="shared" si="2"/>
        <v>407.0429572</v>
      </c>
      <c r="D12" s="28">
        <v>40.0</v>
      </c>
      <c r="E12" s="28">
        <v>28.5343638879967</v>
      </c>
      <c r="F12" s="28">
        <v>28.5343638879967</v>
      </c>
      <c r="G12" s="28">
        <f t="shared" si="3"/>
        <v>97.06872778</v>
      </c>
      <c r="H12" s="36">
        <f t="shared" si="4"/>
        <v>20.35214786</v>
      </c>
      <c r="I12" s="36" t="str">
        <f t="shared" si="5"/>
        <v>cits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0" customHeight="1">
      <c r="A13" s="28">
        <v>37.0</v>
      </c>
      <c r="B13" s="36">
        <f t="shared" si="1"/>
        <v>71.5</v>
      </c>
      <c r="C13" s="36">
        <f t="shared" si="2"/>
        <v>1255.994856</v>
      </c>
      <c r="D13" s="28">
        <v>41.0</v>
      </c>
      <c r="E13" s="28">
        <v>64.60667874293134</v>
      </c>
      <c r="F13" s="28">
        <v>64.60667874293134</v>
      </c>
      <c r="G13" s="28">
        <f t="shared" si="3"/>
        <v>170.2133575</v>
      </c>
      <c r="H13" s="36">
        <f t="shared" si="4"/>
        <v>61.26804174</v>
      </c>
      <c r="I13" s="36" t="str">
        <f t="shared" si="5"/>
        <v>cits</v>
      </c>
      <c r="J13" s="28"/>
      <c r="K13" s="28"/>
      <c r="L13" s="37">
        <v>10.0</v>
      </c>
      <c r="M13" s="25" t="s">
        <v>70</v>
      </c>
      <c r="N13" s="26"/>
      <c r="O13" s="26"/>
      <c r="P13" s="26"/>
      <c r="Q13" s="26"/>
      <c r="R13" s="27"/>
      <c r="S13" s="28" t="s">
        <v>41</v>
      </c>
      <c r="T13" s="28"/>
      <c r="U13" s="28"/>
      <c r="V13" s="28"/>
      <c r="W13" s="28"/>
      <c r="X13" s="28"/>
      <c r="Y13" s="28"/>
      <c r="Z13" s="28"/>
    </row>
    <row r="14" ht="15.0" customHeight="1">
      <c r="A14" s="28">
        <v>38.0</v>
      </c>
      <c r="B14" s="36">
        <f t="shared" si="1"/>
        <v>71</v>
      </c>
      <c r="C14" s="36">
        <f t="shared" si="2"/>
        <v>1220.494621</v>
      </c>
      <c r="D14" s="28">
        <v>41.0</v>
      </c>
      <c r="E14" s="28">
        <v>62.966846478523465</v>
      </c>
      <c r="F14" s="28">
        <v>62.966846478523465</v>
      </c>
      <c r="G14" s="28">
        <f t="shared" si="3"/>
        <v>166.933693</v>
      </c>
      <c r="H14" s="36">
        <f t="shared" si="4"/>
        <v>59.53632299</v>
      </c>
      <c r="I14" s="36" t="str">
        <f t="shared" si="5"/>
        <v>cits</v>
      </c>
      <c r="J14" s="28"/>
      <c r="K14" s="28"/>
      <c r="L14" s="37"/>
      <c r="M14" s="29"/>
      <c r="R14" s="30"/>
      <c r="S14" s="28"/>
      <c r="T14" s="28"/>
      <c r="U14" s="28"/>
      <c r="V14" s="28"/>
      <c r="W14" s="28"/>
      <c r="X14" s="28"/>
      <c r="Y14" s="28"/>
      <c r="Z14" s="28"/>
    </row>
    <row r="15" ht="15.0" customHeight="1">
      <c r="A15" s="28">
        <v>14.0</v>
      </c>
      <c r="B15" s="36">
        <f t="shared" si="1"/>
        <v>83</v>
      </c>
      <c r="C15" s="36">
        <f t="shared" si="2"/>
        <v>3764.724136</v>
      </c>
      <c r="D15" s="28">
        <v>43.0</v>
      </c>
      <c r="E15" s="28">
        <v>176.4184445346892</v>
      </c>
      <c r="F15" s="28">
        <v>176.4184445346892</v>
      </c>
      <c r="G15" s="28">
        <f t="shared" si="3"/>
        <v>395.8368891</v>
      </c>
      <c r="H15" s="36">
        <f t="shared" si="4"/>
        <v>175.1034482</v>
      </c>
      <c r="I15" s="36" t="str">
        <f t="shared" si="5"/>
        <v>cits</v>
      </c>
      <c r="J15" s="28"/>
      <c r="K15" s="28"/>
      <c r="L15" s="37"/>
      <c r="M15" s="31"/>
      <c r="N15" s="32"/>
      <c r="O15" s="32"/>
      <c r="P15" s="32"/>
      <c r="Q15" s="32"/>
      <c r="R15" s="33"/>
      <c r="S15" s="28"/>
      <c r="T15" s="28"/>
      <c r="U15" s="28"/>
      <c r="V15" s="28"/>
      <c r="W15" s="28"/>
      <c r="X15" s="28"/>
      <c r="Y15" s="28"/>
      <c r="Z15" s="28"/>
    </row>
    <row r="16" ht="15.0" customHeight="1">
      <c r="A16" s="28">
        <v>75.0</v>
      </c>
      <c r="B16" s="36">
        <f t="shared" si="1"/>
        <v>52.5</v>
      </c>
      <c r="C16" s="36">
        <f t="shared" si="2"/>
        <v>602.4159286</v>
      </c>
      <c r="D16" s="28">
        <v>43.0</v>
      </c>
      <c r="E16" s="28">
        <v>35.317612081648505</v>
      </c>
      <c r="F16" s="28">
        <v>35.317612081648505</v>
      </c>
      <c r="G16" s="28">
        <f t="shared" si="3"/>
        <v>113.6352242</v>
      </c>
      <c r="H16" s="36">
        <f t="shared" si="4"/>
        <v>28.01934552</v>
      </c>
      <c r="I16" s="36" t="str">
        <f t="shared" si="5"/>
        <v>cits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0" customHeight="1">
      <c r="A17" s="28">
        <v>67.0</v>
      </c>
      <c r="B17" s="36">
        <f t="shared" si="1"/>
        <v>56.5</v>
      </c>
      <c r="C17" s="36">
        <f t="shared" si="2"/>
        <v>698.3835682</v>
      </c>
      <c r="D17" s="28">
        <v>43.0</v>
      </c>
      <c r="E17" s="28">
        <v>38.953722204074026</v>
      </c>
      <c r="F17" s="28">
        <v>38.953722204074026</v>
      </c>
      <c r="G17" s="28">
        <f t="shared" si="3"/>
        <v>120.9074444</v>
      </c>
      <c r="H17" s="36">
        <f t="shared" si="4"/>
        <v>32.48295666</v>
      </c>
      <c r="I17" s="36" t="str">
        <f t="shared" si="5"/>
        <v>cits</v>
      </c>
      <c r="J17" s="28"/>
      <c r="K17" s="28"/>
      <c r="L17" s="37">
        <v>11.0</v>
      </c>
      <c r="M17" s="25" t="s">
        <v>71</v>
      </c>
      <c r="N17" s="26"/>
      <c r="O17" s="26"/>
      <c r="P17" s="26"/>
      <c r="Q17" s="26"/>
      <c r="R17" s="27"/>
      <c r="S17" s="28" t="s">
        <v>41</v>
      </c>
      <c r="T17" s="28"/>
      <c r="U17" s="28"/>
      <c r="V17" s="28"/>
      <c r="W17" s="28"/>
      <c r="X17" s="28"/>
      <c r="Y17" s="28"/>
      <c r="Z17" s="28"/>
    </row>
    <row r="18" ht="15.0" customHeight="1">
      <c r="A18" s="28">
        <v>114.0</v>
      </c>
      <c r="B18" s="36">
        <f t="shared" si="1"/>
        <v>33</v>
      </c>
      <c r="C18" s="36">
        <f t="shared" si="2"/>
        <v>328.7625941</v>
      </c>
      <c r="D18" s="28">
        <v>45.0</v>
      </c>
      <c r="E18" s="28">
        <v>26.82817408880882</v>
      </c>
      <c r="F18" s="28">
        <v>26.82817408880882</v>
      </c>
      <c r="G18" s="28">
        <f t="shared" si="3"/>
        <v>98.65634818</v>
      </c>
      <c r="H18" s="36">
        <f t="shared" si="4"/>
        <v>14.61167085</v>
      </c>
      <c r="I18" s="36" t="str">
        <f t="shared" si="5"/>
        <v>platleņķa</v>
      </c>
      <c r="J18" s="28"/>
      <c r="K18" s="28"/>
      <c r="L18" s="28"/>
      <c r="M18" s="29"/>
      <c r="R18" s="30"/>
      <c r="S18" s="28"/>
      <c r="T18" s="28"/>
      <c r="U18" s="28"/>
      <c r="V18" s="28"/>
      <c r="W18" s="28"/>
      <c r="X18" s="28"/>
      <c r="Y18" s="28"/>
      <c r="Z18" s="28"/>
    </row>
    <row r="19" ht="15.0" customHeight="1">
      <c r="A19" s="28">
        <v>124.0</v>
      </c>
      <c r="B19" s="36">
        <f t="shared" si="1"/>
        <v>28</v>
      </c>
      <c r="C19" s="36">
        <f t="shared" si="2"/>
        <v>269.1778998</v>
      </c>
      <c r="D19" s="28">
        <v>45.0</v>
      </c>
      <c r="E19" s="28">
        <v>25.482826140503384</v>
      </c>
      <c r="F19" s="28">
        <v>25.482826140503384</v>
      </c>
      <c r="G19" s="28">
        <f t="shared" si="3"/>
        <v>95.96565228</v>
      </c>
      <c r="H19" s="36">
        <f t="shared" si="4"/>
        <v>11.96346221</v>
      </c>
      <c r="I19" s="36" t="str">
        <f t="shared" si="5"/>
        <v>platleņķa</v>
      </c>
      <c r="J19" s="28"/>
      <c r="K19" s="28"/>
      <c r="L19" s="28"/>
      <c r="M19" s="31"/>
      <c r="N19" s="32"/>
      <c r="O19" s="32"/>
      <c r="P19" s="32"/>
      <c r="Q19" s="32"/>
      <c r="R19" s="33"/>
      <c r="S19" s="28"/>
      <c r="T19" s="28"/>
      <c r="U19" s="28"/>
      <c r="V19" s="28"/>
      <c r="W19" s="28"/>
      <c r="X19" s="28"/>
      <c r="Y19" s="28"/>
      <c r="Z19" s="28"/>
    </row>
    <row r="20" ht="15.0" customHeight="1">
      <c r="A20" s="28">
        <v>57.0</v>
      </c>
      <c r="B20" s="36">
        <f t="shared" si="1"/>
        <v>61.5</v>
      </c>
      <c r="C20" s="36">
        <f t="shared" si="2"/>
        <v>974.2967987</v>
      </c>
      <c r="D20" s="28">
        <v>46.0</v>
      </c>
      <c r="E20" s="28">
        <v>48.20198624769324</v>
      </c>
      <c r="F20" s="28">
        <v>48.20198624769324</v>
      </c>
      <c r="G20" s="28">
        <f t="shared" si="3"/>
        <v>142.4039725</v>
      </c>
      <c r="H20" s="36">
        <f t="shared" si="4"/>
        <v>42.36073038</v>
      </c>
      <c r="I20" s="36" t="str">
        <f t="shared" si="5"/>
        <v>cits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0" customHeight="1">
      <c r="A21" s="28">
        <v>90.0</v>
      </c>
      <c r="B21" s="36">
        <f t="shared" si="1"/>
        <v>45</v>
      </c>
      <c r="C21" s="36">
        <f t="shared" si="2"/>
        <v>552.25</v>
      </c>
      <c r="D21" s="28">
        <v>47.0</v>
      </c>
      <c r="E21" s="28">
        <v>33.23401871576774</v>
      </c>
      <c r="F21" s="28">
        <v>33.23401871576774</v>
      </c>
      <c r="G21" s="28">
        <f t="shared" si="3"/>
        <v>113.4680374</v>
      </c>
      <c r="H21" s="36">
        <f t="shared" si="4"/>
        <v>23.5</v>
      </c>
      <c r="I21" s="36" t="str">
        <f t="shared" si="5"/>
        <v>cits</v>
      </c>
      <c r="J21" s="28"/>
      <c r="K21" s="28"/>
      <c r="L21" s="37">
        <v>12.0</v>
      </c>
      <c r="M21" s="25" t="s">
        <v>72</v>
      </c>
      <c r="N21" s="26"/>
      <c r="O21" s="26"/>
      <c r="P21" s="26"/>
      <c r="Q21" s="26"/>
      <c r="R21" s="27"/>
      <c r="S21" s="28" t="s">
        <v>51</v>
      </c>
      <c r="T21" s="28"/>
      <c r="U21" s="28"/>
      <c r="V21" s="28"/>
      <c r="W21" s="28"/>
      <c r="X21" s="28"/>
      <c r="Y21" s="28"/>
      <c r="Z21" s="28"/>
    </row>
    <row r="22" ht="15.0" customHeight="1">
      <c r="A22" s="28">
        <v>45.0</v>
      </c>
      <c r="B22" s="36">
        <f t="shared" si="1"/>
        <v>67.5</v>
      </c>
      <c r="C22" s="36">
        <f t="shared" si="2"/>
        <v>1333.24944</v>
      </c>
      <c r="D22" s="28">
        <v>47.0</v>
      </c>
      <c r="E22" s="28">
        <v>61.4084593491897</v>
      </c>
      <c r="F22" s="28">
        <v>61.4084593491897</v>
      </c>
      <c r="G22" s="28">
        <f t="shared" si="3"/>
        <v>169.8169187</v>
      </c>
      <c r="H22" s="36">
        <f t="shared" si="4"/>
        <v>56.73401872</v>
      </c>
      <c r="I22" s="36" t="str">
        <f t="shared" si="5"/>
        <v>cits</v>
      </c>
      <c r="J22" s="28"/>
      <c r="K22" s="28"/>
      <c r="L22" s="28"/>
      <c r="M22" s="29"/>
      <c r="R22" s="30"/>
      <c r="S22" s="28"/>
      <c r="T22" s="28"/>
      <c r="U22" s="28"/>
      <c r="V22" s="28"/>
      <c r="W22" s="28"/>
      <c r="X22" s="28"/>
      <c r="Y22" s="28"/>
      <c r="Z22" s="28"/>
    </row>
    <row r="23" ht="15.0" customHeight="1">
      <c r="A23" s="28">
        <v>85.0</v>
      </c>
      <c r="B23" s="36">
        <f t="shared" si="1"/>
        <v>47.5</v>
      </c>
      <c r="C23" s="36">
        <f t="shared" si="2"/>
        <v>917.7904494</v>
      </c>
      <c r="D23" s="28">
        <v>58.0</v>
      </c>
      <c r="E23" s="28">
        <v>42.92542975474557</v>
      </c>
      <c r="F23" s="28">
        <v>42.92542975474557</v>
      </c>
      <c r="G23" s="28">
        <f t="shared" si="3"/>
        <v>143.8508595</v>
      </c>
      <c r="H23" s="36">
        <f t="shared" si="4"/>
        <v>31.64794653</v>
      </c>
      <c r="I23" s="36" t="str">
        <f t="shared" si="5"/>
        <v>cits</v>
      </c>
      <c r="J23" s="28"/>
      <c r="K23" s="28"/>
      <c r="L23" s="28"/>
      <c r="M23" s="31"/>
      <c r="N23" s="32"/>
      <c r="O23" s="32"/>
      <c r="P23" s="32"/>
      <c r="Q23" s="32"/>
      <c r="R23" s="33"/>
      <c r="S23" s="28"/>
      <c r="T23" s="28"/>
      <c r="U23" s="28"/>
      <c r="V23" s="28"/>
      <c r="W23" s="28"/>
      <c r="X23" s="28"/>
      <c r="Y23" s="28"/>
      <c r="Z23" s="28"/>
    </row>
    <row r="24" ht="15.0" customHeight="1">
      <c r="A24" s="28">
        <v>42.0</v>
      </c>
      <c r="B24" s="36">
        <f t="shared" si="1"/>
        <v>69</v>
      </c>
      <c r="C24" s="36">
        <f t="shared" si="2"/>
        <v>2190.879903</v>
      </c>
      <c r="D24" s="28">
        <v>58.0</v>
      </c>
      <c r="E24" s="28">
        <v>80.92241517913475</v>
      </c>
      <c r="F24" s="28">
        <v>80.92241517913475</v>
      </c>
      <c r="G24" s="28">
        <f t="shared" si="3"/>
        <v>219.8448304</v>
      </c>
      <c r="H24" s="36">
        <f t="shared" si="4"/>
        <v>75.54758288</v>
      </c>
      <c r="I24" s="36" t="str">
        <f t="shared" si="5"/>
        <v>cits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0" customHeight="1">
      <c r="A25" s="28">
        <v>92.0</v>
      </c>
      <c r="B25" s="36">
        <f t="shared" si="1"/>
        <v>44</v>
      </c>
      <c r="C25" s="36">
        <f t="shared" si="2"/>
        <v>869.1198973</v>
      </c>
      <c r="D25" s="28">
        <v>60.0</v>
      </c>
      <c r="E25" s="28">
        <v>41.704907730500366</v>
      </c>
      <c r="F25" s="28">
        <v>41.704907730500366</v>
      </c>
      <c r="G25" s="28">
        <f t="shared" si="3"/>
        <v>143.4098155</v>
      </c>
      <c r="H25" s="36">
        <f t="shared" si="4"/>
        <v>28.97066324</v>
      </c>
      <c r="I25" s="36" t="str">
        <f t="shared" si="5"/>
        <v>platleņķa</v>
      </c>
      <c r="J25" s="28"/>
      <c r="K25" s="28"/>
      <c r="L25" s="37">
        <v>13.0</v>
      </c>
      <c r="M25" s="25" t="s">
        <v>73</v>
      </c>
      <c r="N25" s="26"/>
      <c r="O25" s="26"/>
      <c r="P25" s="26"/>
      <c r="Q25" s="26"/>
      <c r="R25" s="27"/>
      <c r="S25" s="28" t="s">
        <v>41</v>
      </c>
      <c r="T25" s="28"/>
      <c r="U25" s="28"/>
      <c r="V25" s="28"/>
      <c r="W25" s="28"/>
      <c r="X25" s="28"/>
      <c r="Y25" s="28"/>
      <c r="Z25" s="28"/>
    </row>
    <row r="26" ht="15.0" customHeight="1">
      <c r="A26" s="28">
        <v>103.0</v>
      </c>
      <c r="B26" s="36">
        <f t="shared" si="1"/>
        <v>38.5</v>
      </c>
      <c r="C26" s="36">
        <f t="shared" si="2"/>
        <v>739.9542615</v>
      </c>
      <c r="D26" s="28">
        <v>61.0</v>
      </c>
      <c r="E26" s="28">
        <v>38.972249053304665</v>
      </c>
      <c r="F26" s="28">
        <v>38.972249053304665</v>
      </c>
      <c r="G26" s="28">
        <f t="shared" si="3"/>
        <v>138.9444981</v>
      </c>
      <c r="H26" s="36">
        <f t="shared" si="4"/>
        <v>24.26079546</v>
      </c>
      <c r="I26" s="36" t="str">
        <f t="shared" si="5"/>
        <v>platleņķa</v>
      </c>
      <c r="J26" s="28"/>
      <c r="K26" s="28"/>
      <c r="L26" s="37"/>
      <c r="M26" s="29"/>
      <c r="R26" s="30"/>
      <c r="S26" s="28"/>
      <c r="T26" s="28"/>
      <c r="U26" s="28"/>
      <c r="V26" s="28"/>
      <c r="W26" s="28"/>
      <c r="X26" s="28"/>
      <c r="Y26" s="28"/>
      <c r="Z26" s="28"/>
    </row>
    <row r="27" ht="15.0" customHeight="1">
      <c r="A27" s="28">
        <v>62.0</v>
      </c>
      <c r="B27" s="36">
        <f t="shared" si="1"/>
        <v>59</v>
      </c>
      <c r="C27" s="36">
        <f t="shared" si="2"/>
        <v>1599.372583</v>
      </c>
      <c r="D27" s="28">
        <v>62.0</v>
      </c>
      <c r="E27" s="28">
        <v>60.189724818721054</v>
      </c>
      <c r="F27" s="28">
        <v>60.189724818721054</v>
      </c>
      <c r="G27" s="28">
        <f t="shared" si="3"/>
        <v>182.3794496</v>
      </c>
      <c r="H27" s="36">
        <f t="shared" si="4"/>
        <v>51.59266395</v>
      </c>
      <c r="I27" s="36" t="str">
        <f t="shared" si="5"/>
        <v>cits</v>
      </c>
      <c r="J27" s="28"/>
      <c r="K27" s="28"/>
      <c r="L27" s="37"/>
      <c r="M27" s="31"/>
      <c r="N27" s="32"/>
      <c r="O27" s="32"/>
      <c r="P27" s="32"/>
      <c r="Q27" s="32"/>
      <c r="R27" s="33"/>
      <c r="S27" s="28"/>
      <c r="T27" s="28"/>
      <c r="U27" s="28"/>
      <c r="V27" s="28"/>
      <c r="W27" s="28"/>
      <c r="X27" s="28"/>
      <c r="Y27" s="28"/>
      <c r="Z27" s="28"/>
    </row>
    <row r="28" ht="15.0" customHeight="1">
      <c r="A28" s="28">
        <v>109.0</v>
      </c>
      <c r="B28" s="36">
        <f t="shared" si="1"/>
        <v>35.5</v>
      </c>
      <c r="C28" s="36">
        <f t="shared" si="2"/>
        <v>753.415803</v>
      </c>
      <c r="D28" s="28">
        <v>65.0</v>
      </c>
      <c r="E28" s="28">
        <v>39.920624613097615</v>
      </c>
      <c r="F28" s="28">
        <v>39.920624613097615</v>
      </c>
      <c r="G28" s="28">
        <f t="shared" si="3"/>
        <v>144.8412492</v>
      </c>
      <c r="H28" s="36">
        <f t="shared" si="4"/>
        <v>23.18202471</v>
      </c>
      <c r="I28" s="36" t="str">
        <f t="shared" si="5"/>
        <v>platleņķa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0" customHeight="1">
      <c r="A29" s="28">
        <v>96.0</v>
      </c>
      <c r="B29" s="36">
        <f t="shared" si="1"/>
        <v>42</v>
      </c>
      <c r="C29" s="36">
        <f t="shared" si="2"/>
        <v>980.5400042</v>
      </c>
      <c r="D29" s="28">
        <v>66.0</v>
      </c>
      <c r="E29" s="28">
        <v>44.40588007701041</v>
      </c>
      <c r="F29" s="28">
        <v>44.40588007701041</v>
      </c>
      <c r="G29" s="28">
        <f t="shared" si="3"/>
        <v>154.8117602</v>
      </c>
      <c r="H29" s="36">
        <f t="shared" si="4"/>
        <v>29.71333346</v>
      </c>
      <c r="I29" s="36" t="str">
        <f t="shared" si="5"/>
        <v>platleņķa</v>
      </c>
      <c r="J29" s="28"/>
      <c r="K29" s="28"/>
      <c r="L29" s="37">
        <v>14.0</v>
      </c>
      <c r="M29" s="38" t="s">
        <v>74</v>
      </c>
      <c r="N29" s="26"/>
      <c r="O29" s="26"/>
      <c r="P29" s="26"/>
      <c r="Q29" s="26"/>
      <c r="R29" s="27"/>
      <c r="S29" s="28" t="s">
        <v>41</v>
      </c>
      <c r="T29" s="28"/>
      <c r="U29" s="28"/>
      <c r="V29" s="28"/>
      <c r="W29" s="28"/>
      <c r="X29" s="28"/>
      <c r="Y29" s="28"/>
      <c r="Z29" s="28"/>
    </row>
    <row r="30" ht="15.0" customHeight="1">
      <c r="A30" s="28">
        <v>118.0</v>
      </c>
      <c r="B30" s="36">
        <f t="shared" si="1"/>
        <v>31</v>
      </c>
      <c r="C30" s="36">
        <f t="shared" si="2"/>
        <v>674.3158297</v>
      </c>
      <c r="D30" s="28">
        <v>67.0</v>
      </c>
      <c r="E30" s="28">
        <v>39.08221880671357</v>
      </c>
      <c r="F30" s="28">
        <v>39.08221880671357</v>
      </c>
      <c r="G30" s="28">
        <f t="shared" si="3"/>
        <v>145.1644376</v>
      </c>
      <c r="H30" s="36">
        <f t="shared" si="4"/>
        <v>20.12883074</v>
      </c>
      <c r="I30" s="36" t="str">
        <f t="shared" si="5"/>
        <v>platleņķa</v>
      </c>
      <c r="J30" s="28"/>
      <c r="K30" s="28"/>
      <c r="L30" s="37"/>
      <c r="M30" s="29"/>
      <c r="R30" s="30"/>
      <c r="S30" s="28"/>
      <c r="T30" s="28"/>
      <c r="U30" s="28"/>
      <c r="V30" s="28"/>
      <c r="W30" s="28"/>
      <c r="X30" s="28"/>
      <c r="Y30" s="28"/>
      <c r="Z30" s="28"/>
    </row>
    <row r="31" ht="15.0" customHeight="1">
      <c r="A31" s="28">
        <v>96.0</v>
      </c>
      <c r="B31" s="36">
        <f t="shared" si="1"/>
        <v>42</v>
      </c>
      <c r="C31" s="36">
        <f t="shared" si="2"/>
        <v>2117.975413</v>
      </c>
      <c r="D31" s="28">
        <v>97.0</v>
      </c>
      <c r="E31" s="28">
        <v>65.26318738590923</v>
      </c>
      <c r="F31" s="28">
        <v>65.26318738590923</v>
      </c>
      <c r="G31" s="28">
        <f t="shared" si="3"/>
        <v>227.5263748</v>
      </c>
      <c r="H31" s="36">
        <f t="shared" si="4"/>
        <v>43.66959615</v>
      </c>
      <c r="I31" s="36" t="str">
        <f t="shared" si="5"/>
        <v>platleņķa</v>
      </c>
      <c r="J31" s="28"/>
      <c r="K31" s="28"/>
      <c r="L31" s="37"/>
      <c r="M31" s="29"/>
      <c r="R31" s="30"/>
      <c r="S31" s="28"/>
      <c r="T31" s="28"/>
      <c r="U31" s="28"/>
      <c r="V31" s="28"/>
      <c r="W31" s="28"/>
      <c r="X31" s="28"/>
      <c r="Y31" s="28"/>
      <c r="Z31" s="28"/>
    </row>
    <row r="32" ht="15.0" customHeight="1">
      <c r="A32" s="28">
        <v>14.0</v>
      </c>
      <c r="B32" s="36">
        <f t="shared" si="1"/>
        <v>83</v>
      </c>
      <c r="C32" s="36">
        <f t="shared" si="2"/>
        <v>9693.808336</v>
      </c>
      <c r="D32" s="28">
        <v>69.0</v>
      </c>
      <c r="E32" s="28">
        <v>283.0900621603152</v>
      </c>
      <c r="F32" s="28">
        <v>283.0900621603152</v>
      </c>
      <c r="G32" s="28">
        <f t="shared" si="3"/>
        <v>635.1801243</v>
      </c>
      <c r="H32" s="36">
        <f t="shared" si="4"/>
        <v>280.9799518</v>
      </c>
      <c r="I32" s="36" t="str">
        <f t="shared" si="5"/>
        <v>cits</v>
      </c>
      <c r="J32" s="28"/>
      <c r="K32" s="28"/>
      <c r="L32" s="37"/>
      <c r="M32" s="31"/>
      <c r="N32" s="32"/>
      <c r="O32" s="32"/>
      <c r="P32" s="32"/>
      <c r="Q32" s="32"/>
      <c r="R32" s="33"/>
      <c r="S32" s="28"/>
      <c r="T32" s="28"/>
      <c r="U32" s="28"/>
      <c r="V32" s="28"/>
      <c r="W32" s="28"/>
      <c r="X32" s="28"/>
      <c r="Y32" s="28"/>
      <c r="Z32" s="28"/>
    </row>
    <row r="33" ht="15.0" customHeight="1">
      <c r="A33" s="28">
        <v>102.0</v>
      </c>
      <c r="B33" s="36">
        <f t="shared" si="1"/>
        <v>39</v>
      </c>
      <c r="C33" s="36">
        <f t="shared" si="2"/>
        <v>1020.530328</v>
      </c>
      <c r="D33" s="28">
        <v>71.0</v>
      </c>
      <c r="E33" s="28">
        <v>45.67996458920744</v>
      </c>
      <c r="F33" s="28">
        <v>45.67996458920744</v>
      </c>
      <c r="G33" s="28">
        <f t="shared" si="3"/>
        <v>162.3599292</v>
      </c>
      <c r="H33" s="36">
        <f t="shared" si="4"/>
        <v>28.74733318</v>
      </c>
      <c r="I33" s="36" t="str">
        <f t="shared" si="5"/>
        <v>platleņķa</v>
      </c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0" customHeight="1">
      <c r="A34" s="28">
        <v>102.0</v>
      </c>
      <c r="B34" s="36">
        <f t="shared" si="1"/>
        <v>39</v>
      </c>
      <c r="C34" s="36">
        <f t="shared" si="2"/>
        <v>1020.530328</v>
      </c>
      <c r="D34" s="28">
        <v>71.0</v>
      </c>
      <c r="E34" s="28">
        <v>45.67996458920744</v>
      </c>
      <c r="F34" s="28">
        <v>45.67996458920744</v>
      </c>
      <c r="G34" s="28">
        <f t="shared" si="3"/>
        <v>162.3599292</v>
      </c>
      <c r="H34" s="36">
        <f t="shared" si="4"/>
        <v>28.74733318</v>
      </c>
      <c r="I34" s="36" t="str">
        <f t="shared" si="5"/>
        <v>platleņķa</v>
      </c>
      <c r="J34" s="28"/>
      <c r="K34" s="28"/>
      <c r="L34" s="37">
        <v>15.0</v>
      </c>
      <c r="M34" s="39" t="s">
        <v>75</v>
      </c>
      <c r="N34" s="26"/>
      <c r="O34" s="26"/>
      <c r="P34" s="26"/>
      <c r="Q34" s="26"/>
      <c r="R34" s="27"/>
      <c r="S34" s="28" t="s">
        <v>41</v>
      </c>
      <c r="T34" s="28"/>
      <c r="U34" s="28"/>
      <c r="V34" s="28"/>
      <c r="W34" s="28"/>
      <c r="X34" s="28"/>
      <c r="Y34" s="28"/>
      <c r="Z34" s="28"/>
    </row>
    <row r="35" ht="15.0" customHeight="1">
      <c r="A35" s="28">
        <v>62.0</v>
      </c>
      <c r="B35" s="36">
        <f t="shared" si="1"/>
        <v>59</v>
      </c>
      <c r="C35" s="36">
        <f t="shared" si="2"/>
        <v>2278.398611</v>
      </c>
      <c r="D35" s="28">
        <v>74.0</v>
      </c>
      <c r="E35" s="28">
        <v>71.83934897718319</v>
      </c>
      <c r="F35" s="28">
        <v>71.83934897718319</v>
      </c>
      <c r="G35" s="28">
        <f t="shared" si="3"/>
        <v>217.678698</v>
      </c>
      <c r="H35" s="36">
        <f t="shared" si="4"/>
        <v>61.57834085</v>
      </c>
      <c r="I35" s="36" t="str">
        <f t="shared" si="5"/>
        <v>cits</v>
      </c>
      <c r="J35" s="28"/>
      <c r="K35" s="28"/>
      <c r="L35" s="28"/>
      <c r="M35" s="29"/>
      <c r="R35" s="30"/>
      <c r="S35" s="28"/>
      <c r="T35" s="28"/>
      <c r="U35" s="28"/>
      <c r="V35" s="28"/>
      <c r="W35" s="28"/>
      <c r="X35" s="28"/>
      <c r="Y35" s="28"/>
      <c r="Z35" s="28"/>
    </row>
    <row r="36" ht="15.0" customHeight="1">
      <c r="A36" s="28">
        <v>50.0</v>
      </c>
      <c r="B36" s="36">
        <f t="shared" si="1"/>
        <v>65</v>
      </c>
      <c r="C36" s="36">
        <f t="shared" si="2"/>
        <v>2935.829974</v>
      </c>
      <c r="D36" s="28">
        <v>74.0</v>
      </c>
      <c r="E36" s="28">
        <v>87.54945857664245</v>
      </c>
      <c r="F36" s="28">
        <v>87.54945857664245</v>
      </c>
      <c r="G36" s="28">
        <f t="shared" si="3"/>
        <v>249.0989172</v>
      </c>
      <c r="H36" s="36">
        <f t="shared" si="4"/>
        <v>79.34675606</v>
      </c>
      <c r="I36" s="36" t="str">
        <f t="shared" si="5"/>
        <v>cits</v>
      </c>
      <c r="J36" s="28"/>
      <c r="K36" s="28"/>
      <c r="L36" s="28"/>
      <c r="M36" s="29"/>
      <c r="R36" s="30"/>
      <c r="S36" s="28"/>
      <c r="T36" s="28"/>
      <c r="U36" s="28"/>
      <c r="V36" s="28"/>
      <c r="W36" s="28"/>
      <c r="X36" s="28"/>
      <c r="Y36" s="28"/>
      <c r="Z36" s="28"/>
    </row>
    <row r="37" ht="15.0" customHeight="1">
      <c r="A37" s="28">
        <v>128.0</v>
      </c>
      <c r="B37" s="36">
        <f t="shared" si="1"/>
        <v>26</v>
      </c>
      <c r="C37" s="36">
        <f t="shared" si="2"/>
        <v>722.9416294</v>
      </c>
      <c r="D37" s="28">
        <v>77.0</v>
      </c>
      <c r="E37" s="28">
        <v>42.83517470829477</v>
      </c>
      <c r="F37" s="28">
        <v>42.83517470829477</v>
      </c>
      <c r="G37" s="28">
        <f t="shared" si="3"/>
        <v>162.6703494</v>
      </c>
      <c r="H37" s="36">
        <f t="shared" si="4"/>
        <v>18.77770466</v>
      </c>
      <c r="I37" s="36" t="str">
        <f t="shared" si="5"/>
        <v>platleņķa</v>
      </c>
      <c r="J37" s="28"/>
      <c r="K37" s="28"/>
      <c r="L37" s="28"/>
      <c r="M37" s="31"/>
      <c r="N37" s="32"/>
      <c r="O37" s="32"/>
      <c r="P37" s="32"/>
      <c r="Q37" s="32"/>
      <c r="R37" s="33"/>
      <c r="S37" s="28"/>
      <c r="T37" s="28"/>
      <c r="U37" s="28"/>
      <c r="V37" s="28"/>
      <c r="W37" s="28"/>
      <c r="X37" s="28"/>
      <c r="Y37" s="28"/>
      <c r="Z37" s="28"/>
    </row>
    <row r="38" ht="15.0" customHeight="1">
      <c r="A38" s="28">
        <v>16.0</v>
      </c>
      <c r="B38" s="36">
        <f t="shared" si="1"/>
        <v>82</v>
      </c>
      <c r="C38" s="36">
        <f t="shared" si="2"/>
        <v>10822.47735</v>
      </c>
      <c r="D38" s="28">
        <v>78.0</v>
      </c>
      <c r="E38" s="28">
        <v>280.2265648387811</v>
      </c>
      <c r="F38" s="28">
        <v>280.2265648387811</v>
      </c>
      <c r="G38" s="28">
        <f t="shared" si="3"/>
        <v>638.4531297</v>
      </c>
      <c r="H38" s="36">
        <f t="shared" si="4"/>
        <v>277.4994192</v>
      </c>
      <c r="I38" s="36" t="str">
        <f t="shared" si="5"/>
        <v>cits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0" customHeight="1">
      <c r="A39" s="28">
        <v>11.0</v>
      </c>
      <c r="B39" s="36">
        <f t="shared" si="1"/>
        <v>84.5</v>
      </c>
      <c r="C39" s="36">
        <f t="shared" si="2"/>
        <v>15796.18896</v>
      </c>
      <c r="D39" s="28">
        <v>78.0</v>
      </c>
      <c r="E39" s="28">
        <v>406.9037904603105</v>
      </c>
      <c r="F39" s="28">
        <v>406.9037904603105</v>
      </c>
      <c r="G39" s="28">
        <f t="shared" si="3"/>
        <v>891.8075809</v>
      </c>
      <c r="H39" s="36">
        <f t="shared" si="4"/>
        <v>405.0304861</v>
      </c>
      <c r="I39" s="36" t="str">
        <f t="shared" si="5"/>
        <v>cits</v>
      </c>
      <c r="J39" s="28"/>
      <c r="K39" s="28"/>
      <c r="L39" s="28"/>
      <c r="M39" s="40"/>
      <c r="N39" s="40"/>
      <c r="O39" s="40"/>
      <c r="P39" s="40"/>
      <c r="Q39" s="40"/>
      <c r="R39" s="40"/>
      <c r="S39" s="28"/>
      <c r="T39" s="28"/>
      <c r="U39" s="28"/>
      <c r="V39" s="28"/>
      <c r="W39" s="28"/>
      <c r="X39" s="28"/>
      <c r="Y39" s="28"/>
      <c r="Z39" s="28"/>
    </row>
    <row r="40" ht="15.0" customHeight="1">
      <c r="A40" s="28">
        <v>60.0</v>
      </c>
      <c r="B40" s="36">
        <f t="shared" si="1"/>
        <v>60</v>
      </c>
      <c r="C40" s="36">
        <f t="shared" si="2"/>
        <v>2911.577408</v>
      </c>
      <c r="D40" s="28">
        <v>82.0</v>
      </c>
      <c r="E40" s="28">
        <v>82.00000000000001</v>
      </c>
      <c r="F40" s="28">
        <v>82.00000000000001</v>
      </c>
      <c r="G40" s="28">
        <f t="shared" si="3"/>
        <v>246</v>
      </c>
      <c r="H40" s="36">
        <f t="shared" si="4"/>
        <v>71.01408311</v>
      </c>
      <c r="I40" s="36" t="str">
        <f t="shared" si="5"/>
        <v>cits</v>
      </c>
      <c r="J40" s="28"/>
      <c r="K40" s="28"/>
      <c r="L40" s="28"/>
      <c r="M40" s="40"/>
      <c r="N40" s="40"/>
      <c r="O40" s="40"/>
      <c r="P40" s="40"/>
      <c r="Q40" s="40"/>
      <c r="R40" s="40"/>
      <c r="S40" s="28"/>
      <c r="T40" s="28"/>
      <c r="U40" s="28"/>
      <c r="V40" s="28"/>
      <c r="W40" s="28"/>
      <c r="X40" s="28"/>
      <c r="Y40" s="28"/>
      <c r="Z40" s="28"/>
    </row>
    <row r="41" ht="15.0" customHeight="1">
      <c r="A41" s="28">
        <v>29.0</v>
      </c>
      <c r="B41" s="36">
        <f t="shared" si="1"/>
        <v>75.5</v>
      </c>
      <c r="C41" s="36">
        <f t="shared" si="2"/>
        <v>7149.552512</v>
      </c>
      <c r="D41" s="28">
        <v>86.0</v>
      </c>
      <c r="E41" s="28">
        <v>171.73895400469075</v>
      </c>
      <c r="F41" s="28">
        <v>171.73895400469075</v>
      </c>
      <c r="G41" s="28">
        <f t="shared" si="3"/>
        <v>429.477908</v>
      </c>
      <c r="H41" s="36">
        <f t="shared" si="4"/>
        <v>166.2686631</v>
      </c>
      <c r="I41" s="36" t="str">
        <f t="shared" si="5"/>
        <v>cits</v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0" customHeight="1">
      <c r="A42" s="28">
        <v>25.0</v>
      </c>
      <c r="B42" s="36">
        <f t="shared" si="1"/>
        <v>77.5</v>
      </c>
      <c r="C42" s="36">
        <f t="shared" si="2"/>
        <v>8732.731663</v>
      </c>
      <c r="D42" s="28">
        <v>88.0</v>
      </c>
      <c r="E42" s="28">
        <v>203.28995787519315</v>
      </c>
      <c r="F42" s="28">
        <v>203.28995787519315</v>
      </c>
      <c r="G42" s="28">
        <f t="shared" si="3"/>
        <v>494.5799158</v>
      </c>
      <c r="H42" s="36">
        <f t="shared" si="4"/>
        <v>198.4711742</v>
      </c>
      <c r="I42" s="36" t="str">
        <f t="shared" si="5"/>
        <v>cits</v>
      </c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0" customHeight="1">
      <c r="A43" s="28">
        <v>88.0</v>
      </c>
      <c r="B43" s="36">
        <f t="shared" si="1"/>
        <v>46</v>
      </c>
      <c r="C43" s="36">
        <f t="shared" si="2"/>
        <v>2143.806632</v>
      </c>
      <c r="D43" s="28">
        <v>91.0</v>
      </c>
      <c r="E43" s="28">
        <v>65.49982255297056</v>
      </c>
      <c r="F43" s="28">
        <v>65.49982255297056</v>
      </c>
      <c r="G43" s="28">
        <f t="shared" si="3"/>
        <v>221.9996451</v>
      </c>
      <c r="H43" s="36">
        <f t="shared" si="4"/>
        <v>47.11662928</v>
      </c>
      <c r="I43" s="36" t="str">
        <f t="shared" si="5"/>
        <v>cits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0" customHeight="1">
      <c r="A44" s="28">
        <v>28.0</v>
      </c>
      <c r="B44" s="36">
        <f t="shared" si="1"/>
        <v>76</v>
      </c>
      <c r="C44" s="36">
        <f t="shared" si="2"/>
        <v>8303.319228</v>
      </c>
      <c r="D44" s="28">
        <v>91.0</v>
      </c>
      <c r="E44" s="28">
        <v>188.0772299969631</v>
      </c>
      <c r="F44" s="28">
        <v>188.0772299969631</v>
      </c>
      <c r="G44" s="28">
        <f t="shared" si="3"/>
        <v>467.15446</v>
      </c>
      <c r="H44" s="36">
        <f t="shared" si="4"/>
        <v>182.4905325</v>
      </c>
      <c r="I44" s="36" t="str">
        <f t="shared" si="5"/>
        <v>cits</v>
      </c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0" customHeight="1">
      <c r="A45" s="28">
        <v>91.0</v>
      </c>
      <c r="B45" s="36">
        <f t="shared" si="1"/>
        <v>44.5</v>
      </c>
      <c r="C45" s="36">
        <f t="shared" si="2"/>
        <v>2124.837157</v>
      </c>
      <c r="D45" s="28">
        <v>93.0</v>
      </c>
      <c r="E45" s="28">
        <v>65.19449101664458</v>
      </c>
      <c r="F45" s="28">
        <v>65.19449101664458</v>
      </c>
      <c r="G45" s="28">
        <f t="shared" si="3"/>
        <v>223.388982</v>
      </c>
      <c r="H45" s="36">
        <f t="shared" si="4"/>
        <v>45.69542273</v>
      </c>
      <c r="I45" s="36" t="str">
        <f t="shared" si="5"/>
        <v>platleņķa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0" customHeight="1">
      <c r="A46" s="28">
        <v>15.0</v>
      </c>
      <c r="B46" s="36">
        <f t="shared" si="1"/>
        <v>82.5</v>
      </c>
      <c r="C46" s="36">
        <f t="shared" si="2"/>
        <v>24247.54607</v>
      </c>
      <c r="D46" s="28">
        <v>113.0</v>
      </c>
      <c r="E46" s="28">
        <v>432.86331301803204</v>
      </c>
      <c r="F46" s="28">
        <v>432.86331301803204</v>
      </c>
      <c r="G46" s="28">
        <f t="shared" si="3"/>
        <v>978.726626</v>
      </c>
      <c r="H46" s="36">
        <f t="shared" si="4"/>
        <v>429.1601074</v>
      </c>
      <c r="I46" s="36" t="str">
        <f t="shared" si="5"/>
        <v>cits</v>
      </c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0" customHeight="1">
      <c r="A47" s="28">
        <v>127.0</v>
      </c>
      <c r="B47" s="36">
        <f t="shared" si="1"/>
        <v>26.5</v>
      </c>
      <c r="C47" s="36">
        <f t="shared" si="2"/>
        <v>1322.36307</v>
      </c>
      <c r="D47" s="28">
        <v>103.0</v>
      </c>
      <c r="E47" s="28">
        <v>57.546119815770254</v>
      </c>
      <c r="F47" s="28">
        <v>57.546119815770254</v>
      </c>
      <c r="G47" s="28">
        <f t="shared" si="3"/>
        <v>218.0922396</v>
      </c>
      <c r="H47" s="36">
        <f t="shared" si="4"/>
        <v>25.67695281</v>
      </c>
      <c r="I47" s="36" t="str">
        <f t="shared" si="5"/>
        <v>platleņķa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0" customHeight="1">
      <c r="A48" s="28">
        <v>12.0</v>
      </c>
      <c r="B48" s="36">
        <f t="shared" si="1"/>
        <v>84</v>
      </c>
      <c r="C48" s="36">
        <f t="shared" si="2"/>
        <v>26725.84975</v>
      </c>
      <c r="D48" s="28">
        <v>106.0</v>
      </c>
      <c r="E48" s="28">
        <v>507.0389283757982</v>
      </c>
      <c r="F48" s="28">
        <v>507.0389283757982</v>
      </c>
      <c r="G48" s="28">
        <f t="shared" si="3"/>
        <v>1120.077857</v>
      </c>
      <c r="H48" s="36">
        <f t="shared" si="4"/>
        <v>504.2613161</v>
      </c>
      <c r="I48" s="36" t="str">
        <f t="shared" si="5"/>
        <v>cits</v>
      </c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0" customHeight="1">
      <c r="A49" s="28">
        <v>38.0</v>
      </c>
      <c r="B49" s="36">
        <f t="shared" si="1"/>
        <v>71</v>
      </c>
      <c r="C49" s="36">
        <f t="shared" si="2"/>
        <v>8468.678919</v>
      </c>
      <c r="D49" s="28">
        <v>108.0</v>
      </c>
      <c r="E49" s="28">
        <v>165.86388828489106</v>
      </c>
      <c r="F49" s="28">
        <v>165.86388828489106</v>
      </c>
      <c r="G49" s="28">
        <f t="shared" si="3"/>
        <v>439.7277766</v>
      </c>
      <c r="H49" s="36">
        <f t="shared" si="4"/>
        <v>156.8273874</v>
      </c>
      <c r="I49" s="36" t="str">
        <f t="shared" si="5"/>
        <v>cits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0" customHeight="1">
      <c r="A50" s="28">
        <v>105.0</v>
      </c>
      <c r="B50" s="36">
        <f t="shared" si="1"/>
        <v>37.5</v>
      </c>
      <c r="C50" s="36">
        <f t="shared" si="2"/>
        <v>2449.499577</v>
      </c>
      <c r="D50" s="28">
        <v>113.0</v>
      </c>
      <c r="E50" s="28">
        <v>71.21669139157994</v>
      </c>
      <c r="F50" s="28">
        <v>71.21669139157994</v>
      </c>
      <c r="G50" s="28">
        <f t="shared" si="3"/>
        <v>255.4333828</v>
      </c>
      <c r="H50" s="36">
        <f t="shared" si="4"/>
        <v>43.35397482</v>
      </c>
      <c r="I50" s="36" t="str">
        <f t="shared" si="5"/>
        <v>platleņķa</v>
      </c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0" customHeight="1">
      <c r="A51" s="28">
        <v>70.0</v>
      </c>
      <c r="B51" s="36">
        <f t="shared" si="1"/>
        <v>55</v>
      </c>
      <c r="C51" s="36">
        <f t="shared" si="2"/>
        <v>4887.479516</v>
      </c>
      <c r="D51" s="28">
        <v>117.0</v>
      </c>
      <c r="E51" s="28">
        <v>101.99163754383424</v>
      </c>
      <c r="F51" s="28">
        <v>101.99163754383424</v>
      </c>
      <c r="G51" s="28">
        <f t="shared" si="3"/>
        <v>320.9832751</v>
      </c>
      <c r="H51" s="36">
        <f t="shared" si="4"/>
        <v>83.54665839</v>
      </c>
      <c r="I51" s="36" t="str">
        <f t="shared" si="5"/>
        <v>cits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0" customHeight="1">
      <c r="A52" s="28">
        <v>49.0</v>
      </c>
      <c r="B52" s="36">
        <f t="shared" si="1"/>
        <v>65.5</v>
      </c>
      <c r="C52" s="36">
        <f t="shared" si="2"/>
        <v>7899.479032</v>
      </c>
      <c r="D52" s="28">
        <v>120.0</v>
      </c>
      <c r="E52" s="28">
        <v>144.68526088267404</v>
      </c>
      <c r="F52" s="28">
        <v>144.68526088267404</v>
      </c>
      <c r="G52" s="28">
        <f t="shared" si="3"/>
        <v>409.3705218</v>
      </c>
      <c r="H52" s="36">
        <f t="shared" si="4"/>
        <v>131.6579839</v>
      </c>
      <c r="I52" s="36" t="str">
        <f t="shared" si="5"/>
        <v>cits</v>
      </c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0" customHeight="1">
      <c r="A53" s="28">
        <v>46.0</v>
      </c>
      <c r="B53" s="36">
        <f t="shared" si="1"/>
        <v>67</v>
      </c>
      <c r="C53" s="36">
        <f t="shared" si="2"/>
        <v>9055.896494</v>
      </c>
      <c r="D53" s="28">
        <v>124.0</v>
      </c>
      <c r="E53" s="28">
        <v>158.67688924534204</v>
      </c>
      <c r="F53" s="28">
        <v>158.67688924534204</v>
      </c>
      <c r="G53" s="28">
        <f t="shared" si="3"/>
        <v>441.3537785</v>
      </c>
      <c r="H53" s="36">
        <f t="shared" si="4"/>
        <v>146.0628467</v>
      </c>
      <c r="I53" s="36" t="str">
        <f t="shared" si="5"/>
        <v>cits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0" customHeight="1">
      <c r="A54" s="28">
        <v>14.0</v>
      </c>
      <c r="B54" s="36">
        <f t="shared" si="1"/>
        <v>83</v>
      </c>
      <c r="C54" s="36">
        <f t="shared" si="2"/>
        <v>32324.91097</v>
      </c>
      <c r="D54" s="28">
        <v>126.0</v>
      </c>
      <c r="E54" s="28">
        <v>516.94707003188</v>
      </c>
      <c r="F54" s="28">
        <v>516.94707003188</v>
      </c>
      <c r="G54" s="28">
        <f t="shared" si="3"/>
        <v>1159.89414</v>
      </c>
      <c r="H54" s="36">
        <f t="shared" si="4"/>
        <v>513.093825</v>
      </c>
      <c r="I54" s="36" t="str">
        <f t="shared" si="5"/>
        <v>cits</v>
      </c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0" customHeight="1">
      <c r="A55" s="28">
        <v>33.0</v>
      </c>
      <c r="B55" s="36">
        <f t="shared" si="1"/>
        <v>73.5</v>
      </c>
      <c r="C55" s="36">
        <f t="shared" si="2"/>
        <v>14929.2658</v>
      </c>
      <c r="D55" s="28">
        <v>133.0</v>
      </c>
      <c r="E55" s="28">
        <v>234.1422787185116</v>
      </c>
      <c r="F55" s="28">
        <v>234.1422787185116</v>
      </c>
      <c r="G55" s="28">
        <f t="shared" si="3"/>
        <v>601.2845574</v>
      </c>
      <c r="H55" s="36">
        <f t="shared" si="4"/>
        <v>224.5002376</v>
      </c>
      <c r="I55" s="36" t="str">
        <f t="shared" si="5"/>
        <v>cits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0" customHeight="1">
      <c r="A56" s="28">
        <v>90.0</v>
      </c>
      <c r="B56" s="36">
        <f t="shared" si="1"/>
        <v>45</v>
      </c>
      <c r="C56" s="36">
        <f t="shared" si="2"/>
        <v>4556.25</v>
      </c>
      <c r="D56" s="28">
        <v>135.0</v>
      </c>
      <c r="E56" s="28">
        <v>95.45941546018392</v>
      </c>
      <c r="F56" s="28">
        <v>95.45941546018392</v>
      </c>
      <c r="G56" s="28">
        <f t="shared" si="3"/>
        <v>325.9188309</v>
      </c>
      <c r="H56" s="36">
        <f t="shared" si="4"/>
        <v>67.5</v>
      </c>
      <c r="I56" s="36" t="str">
        <f t="shared" si="5"/>
        <v>cits</v>
      </c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0" customHeight="1">
      <c r="A57" s="28">
        <v>58.0</v>
      </c>
      <c r="B57" s="36">
        <f t="shared" si="1"/>
        <v>61</v>
      </c>
      <c r="C57" s="36">
        <f t="shared" si="2"/>
        <v>8465.04308</v>
      </c>
      <c r="D57" s="28">
        <v>137.0</v>
      </c>
      <c r="E57" s="28">
        <v>141.29257576447102</v>
      </c>
      <c r="F57" s="28">
        <v>141.29257576447102</v>
      </c>
      <c r="G57" s="28">
        <f t="shared" si="3"/>
        <v>419.5851515</v>
      </c>
      <c r="H57" s="36">
        <f t="shared" si="4"/>
        <v>123.5772712</v>
      </c>
      <c r="I57" s="36" t="str">
        <f t="shared" si="5"/>
        <v>cits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0" customHeight="1">
      <c r="A58" s="28">
        <v>119.0</v>
      </c>
      <c r="B58" s="36">
        <f t="shared" si="1"/>
        <v>30.5</v>
      </c>
      <c r="C58" s="36">
        <f t="shared" si="2"/>
        <v>2763.946478</v>
      </c>
      <c r="D58" s="28">
        <v>137.0</v>
      </c>
      <c r="E58" s="28">
        <v>79.50055910932548</v>
      </c>
      <c r="F58" s="28">
        <v>79.50055910932548</v>
      </c>
      <c r="G58" s="28">
        <f t="shared" si="3"/>
        <v>296.0011182</v>
      </c>
      <c r="H58" s="36">
        <f t="shared" si="4"/>
        <v>40.34958362</v>
      </c>
      <c r="I58" s="36" t="str">
        <f t="shared" si="5"/>
        <v>platleņķa</v>
      </c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0" customHeight="1">
      <c r="A59" s="28">
        <v>38.0</v>
      </c>
      <c r="B59" s="36">
        <f t="shared" si="1"/>
        <v>71</v>
      </c>
      <c r="C59" s="36">
        <f t="shared" si="2"/>
        <v>14640.12703</v>
      </c>
      <c r="D59" s="28">
        <v>142.0</v>
      </c>
      <c r="E59" s="28">
        <v>218.08029755976418</v>
      </c>
      <c r="F59" s="28">
        <v>218.08029755976418</v>
      </c>
      <c r="G59" s="28">
        <f t="shared" si="3"/>
        <v>578.1605951</v>
      </c>
      <c r="H59" s="36">
        <f t="shared" si="4"/>
        <v>206.1989723</v>
      </c>
      <c r="I59" s="36" t="str">
        <f t="shared" si="5"/>
        <v>cits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0" customHeight="1">
      <c r="A60" s="28">
        <v>33.0</v>
      </c>
      <c r="B60" s="36">
        <f t="shared" si="1"/>
        <v>73.5</v>
      </c>
      <c r="C60" s="36">
        <f t="shared" si="2"/>
        <v>20539.23978</v>
      </c>
      <c r="D60" s="28">
        <v>156.0</v>
      </c>
      <c r="E60" s="28">
        <v>274.6330487224647</v>
      </c>
      <c r="F60" s="28">
        <v>274.6330487224647</v>
      </c>
      <c r="G60" s="28">
        <f t="shared" si="3"/>
        <v>705.2660974</v>
      </c>
      <c r="H60" s="36">
        <f t="shared" si="4"/>
        <v>263.323587</v>
      </c>
      <c r="I60" s="36" t="str">
        <f t="shared" si="5"/>
        <v>cits</v>
      </c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0" customHeight="1">
      <c r="A61" s="28">
        <v>126.0</v>
      </c>
      <c r="B61" s="36">
        <f t="shared" si="1"/>
        <v>27</v>
      </c>
      <c r="C61" s="36">
        <f t="shared" si="2"/>
        <v>3179.94833</v>
      </c>
      <c r="D61" s="28">
        <v>158.0</v>
      </c>
      <c r="E61" s="28">
        <v>88.66377277311452</v>
      </c>
      <c r="F61" s="28">
        <v>88.66377277311452</v>
      </c>
      <c r="G61" s="28">
        <f t="shared" si="3"/>
        <v>335.3275455</v>
      </c>
      <c r="H61" s="36">
        <f t="shared" si="4"/>
        <v>40.25251051</v>
      </c>
      <c r="I61" s="36" t="str">
        <f t="shared" si="5"/>
        <v>platleņķa</v>
      </c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0" customHeight="1">
      <c r="A62" s="28">
        <v>118.0</v>
      </c>
      <c r="B62" s="36">
        <f t="shared" si="1"/>
        <v>31</v>
      </c>
      <c r="C62" s="36">
        <f t="shared" si="2"/>
        <v>3797.589327</v>
      </c>
      <c r="D62" s="28">
        <v>159.0</v>
      </c>
      <c r="E62" s="28">
        <v>92.74735507861877</v>
      </c>
      <c r="F62" s="28">
        <v>92.74735507861877</v>
      </c>
      <c r="G62" s="28">
        <f t="shared" si="3"/>
        <v>344.4947102</v>
      </c>
      <c r="H62" s="36">
        <f t="shared" si="4"/>
        <v>47.76841921</v>
      </c>
      <c r="I62" s="36" t="str">
        <f t="shared" si="5"/>
        <v>platleņķa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0" customHeight="1">
      <c r="A63" s="28">
        <v>38.0</v>
      </c>
      <c r="B63" s="36">
        <f t="shared" si="1"/>
        <v>71</v>
      </c>
      <c r="C63" s="36">
        <f t="shared" si="2"/>
        <v>20248.88429</v>
      </c>
      <c r="D63" s="28">
        <v>167.0</v>
      </c>
      <c r="E63" s="28">
        <v>256.4747161442297</v>
      </c>
      <c r="F63" s="28">
        <v>256.4747161442297</v>
      </c>
      <c r="G63" s="28">
        <f t="shared" si="3"/>
        <v>679.9494323</v>
      </c>
      <c r="H63" s="36">
        <f t="shared" si="4"/>
        <v>242.5016083</v>
      </c>
      <c r="I63" s="36" t="str">
        <f t="shared" si="5"/>
        <v>cits</v>
      </c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0" customHeight="1">
      <c r="A64" s="28">
        <v>127.0</v>
      </c>
      <c r="B64" s="36">
        <f t="shared" si="1"/>
        <v>26.5</v>
      </c>
      <c r="C64" s="36">
        <f t="shared" si="2"/>
        <v>3949.264917</v>
      </c>
      <c r="D64" s="28">
        <v>178.0</v>
      </c>
      <c r="E64" s="28">
        <v>99.44863424472918</v>
      </c>
      <c r="F64" s="28">
        <v>99.44863424472918</v>
      </c>
      <c r="G64" s="28">
        <f t="shared" si="3"/>
        <v>376.8972685</v>
      </c>
      <c r="H64" s="36">
        <f t="shared" si="4"/>
        <v>44.37376312</v>
      </c>
      <c r="I64" s="36" t="str">
        <f t="shared" si="5"/>
        <v>platleņķa</v>
      </c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0" customHeight="1">
      <c r="A65" s="28">
        <v>130.0</v>
      </c>
      <c r="B65" s="36">
        <f t="shared" si="1"/>
        <v>25</v>
      </c>
      <c r="C65" s="36">
        <f t="shared" si="2"/>
        <v>3904.044291</v>
      </c>
      <c r="D65" s="28">
        <v>183.0</v>
      </c>
      <c r="E65" s="28">
        <v>100.959079585068</v>
      </c>
      <c r="F65" s="28">
        <v>100.959079585068</v>
      </c>
      <c r="G65" s="28">
        <f t="shared" si="3"/>
        <v>384.9181592</v>
      </c>
      <c r="H65" s="36">
        <f t="shared" si="4"/>
        <v>42.66715072</v>
      </c>
      <c r="I65" s="36" t="str">
        <f t="shared" si="5"/>
        <v>platleņķa</v>
      </c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0" customHeight="1">
      <c r="A66" s="28">
        <v>50.0</v>
      </c>
      <c r="B66" s="36">
        <f t="shared" si="1"/>
        <v>65</v>
      </c>
      <c r="C66" s="36">
        <f t="shared" si="2"/>
        <v>18747.81563</v>
      </c>
      <c r="D66" s="28">
        <v>187.0</v>
      </c>
      <c r="E66" s="28">
        <v>221.2398480247586</v>
      </c>
      <c r="F66" s="28">
        <v>221.2398480247586</v>
      </c>
      <c r="G66" s="28">
        <f t="shared" si="3"/>
        <v>629.479696</v>
      </c>
      <c r="H66" s="36">
        <f t="shared" si="4"/>
        <v>200.5113971</v>
      </c>
      <c r="I66" s="36" t="str">
        <f t="shared" si="5"/>
        <v>cits</v>
      </c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0" customHeight="1">
      <c r="A67" s="28">
        <v>12.0</v>
      </c>
      <c r="B67" s="36">
        <f t="shared" si="1"/>
        <v>84</v>
      </c>
      <c r="C67" s="36">
        <f t="shared" si="2"/>
        <v>84068.92432</v>
      </c>
      <c r="D67" s="28">
        <v>188.0</v>
      </c>
      <c r="E67" s="28">
        <v>899.2765899495289</v>
      </c>
      <c r="F67" s="28">
        <v>899.2765899495289</v>
      </c>
      <c r="G67" s="28">
        <f t="shared" si="3"/>
        <v>1986.55318</v>
      </c>
      <c r="H67" s="36">
        <f t="shared" si="4"/>
        <v>894.3502587</v>
      </c>
      <c r="I67" s="36" t="str">
        <f t="shared" si="5"/>
        <v>cits</v>
      </c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0" customHeight="1">
      <c r="A68" s="28">
        <v>29.0</v>
      </c>
      <c r="B68" s="36">
        <f t="shared" si="1"/>
        <v>75.5</v>
      </c>
      <c r="C68" s="36">
        <f t="shared" si="2"/>
        <v>35265.3901</v>
      </c>
      <c r="D68" s="28">
        <v>191.0</v>
      </c>
      <c r="E68" s="28">
        <v>381.4202350569294</v>
      </c>
      <c r="F68" s="28">
        <v>381.4202350569294</v>
      </c>
      <c r="G68" s="28">
        <f t="shared" si="3"/>
        <v>953.8404701</v>
      </c>
      <c r="H68" s="36">
        <f t="shared" si="4"/>
        <v>369.2711006</v>
      </c>
      <c r="I68" s="36" t="str">
        <f t="shared" si="5"/>
        <v>cits</v>
      </c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0" customHeight="1">
      <c r="A69" s="28">
        <v>125.0</v>
      </c>
      <c r="B69" s="36">
        <f t="shared" si="1"/>
        <v>27.5</v>
      </c>
      <c r="C69" s="36">
        <f t="shared" si="2"/>
        <v>5904.401629</v>
      </c>
      <c r="D69" s="28">
        <v>213.0</v>
      </c>
      <c r="E69" s="28">
        <v>120.06617734126546</v>
      </c>
      <c r="F69" s="28">
        <v>120.06617734126546</v>
      </c>
      <c r="G69" s="28">
        <f t="shared" si="3"/>
        <v>453.1323547</v>
      </c>
      <c r="H69" s="36">
        <f t="shared" si="4"/>
        <v>55.44039088</v>
      </c>
      <c r="I69" s="36" t="str">
        <f t="shared" si="5"/>
        <v>platleņķa</v>
      </c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0" customHeight="1">
      <c r="A70" s="28">
        <v>42.0</v>
      </c>
      <c r="B70" s="36">
        <f t="shared" si="1"/>
        <v>69</v>
      </c>
      <c r="C70" s="36">
        <f t="shared" si="2"/>
        <v>30385.75885</v>
      </c>
      <c r="D70" s="28">
        <v>216.0</v>
      </c>
      <c r="E70" s="28">
        <v>301.3662358395363</v>
      </c>
      <c r="F70" s="28">
        <v>301.3662358395363</v>
      </c>
      <c r="G70" s="28">
        <f t="shared" si="3"/>
        <v>818.7324717</v>
      </c>
      <c r="H70" s="36">
        <f t="shared" si="4"/>
        <v>281.349619</v>
      </c>
      <c r="I70" s="36" t="str">
        <f t="shared" si="5"/>
        <v>cits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9">
    <mergeCell ref="M29:R32"/>
    <mergeCell ref="M34:R37"/>
    <mergeCell ref="A1:K1"/>
    <mergeCell ref="M4:R5"/>
    <mergeCell ref="M9:R11"/>
    <mergeCell ref="M13:R15"/>
    <mergeCell ref="M17:R19"/>
    <mergeCell ref="M21:R23"/>
    <mergeCell ref="M25:R27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5.25"/>
    <col customWidth="1" min="3" max="4" width="15.75"/>
    <col customWidth="1" min="5" max="5" width="15.88"/>
    <col customWidth="1" min="6" max="6" width="15.38"/>
    <col customWidth="1" min="7" max="7" width="20.5"/>
    <col customWidth="1" min="8" max="26" width="8.88"/>
  </cols>
  <sheetData>
    <row r="1" ht="12.75" customHeight="1">
      <c r="A1" s="41" t="s">
        <v>76</v>
      </c>
      <c r="B1" s="41"/>
      <c r="C1" s="41"/>
      <c r="D1" s="41"/>
      <c r="E1" s="41"/>
      <c r="F1" s="41"/>
      <c r="G1" s="41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2.75" customHeight="1">
      <c r="A2" s="42"/>
      <c r="B2" s="28" t="s">
        <v>48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3.5" customHeight="1">
      <c r="A3" s="28" t="s">
        <v>77</v>
      </c>
      <c r="B3" s="42">
        <v>10.0</v>
      </c>
      <c r="C3" s="42">
        <v>12.0</v>
      </c>
      <c r="D3" s="42">
        <v>14.0</v>
      </c>
      <c r="E3" s="42">
        <v>16.0</v>
      </c>
      <c r="F3" s="42">
        <v>18.0</v>
      </c>
      <c r="G3" s="42">
        <v>20.0</v>
      </c>
      <c r="H3" s="42"/>
      <c r="I3" s="42"/>
      <c r="J3" s="20">
        <v>16.0</v>
      </c>
      <c r="K3" s="25" t="s">
        <v>78</v>
      </c>
      <c r="L3" s="26"/>
      <c r="M3" s="26"/>
      <c r="N3" s="26"/>
      <c r="O3" s="27"/>
      <c r="P3" s="42" t="s">
        <v>79</v>
      </c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2.75" customHeight="1">
      <c r="A4" s="28">
        <v>20.0</v>
      </c>
      <c r="B4" s="11">
        <f t="shared" ref="B4:B9" si="1">($B$3*SIN(RADIANS(A4))*$B$3*COS(RADIANS(A4)))/2</f>
        <v>16.06969024</v>
      </c>
      <c r="C4" s="11">
        <f t="shared" ref="C4:C9" si="2">($C$3*SIN(RADIANS(A4))*C$3*COS(RADIANS(A4)))/2</f>
        <v>23.14035395</v>
      </c>
      <c r="D4" s="11">
        <f t="shared" ref="D4:D9" si="3">($D$3*SIN(RADIANS(A4))*$D$3*COS(RADIANS(A4)))/2</f>
        <v>31.49659287</v>
      </c>
      <c r="E4" s="11">
        <f t="shared" ref="E4:E9" si="4">($E$3*SIN(RADIANS(A4))*$E$3*COS(RADIANS(A4)))/2</f>
        <v>41.13840702</v>
      </c>
      <c r="F4" s="11">
        <f t="shared" ref="F4:F9" si="5">($F$3*SIN(RADIANS(A4))*$F$3*COS(RADIANS(A4)))/2</f>
        <v>52.06579638</v>
      </c>
      <c r="G4" s="11">
        <f t="shared" ref="G4:G9" si="6">($G$3*SIN(RADIANS(A4))*$G$3*COS(RADIANS(A4)))/2</f>
        <v>64.27876097</v>
      </c>
      <c r="H4" s="42"/>
      <c r="I4" s="42"/>
      <c r="J4" s="42"/>
      <c r="K4" s="29"/>
      <c r="O4" s="30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2.75" customHeight="1">
      <c r="A5" s="28">
        <v>30.0</v>
      </c>
      <c r="B5" s="11">
        <f t="shared" si="1"/>
        <v>21.65063509</v>
      </c>
      <c r="C5" s="11">
        <f t="shared" si="2"/>
        <v>31.17691454</v>
      </c>
      <c r="D5" s="11">
        <f t="shared" si="3"/>
        <v>42.43524479</v>
      </c>
      <c r="E5" s="11">
        <f t="shared" si="4"/>
        <v>55.42562584</v>
      </c>
      <c r="F5" s="11">
        <f t="shared" si="5"/>
        <v>70.14805771</v>
      </c>
      <c r="G5" s="11">
        <f t="shared" si="6"/>
        <v>86.60254038</v>
      </c>
      <c r="H5" s="42"/>
      <c r="I5" s="42"/>
      <c r="J5" s="42"/>
      <c r="K5" s="29"/>
      <c r="O5" s="30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2.75" customHeight="1">
      <c r="A6" s="28">
        <v>40.0</v>
      </c>
      <c r="B6" s="11">
        <f t="shared" si="1"/>
        <v>24.62019383</v>
      </c>
      <c r="C6" s="11">
        <f t="shared" si="2"/>
        <v>35.45307911</v>
      </c>
      <c r="D6" s="11">
        <f t="shared" si="3"/>
        <v>48.2555799</v>
      </c>
      <c r="E6" s="11">
        <f t="shared" si="4"/>
        <v>63.02769619</v>
      </c>
      <c r="F6" s="11">
        <f t="shared" si="5"/>
        <v>79.76942799</v>
      </c>
      <c r="G6" s="11">
        <f t="shared" si="6"/>
        <v>98.4807753</v>
      </c>
      <c r="H6" s="42"/>
      <c r="I6" s="42"/>
      <c r="J6" s="42"/>
      <c r="K6" s="29"/>
      <c r="O6" s="30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2.75" customHeight="1">
      <c r="A7" s="28">
        <v>50.0</v>
      </c>
      <c r="B7" s="11">
        <f t="shared" si="1"/>
        <v>24.62019383</v>
      </c>
      <c r="C7" s="11">
        <f t="shared" si="2"/>
        <v>35.45307911</v>
      </c>
      <c r="D7" s="11">
        <f t="shared" si="3"/>
        <v>48.2555799</v>
      </c>
      <c r="E7" s="11">
        <f t="shared" si="4"/>
        <v>63.02769619</v>
      </c>
      <c r="F7" s="11">
        <f t="shared" si="5"/>
        <v>79.76942799</v>
      </c>
      <c r="G7" s="11">
        <f t="shared" si="6"/>
        <v>98.4807753</v>
      </c>
      <c r="H7" s="42"/>
      <c r="I7" s="42"/>
      <c r="J7" s="42"/>
      <c r="K7" s="31"/>
      <c r="L7" s="32"/>
      <c r="M7" s="32"/>
      <c r="N7" s="32"/>
      <c r="O7" s="33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2.75" customHeight="1">
      <c r="A8" s="28">
        <v>60.0</v>
      </c>
      <c r="B8" s="11">
        <f t="shared" si="1"/>
        <v>21.65063509</v>
      </c>
      <c r="C8" s="11">
        <f t="shared" si="2"/>
        <v>31.17691454</v>
      </c>
      <c r="D8" s="11">
        <f t="shared" si="3"/>
        <v>42.43524479</v>
      </c>
      <c r="E8" s="11">
        <f t="shared" si="4"/>
        <v>55.42562584</v>
      </c>
      <c r="F8" s="11">
        <f t="shared" si="5"/>
        <v>70.14805771</v>
      </c>
      <c r="G8" s="11">
        <f t="shared" si="6"/>
        <v>86.60254038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2.75" customHeight="1">
      <c r="A9" s="28">
        <v>70.0</v>
      </c>
      <c r="B9" s="11">
        <f t="shared" si="1"/>
        <v>16.06969024</v>
      </c>
      <c r="C9" s="11">
        <f t="shared" si="2"/>
        <v>23.14035395</v>
      </c>
      <c r="D9" s="11">
        <f t="shared" si="3"/>
        <v>31.49659287</v>
      </c>
      <c r="E9" s="11">
        <f t="shared" si="4"/>
        <v>41.13840702</v>
      </c>
      <c r="F9" s="11">
        <f t="shared" si="5"/>
        <v>52.06579638</v>
      </c>
      <c r="G9" s="11">
        <f t="shared" si="6"/>
        <v>64.27876097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2.7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2.75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2.7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2.7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2.7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2.7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2.75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2.7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2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2.75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2.7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2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2.7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2.7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2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2.7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2.7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2.75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2.7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2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2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2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2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2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2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2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2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2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2.7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2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2.7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2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2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2.7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2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2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2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2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2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2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2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2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2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2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2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2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2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2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2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2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2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2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2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2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2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2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2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2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2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2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2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2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2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2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2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2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2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2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2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2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2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2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2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2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2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2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2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2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2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2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2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2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2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2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2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2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2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2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2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2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2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2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2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2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2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2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2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2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2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2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2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2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2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2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2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2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2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2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2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2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2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2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2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2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2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2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2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2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2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2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2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2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2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2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2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2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2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2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2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2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2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2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2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2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2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2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2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2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2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2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2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2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2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2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2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2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2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2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2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2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2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2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2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2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2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2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2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2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2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2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2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2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2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2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2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2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2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2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2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2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2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2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2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2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2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2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2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2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2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2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2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2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2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2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2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2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2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2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2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2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2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2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2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2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2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2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2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2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2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2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2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2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2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2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2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2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2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2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2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2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2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2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2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2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2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2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2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2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2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2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2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2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2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2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2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2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2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2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2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2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2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2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2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2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2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2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2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2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2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2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2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2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2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2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2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2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2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2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2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2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2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2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2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2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2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2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2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2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2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2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2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2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2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2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2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2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2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2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2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2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2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2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2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2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2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2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2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2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2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2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2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2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2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2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2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2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2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2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2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2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2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2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2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2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2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2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2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2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2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2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2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2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2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2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2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2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2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2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2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2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2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2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2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2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2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2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2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2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2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2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2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2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2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2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2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2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2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2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2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2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2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2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2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2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2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2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2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2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2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2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2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2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2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2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2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2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2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2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2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2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2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2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2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2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2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2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2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2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2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2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2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2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2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2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2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2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2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2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2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2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2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2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2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2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2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2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2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2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2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2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2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2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2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2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2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2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2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2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2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2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2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2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2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2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2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2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2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2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2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2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2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2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2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2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2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2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2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2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2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2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2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2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2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2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2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2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2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2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2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2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2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2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2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2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2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2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2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2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2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2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2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2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2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2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2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2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2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2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2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2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2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2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2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2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2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2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2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2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2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2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2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2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2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2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2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2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2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2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2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2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2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2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2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2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2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2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2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2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2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2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2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2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2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2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2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2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2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2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2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2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2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2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2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2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2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2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2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2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2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2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2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2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2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2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2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2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2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2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2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2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2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2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2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2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2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2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2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2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2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2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2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2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2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2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2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2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2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2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2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2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2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2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2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2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2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2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2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2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2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2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2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2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2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2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2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2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2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2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2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2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2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2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2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2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2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2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2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2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2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2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2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2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2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2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2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2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2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2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2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2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2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2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2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2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2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2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2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2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2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2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2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2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2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2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2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2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2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2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2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2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2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2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2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2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2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2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2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2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2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2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2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2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2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2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2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2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2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2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2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2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2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2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2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2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2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2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2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2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2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2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2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2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2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2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2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2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2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2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2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2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2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2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2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2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2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2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2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2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2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2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2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2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2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2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2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2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2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2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2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2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2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2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2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2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2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2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2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2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2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2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2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2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2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2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2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2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2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2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2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2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2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2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2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2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2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2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2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2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2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2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2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2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2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2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2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2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2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2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2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2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2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2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2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2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2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2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2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2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2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2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2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2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2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2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2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2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2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2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2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2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2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2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2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2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2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2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2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2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2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2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2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2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2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2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2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2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2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2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2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2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2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2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2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2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2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2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2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2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2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2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2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2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2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2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2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2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2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2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2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2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2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2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2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2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2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2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2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2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2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2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2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2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2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2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2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2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2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2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2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2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2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2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2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2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2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2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2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2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2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2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2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2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2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2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2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2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2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2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2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2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2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2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2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2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2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2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2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2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2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2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2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2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2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2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2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2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2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2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2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2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2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2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2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2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2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2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2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2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2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2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2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2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2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2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2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2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2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2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2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2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2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2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2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2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2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2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2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2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2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2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2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2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2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2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2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2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2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2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2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2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2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2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2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2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2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2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2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2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2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2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2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2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2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2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2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2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2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2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2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2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2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2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2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2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2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2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2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2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2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2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2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2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2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2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2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2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2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2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2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2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2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2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2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2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2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2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2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2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2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2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2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2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2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2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2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2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2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2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2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2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2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2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2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2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2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2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2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2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2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2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2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2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2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2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2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2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2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2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2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2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2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2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2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2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2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2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2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2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2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2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2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2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2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2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2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2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2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2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2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2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2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2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2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2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2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2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2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2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2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2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2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2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2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2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2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2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2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2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2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2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2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2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2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2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2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2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2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2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2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2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2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2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2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2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2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2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2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2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2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2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2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2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2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2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2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2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2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2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2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2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2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mergeCells count="2">
    <mergeCell ref="B2:G2"/>
    <mergeCell ref="K3:O7"/>
  </mergeCells>
  <printOptions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6" width="9.13"/>
    <col customWidth="1" min="7" max="13" width="15.63"/>
    <col customWidth="1" min="14" max="14" width="16.25"/>
    <col customWidth="1" min="15" max="15" width="12.25"/>
    <col customWidth="1" min="16" max="26" width="9.13"/>
  </cols>
  <sheetData>
    <row r="1" ht="12.75" customHeight="1">
      <c r="A1" s="43" t="s">
        <v>80</v>
      </c>
      <c r="B1" s="28"/>
      <c r="C1" s="28"/>
      <c r="D1" s="28"/>
      <c r="E1" s="28"/>
      <c r="F1" s="28"/>
      <c r="G1" s="28"/>
      <c r="H1" s="28"/>
      <c r="I1" s="44"/>
      <c r="J1" s="28"/>
      <c r="K1" s="28"/>
      <c r="L1" s="28"/>
      <c r="M1" s="28"/>
      <c r="N1" s="28"/>
      <c r="O1" s="37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2.75" customHeight="1">
      <c r="A2" s="34" t="s">
        <v>81</v>
      </c>
      <c r="G2" s="28"/>
      <c r="H2" s="28"/>
      <c r="I2" s="28"/>
      <c r="J2" s="28"/>
      <c r="K2" s="28"/>
      <c r="L2" s="28"/>
      <c r="M2" s="28"/>
      <c r="N2" s="28"/>
      <c r="O2" s="37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2.75" customHeight="1">
      <c r="A3" s="34" t="s">
        <v>82</v>
      </c>
      <c r="B3" s="34" t="s">
        <v>83</v>
      </c>
      <c r="C3" s="34" t="s">
        <v>84</v>
      </c>
      <c r="D3" s="34" t="s">
        <v>85</v>
      </c>
      <c r="E3" s="34" t="s">
        <v>86</v>
      </c>
      <c r="F3" s="34" t="s">
        <v>87</v>
      </c>
      <c r="G3" s="34" t="s">
        <v>45</v>
      </c>
      <c r="H3" s="34" t="s">
        <v>46</v>
      </c>
      <c r="I3" s="34" t="s">
        <v>47</v>
      </c>
      <c r="J3" s="34" t="s">
        <v>53</v>
      </c>
      <c r="K3" s="34" t="s">
        <v>88</v>
      </c>
      <c r="L3" s="34" t="s">
        <v>89</v>
      </c>
      <c r="M3" s="34" t="s">
        <v>90</v>
      </c>
      <c r="N3" s="34"/>
      <c r="O3" s="37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3.5" customHeight="1">
      <c r="A4" s="36">
        <v>81.0</v>
      </c>
      <c r="B4" s="36">
        <v>-52.0</v>
      </c>
      <c r="C4" s="36">
        <v>74.0</v>
      </c>
      <c r="D4" s="36">
        <v>27.0</v>
      </c>
      <c r="E4" s="36">
        <v>75.0</v>
      </c>
      <c r="F4" s="36">
        <v>14.0</v>
      </c>
      <c r="G4" s="36">
        <v>179.20427644725643</v>
      </c>
      <c r="H4" s="36">
        <v>0.6649114980280847</v>
      </c>
      <c r="I4" s="36">
        <v>0.13081205468418922</v>
      </c>
      <c r="J4" s="36">
        <v>11.999999999883267</v>
      </c>
      <c r="K4" s="36">
        <v>79.30952023559341</v>
      </c>
      <c r="L4" s="36">
        <v>13.038404810405298</v>
      </c>
      <c r="M4" s="36">
        <v>66.27216610312357</v>
      </c>
      <c r="N4" s="28" t="str">
        <f t="shared" ref="N4:N71" si="1">IF(OR(G4&gt;90,H4&gt;90,I4&gt;90),"nav šaurleņķa","ir šaurleņķa")</f>
        <v>nav šaurleņķa</v>
      </c>
      <c r="O4" s="37">
        <v>20.0</v>
      </c>
      <c r="P4" s="39" t="s">
        <v>91</v>
      </c>
      <c r="Q4" s="26"/>
      <c r="R4" s="26"/>
      <c r="S4" s="27"/>
      <c r="T4" s="28" t="s">
        <v>41</v>
      </c>
      <c r="U4" s="28"/>
      <c r="V4" s="28"/>
      <c r="W4" s="28"/>
      <c r="X4" s="28"/>
      <c r="Y4" s="28"/>
      <c r="Z4" s="28"/>
    </row>
    <row r="5" ht="12.75" customHeight="1">
      <c r="A5" s="36">
        <v>53.0</v>
      </c>
      <c r="B5" s="36">
        <v>-2.0</v>
      </c>
      <c r="C5" s="36">
        <v>53.0</v>
      </c>
      <c r="D5" s="36">
        <v>-1.0</v>
      </c>
      <c r="E5" s="36">
        <v>6.0</v>
      </c>
      <c r="F5" s="36">
        <v>-45.0</v>
      </c>
      <c r="G5" s="36">
        <v>0.6566163730744211</v>
      </c>
      <c r="H5" s="36">
        <v>46.88818800674132</v>
      </c>
      <c r="I5" s="36">
        <v>132.45519562018762</v>
      </c>
      <c r="J5" s="36">
        <v>47.000000000000306</v>
      </c>
      <c r="K5" s="36">
        <v>1.0</v>
      </c>
      <c r="L5" s="36">
        <v>64.38167441127949</v>
      </c>
      <c r="M5" s="36">
        <v>63.702433234531945</v>
      </c>
      <c r="N5" s="28" t="str">
        <f t="shared" si="1"/>
        <v>nav šaurleņķa</v>
      </c>
      <c r="O5" s="37"/>
      <c r="P5" s="29"/>
      <c r="S5" s="30"/>
      <c r="T5" s="28"/>
      <c r="U5" s="28"/>
      <c r="V5" s="28"/>
      <c r="W5" s="28"/>
      <c r="X5" s="28"/>
      <c r="Y5" s="28"/>
      <c r="Z5" s="28"/>
    </row>
    <row r="6" ht="12.75" customHeight="1">
      <c r="A6" s="36">
        <v>74.0</v>
      </c>
      <c r="B6" s="36">
        <v>-96.0</v>
      </c>
      <c r="C6" s="36">
        <v>38.0</v>
      </c>
      <c r="D6" s="36">
        <v>10.0</v>
      </c>
      <c r="E6" s="36">
        <v>19.0</v>
      </c>
      <c r="F6" s="36">
        <v>64.0</v>
      </c>
      <c r="G6" s="36">
        <v>0.4141078708714995</v>
      </c>
      <c r="H6" s="36">
        <v>179.37413466848358</v>
      </c>
      <c r="I6" s="36">
        <v>0.2117574606434372</v>
      </c>
      <c r="J6" s="36">
        <v>70.00000000009165</v>
      </c>
      <c r="K6" s="36">
        <v>111.94641575325224</v>
      </c>
      <c r="L6" s="36">
        <v>57.245087125446844</v>
      </c>
      <c r="M6" s="36">
        <v>169.1892431568863</v>
      </c>
      <c r="N6" s="28" t="str">
        <f t="shared" si="1"/>
        <v>nav šaurleņķa</v>
      </c>
      <c r="O6" s="37"/>
      <c r="P6" s="31"/>
      <c r="Q6" s="32"/>
      <c r="R6" s="32"/>
      <c r="S6" s="33"/>
      <c r="T6" s="28"/>
      <c r="U6" s="28"/>
      <c r="V6" s="28"/>
      <c r="W6" s="28"/>
      <c r="X6" s="28"/>
      <c r="Y6" s="28"/>
      <c r="Z6" s="28"/>
    </row>
    <row r="7" ht="12.75" customHeight="1">
      <c r="A7" s="36">
        <v>74.0</v>
      </c>
      <c r="B7" s="36">
        <v>40.0</v>
      </c>
      <c r="C7" s="36">
        <v>73.0</v>
      </c>
      <c r="D7" s="36">
        <v>54.0</v>
      </c>
      <c r="E7" s="36">
        <v>65.0</v>
      </c>
      <c r="F7" s="36">
        <v>-7.0</v>
      </c>
      <c r="G7" s="36">
        <v>3.368746277737762</v>
      </c>
      <c r="H7" s="36">
        <v>11.557175956567132</v>
      </c>
      <c r="I7" s="36">
        <v>165.07407776569448</v>
      </c>
      <c r="J7" s="36">
        <v>172.9999999999982</v>
      </c>
      <c r="K7" s="36">
        <v>14.035668847618199</v>
      </c>
      <c r="L7" s="36">
        <v>61.5223536610881</v>
      </c>
      <c r="M7" s="36">
        <v>47.853944456021594</v>
      </c>
      <c r="N7" s="28" t="str">
        <f t="shared" si="1"/>
        <v>nav šaurleņķa</v>
      </c>
      <c r="O7" s="37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3.5" customHeight="1">
      <c r="A8" s="36">
        <v>77.0</v>
      </c>
      <c r="B8" s="36">
        <v>75.0</v>
      </c>
      <c r="C8" s="36">
        <v>-65.0</v>
      </c>
      <c r="D8" s="36">
        <v>-63.0</v>
      </c>
      <c r="E8" s="36">
        <v>-81.0</v>
      </c>
      <c r="F8" s="36">
        <v>-80.0</v>
      </c>
      <c r="G8" s="36">
        <v>2.284848599495368</v>
      </c>
      <c r="H8" s="36">
        <v>177.44583994938347</v>
      </c>
      <c r="I8" s="36">
        <v>0.2693114511284835</v>
      </c>
      <c r="J8" s="36">
        <v>205.99999999996186</v>
      </c>
      <c r="K8" s="36">
        <v>198.01010075246163</v>
      </c>
      <c r="L8" s="36">
        <v>23.345235059857504</v>
      </c>
      <c r="M8" s="36">
        <v>221.33458834985552</v>
      </c>
      <c r="N8" s="28" t="str">
        <f t="shared" si="1"/>
        <v>nav šaurleņķa</v>
      </c>
      <c r="O8" s="37">
        <v>21.0</v>
      </c>
      <c r="P8" s="45" t="s">
        <v>92</v>
      </c>
      <c r="Q8" s="26"/>
      <c r="R8" s="26"/>
      <c r="S8" s="27"/>
      <c r="T8" s="28" t="s">
        <v>51</v>
      </c>
      <c r="U8" s="28"/>
      <c r="V8" s="28"/>
      <c r="W8" s="28"/>
      <c r="X8" s="28"/>
      <c r="Y8" s="28"/>
      <c r="Z8" s="28"/>
    </row>
    <row r="9" ht="12.75" customHeight="1">
      <c r="A9" s="36">
        <v>53.0</v>
      </c>
      <c r="B9" s="36">
        <v>55.0</v>
      </c>
      <c r="C9" s="36">
        <v>55.0</v>
      </c>
      <c r="D9" s="36">
        <v>12.0</v>
      </c>
      <c r="E9" s="36">
        <v>50.0</v>
      </c>
      <c r="F9" s="36">
        <v>12.0</v>
      </c>
      <c r="G9" s="36">
        <v>86.00908690157019</v>
      </c>
      <c r="H9" s="36">
        <v>87.33699923393289</v>
      </c>
      <c r="I9" s="36">
        <v>6.653913864496843</v>
      </c>
      <c r="J9" s="36">
        <v>215.0</v>
      </c>
      <c r="K9" s="36">
        <v>43.04648650006177</v>
      </c>
      <c r="L9" s="36">
        <v>5.0</v>
      </c>
      <c r="M9" s="36">
        <v>43.104524124504614</v>
      </c>
      <c r="N9" s="28" t="str">
        <f t="shared" si="1"/>
        <v>ir šaurleņķa</v>
      </c>
      <c r="O9" s="37"/>
      <c r="P9" s="29"/>
      <c r="S9" s="30"/>
      <c r="T9" s="28"/>
      <c r="U9" s="28"/>
      <c r="V9" s="28"/>
      <c r="W9" s="28"/>
      <c r="X9" s="28"/>
      <c r="Y9" s="28"/>
      <c r="Z9" s="28"/>
    </row>
    <row r="10" ht="12.75" customHeight="1">
      <c r="A10" s="36">
        <v>88.0</v>
      </c>
      <c r="B10" s="36">
        <v>-95.0</v>
      </c>
      <c r="C10" s="36">
        <v>88.0</v>
      </c>
      <c r="D10" s="36">
        <v>-88.0</v>
      </c>
      <c r="E10" s="36">
        <v>45.0</v>
      </c>
      <c r="F10" s="36">
        <v>-57.0</v>
      </c>
      <c r="G10" s="36">
        <v>5.678731956925699</v>
      </c>
      <c r="H10" s="36">
        <v>125.78897345918337</v>
      </c>
      <c r="I10" s="36">
        <v>48.53229458389085</v>
      </c>
      <c r="J10" s="36">
        <v>300.9999999999999</v>
      </c>
      <c r="K10" s="36">
        <v>7.0</v>
      </c>
      <c r="L10" s="36">
        <v>53.009433122794285</v>
      </c>
      <c r="M10" s="36">
        <v>57.38466694161429</v>
      </c>
      <c r="N10" s="28" t="str">
        <f t="shared" si="1"/>
        <v>nav šaurleņķa</v>
      </c>
      <c r="O10" s="37"/>
      <c r="P10" s="29"/>
      <c r="S10" s="30"/>
      <c r="T10" s="28"/>
      <c r="U10" s="28"/>
      <c r="V10" s="28"/>
      <c r="W10" s="28"/>
      <c r="X10" s="28"/>
      <c r="Y10" s="28"/>
      <c r="Z10" s="28"/>
    </row>
    <row r="11" ht="12.75" customHeight="1">
      <c r="A11" s="36">
        <v>-84.0</v>
      </c>
      <c r="B11" s="36">
        <v>-61.0</v>
      </c>
      <c r="C11" s="36">
        <v>-10.0</v>
      </c>
      <c r="D11" s="36">
        <v>-13.0</v>
      </c>
      <c r="E11" s="36">
        <v>-28.0</v>
      </c>
      <c r="F11" s="36">
        <v>-29.0</v>
      </c>
      <c r="G11" s="36">
        <v>168.1113419603721</v>
      </c>
      <c r="H11" s="36">
        <v>8.664135433108177</v>
      </c>
      <c r="I11" s="36">
        <v>3.2245226065200945</v>
      </c>
      <c r="J11" s="36">
        <v>320.000000000004</v>
      </c>
      <c r="K11" s="36">
        <v>88.20430828479978</v>
      </c>
      <c r="L11" s="36">
        <v>24.08318915758459</v>
      </c>
      <c r="M11" s="36">
        <v>64.4980619863884</v>
      </c>
      <c r="N11" s="28" t="str">
        <f t="shared" si="1"/>
        <v>nav šaurleņķa</v>
      </c>
      <c r="O11" s="37"/>
      <c r="P11" s="29"/>
      <c r="S11" s="30"/>
      <c r="T11" s="28"/>
      <c r="U11" s="28"/>
      <c r="V11" s="28"/>
      <c r="W11" s="28"/>
      <c r="X11" s="28"/>
      <c r="Y11" s="28"/>
      <c r="Z11" s="28"/>
    </row>
    <row r="12" ht="12.75" customHeight="1">
      <c r="A12" s="36">
        <v>82.0</v>
      </c>
      <c r="B12" s="36">
        <v>-68.0</v>
      </c>
      <c r="C12" s="36">
        <v>40.0</v>
      </c>
      <c r="D12" s="36">
        <v>0.0</v>
      </c>
      <c r="E12" s="36">
        <v>-26.0</v>
      </c>
      <c r="F12" s="36">
        <v>99.0</v>
      </c>
      <c r="G12" s="36">
        <v>0.7990525092109705</v>
      </c>
      <c r="H12" s="36">
        <v>178.0113621435271</v>
      </c>
      <c r="I12" s="36">
        <v>1.1895853472655196</v>
      </c>
      <c r="J12" s="36">
        <v>329.99999999980787</v>
      </c>
      <c r="K12" s="36">
        <v>79.92496481075234</v>
      </c>
      <c r="L12" s="36">
        <v>118.98319209031165</v>
      </c>
      <c r="M12" s="36">
        <v>198.8793604173143</v>
      </c>
      <c r="N12" s="28" t="str">
        <f t="shared" si="1"/>
        <v>nav šaurleņķa</v>
      </c>
      <c r="O12" s="37"/>
      <c r="P12" s="29"/>
      <c r="S12" s="30"/>
      <c r="T12" s="28"/>
      <c r="U12" s="28"/>
      <c r="V12" s="28"/>
      <c r="W12" s="28"/>
      <c r="X12" s="28"/>
      <c r="Y12" s="28"/>
      <c r="Z12" s="28"/>
    </row>
    <row r="13" ht="12.75" customHeight="1">
      <c r="A13" s="36">
        <v>-58.0</v>
      </c>
      <c r="B13" s="36">
        <v>-88.0</v>
      </c>
      <c r="C13" s="36">
        <v>-30.0</v>
      </c>
      <c r="D13" s="36">
        <v>-16.0</v>
      </c>
      <c r="E13" s="36">
        <v>-17.0</v>
      </c>
      <c r="F13" s="36">
        <v>30.0</v>
      </c>
      <c r="G13" s="36">
        <v>3.3794198124666743</v>
      </c>
      <c r="H13" s="36">
        <v>174.53024780238238</v>
      </c>
      <c r="I13" s="36">
        <v>2.0903323851524873</v>
      </c>
      <c r="J13" s="36">
        <v>351.99999999998505</v>
      </c>
      <c r="K13" s="36">
        <v>77.25283166331187</v>
      </c>
      <c r="L13" s="36">
        <v>47.80167361086848</v>
      </c>
      <c r="M13" s="36">
        <v>124.91997438360288</v>
      </c>
      <c r="N13" s="28" t="str">
        <f t="shared" si="1"/>
        <v>nav šaurleņķa</v>
      </c>
      <c r="O13" s="37"/>
      <c r="P13" s="29"/>
      <c r="S13" s="30"/>
      <c r="T13" s="28"/>
      <c r="U13" s="28"/>
      <c r="V13" s="28"/>
      <c r="W13" s="28"/>
      <c r="X13" s="28"/>
      <c r="Y13" s="28"/>
      <c r="Z13" s="28"/>
    </row>
    <row r="14" ht="12.75" customHeight="1">
      <c r="A14" s="36">
        <v>-51.0</v>
      </c>
      <c r="B14" s="36">
        <v>-71.0</v>
      </c>
      <c r="C14" s="36">
        <v>88.0</v>
      </c>
      <c r="D14" s="36">
        <v>54.0</v>
      </c>
      <c r="E14" s="36">
        <v>22.0</v>
      </c>
      <c r="F14" s="36">
        <v>-8.0</v>
      </c>
      <c r="G14" s="36">
        <v>177.5845536065363</v>
      </c>
      <c r="H14" s="36">
        <v>1.2456585168084118</v>
      </c>
      <c r="I14" s="36">
        <v>1.169787876651148</v>
      </c>
      <c r="J14" s="36">
        <v>367.9999999996794</v>
      </c>
      <c r="K14" s="36">
        <v>186.93849255838134</v>
      </c>
      <c r="L14" s="36">
        <v>90.55385138137417</v>
      </c>
      <c r="M14" s="36">
        <v>96.42613753542138</v>
      </c>
      <c r="N14" s="28" t="str">
        <f t="shared" si="1"/>
        <v>nav šaurleņķa</v>
      </c>
      <c r="O14" s="37"/>
      <c r="P14" s="29"/>
      <c r="S14" s="30"/>
      <c r="T14" s="28"/>
      <c r="U14" s="28"/>
      <c r="V14" s="28"/>
      <c r="W14" s="28"/>
      <c r="X14" s="28"/>
      <c r="Y14" s="28"/>
      <c r="Z14" s="28"/>
    </row>
    <row r="15" ht="12.75" customHeight="1">
      <c r="A15" s="36">
        <v>-5.0</v>
      </c>
      <c r="B15" s="36">
        <v>-73.0</v>
      </c>
      <c r="C15" s="36">
        <v>-14.0</v>
      </c>
      <c r="D15" s="36">
        <v>12.0</v>
      </c>
      <c r="E15" s="36">
        <v>-25.0</v>
      </c>
      <c r="F15" s="36">
        <v>58.0</v>
      </c>
      <c r="G15" s="36">
        <v>4.76819662661497</v>
      </c>
      <c r="H15" s="36">
        <v>172.59547711055427</v>
      </c>
      <c r="I15" s="36">
        <v>2.6363262628297828</v>
      </c>
      <c r="J15" s="36">
        <v>521.0000000000224</v>
      </c>
      <c r="K15" s="36">
        <v>85.47514258543241</v>
      </c>
      <c r="L15" s="36">
        <v>47.29693436154187</v>
      </c>
      <c r="M15" s="36">
        <v>132.51792331605563</v>
      </c>
      <c r="N15" s="28" t="str">
        <f t="shared" si="1"/>
        <v>nav šaurleņķa</v>
      </c>
      <c r="O15" s="37"/>
      <c r="P15" s="31"/>
      <c r="Q15" s="32"/>
      <c r="R15" s="32"/>
      <c r="S15" s="33"/>
      <c r="T15" s="28"/>
      <c r="U15" s="28"/>
      <c r="V15" s="28"/>
      <c r="W15" s="28"/>
      <c r="X15" s="28"/>
      <c r="Y15" s="28"/>
      <c r="Z15" s="28"/>
    </row>
    <row r="16" ht="12.75" customHeight="1">
      <c r="A16" s="36">
        <v>65.0</v>
      </c>
      <c r="B16" s="36">
        <v>-13.0</v>
      </c>
      <c r="C16" s="36">
        <v>74.0</v>
      </c>
      <c r="D16" s="36">
        <v>23.0</v>
      </c>
      <c r="E16" s="36">
        <v>72.0</v>
      </c>
      <c r="F16" s="36">
        <v>86.0</v>
      </c>
      <c r="G16" s="36">
        <v>5.862788538632302</v>
      </c>
      <c r="H16" s="36">
        <v>164.1454535676215</v>
      </c>
      <c r="I16" s="36">
        <v>9.99175789374522</v>
      </c>
      <c r="J16" s="36">
        <v>639.0000000000073</v>
      </c>
      <c r="K16" s="36">
        <v>37.107950630558946</v>
      </c>
      <c r="L16" s="36">
        <v>63.0317380372777</v>
      </c>
      <c r="M16" s="36">
        <v>99.24716620639605</v>
      </c>
      <c r="N16" s="28" t="str">
        <f t="shared" si="1"/>
        <v>nav šaurleņķa</v>
      </c>
      <c r="O16" s="37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75" customHeight="1">
      <c r="A17" s="36">
        <v>-20.0</v>
      </c>
      <c r="B17" s="36">
        <v>22.0</v>
      </c>
      <c r="C17" s="36">
        <v>51.0</v>
      </c>
      <c r="D17" s="36">
        <v>-7.0</v>
      </c>
      <c r="E17" s="36">
        <v>45.0</v>
      </c>
      <c r="F17" s="36">
        <v>5.0</v>
      </c>
      <c r="G17" s="36">
        <v>131.22180229283833</v>
      </c>
      <c r="H17" s="36">
        <v>41.21735455340364</v>
      </c>
      <c r="I17" s="36">
        <v>7.560843153757899</v>
      </c>
      <c r="J17" s="36">
        <v>677.9999999999993</v>
      </c>
      <c r="K17" s="36">
        <v>76.69419795525604</v>
      </c>
      <c r="L17" s="36">
        <v>13.416407864998739</v>
      </c>
      <c r="M17" s="36">
        <v>67.1863081289633</v>
      </c>
      <c r="N17" s="28" t="str">
        <f t="shared" si="1"/>
        <v>nav šaurleņķa</v>
      </c>
      <c r="O17" s="37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2.75" customHeight="1">
      <c r="A18" s="36">
        <v>-97.0</v>
      </c>
      <c r="B18" s="36">
        <v>76.0</v>
      </c>
      <c r="C18" s="36">
        <v>84.0</v>
      </c>
      <c r="D18" s="36">
        <v>-55.0</v>
      </c>
      <c r="E18" s="36">
        <v>45.0</v>
      </c>
      <c r="F18" s="36">
        <v>-32.0</v>
      </c>
      <c r="G18" s="36">
        <v>173.2744164463562</v>
      </c>
      <c r="H18" s="36">
        <v>5.3656932346629675</v>
      </c>
      <c r="I18" s="36">
        <v>1.3598903189777165</v>
      </c>
      <c r="J18" s="36">
        <v>945.9999999998693</v>
      </c>
      <c r="K18" s="36">
        <v>223.4323163734378</v>
      </c>
      <c r="L18" s="36">
        <v>45.27692569068709</v>
      </c>
      <c r="M18" s="36">
        <v>178.4040358287895</v>
      </c>
      <c r="N18" s="28" t="str">
        <f t="shared" si="1"/>
        <v>nav šaurleņķa</v>
      </c>
      <c r="O18" s="37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75" customHeight="1">
      <c r="A19" s="36">
        <v>25.0</v>
      </c>
      <c r="B19" s="36">
        <v>-15.0</v>
      </c>
      <c r="C19" s="36">
        <v>21.0</v>
      </c>
      <c r="D19" s="36">
        <v>-24.0</v>
      </c>
      <c r="E19" s="36">
        <v>-91.0</v>
      </c>
      <c r="F19" s="36">
        <v>1.0</v>
      </c>
      <c r="G19" s="36">
        <v>4.72964919209835</v>
      </c>
      <c r="H19" s="36">
        <v>101.37952648050118</v>
      </c>
      <c r="I19" s="36">
        <v>73.89082432739997</v>
      </c>
      <c r="J19" s="36">
        <v>1108.0000000000002</v>
      </c>
      <c r="K19" s="36">
        <v>9.848857801796104</v>
      </c>
      <c r="L19" s="36">
        <v>114.75626344561765</v>
      </c>
      <c r="M19" s="36">
        <v>117.09824934643558</v>
      </c>
      <c r="N19" s="28" t="str">
        <f t="shared" si="1"/>
        <v>nav šaurleņķa</v>
      </c>
      <c r="O19" s="37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2.75" customHeight="1">
      <c r="A20" s="36">
        <v>-6.0</v>
      </c>
      <c r="B20" s="36">
        <v>-40.0</v>
      </c>
      <c r="C20" s="36">
        <v>-31.0</v>
      </c>
      <c r="D20" s="36">
        <v>50.0</v>
      </c>
      <c r="E20" s="36">
        <v>-54.0</v>
      </c>
      <c r="F20" s="36">
        <v>86.0</v>
      </c>
      <c r="G20" s="36">
        <v>11.719599094993958</v>
      </c>
      <c r="H20" s="36">
        <v>162.95005386218153</v>
      </c>
      <c r="I20" s="36">
        <v>5.330347042823876</v>
      </c>
      <c r="J20" s="36">
        <v>1170.0000000000146</v>
      </c>
      <c r="K20" s="36">
        <v>93.40770846134703</v>
      </c>
      <c r="L20" s="36">
        <v>42.720018726587654</v>
      </c>
      <c r="M20" s="36">
        <v>134.8332303254654</v>
      </c>
      <c r="N20" s="28" t="str">
        <f t="shared" si="1"/>
        <v>nav šaurleņķa</v>
      </c>
      <c r="O20" s="37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36">
        <v>-16.0</v>
      </c>
      <c r="B21" s="36">
        <v>4.0</v>
      </c>
      <c r="C21" s="36">
        <v>-64.0</v>
      </c>
      <c r="D21" s="36">
        <v>-56.0</v>
      </c>
      <c r="E21" s="36">
        <v>27.0</v>
      </c>
      <c r="F21" s="36">
        <v>83.0</v>
      </c>
      <c r="G21" s="36">
        <v>4.652196222572746</v>
      </c>
      <c r="H21" s="36">
        <v>5.4479915531980865</v>
      </c>
      <c r="I21" s="36">
        <v>169.89981222423003</v>
      </c>
      <c r="J21" s="36">
        <v>1212.000000000083</v>
      </c>
      <c r="K21" s="36">
        <v>76.83749084919418</v>
      </c>
      <c r="L21" s="36">
        <v>166.13849644197458</v>
      </c>
      <c r="M21" s="36">
        <v>89.94442728707543</v>
      </c>
      <c r="N21" s="28" t="str">
        <f t="shared" si="1"/>
        <v>nav šaurleņķa</v>
      </c>
      <c r="O21" s="37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2.75" customHeight="1">
      <c r="A22" s="36">
        <v>63.0</v>
      </c>
      <c r="B22" s="36">
        <v>29.0</v>
      </c>
      <c r="C22" s="36">
        <v>58.0</v>
      </c>
      <c r="D22" s="36">
        <v>64.0</v>
      </c>
      <c r="E22" s="36">
        <v>39.0</v>
      </c>
      <c r="F22" s="36">
        <v>-70.0</v>
      </c>
      <c r="G22" s="36">
        <v>5.556762681973777</v>
      </c>
      <c r="H22" s="36">
        <v>16.200334532074212</v>
      </c>
      <c r="I22" s="36">
        <v>158.24290278595257</v>
      </c>
      <c r="J22" s="36">
        <v>1335.000000000012</v>
      </c>
      <c r="K22" s="36">
        <v>35.35533905932738</v>
      </c>
      <c r="L22" s="36">
        <v>135.34031180694095</v>
      </c>
      <c r="M22" s="36">
        <v>101.86756107809786</v>
      </c>
      <c r="N22" s="28" t="str">
        <f t="shared" si="1"/>
        <v>nav šaurleņķa</v>
      </c>
      <c r="O22" s="37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2.75" customHeight="1">
      <c r="A23" s="36">
        <v>-53.0</v>
      </c>
      <c r="B23" s="36">
        <v>61.0</v>
      </c>
      <c r="C23" s="36">
        <v>-68.0</v>
      </c>
      <c r="D23" s="36">
        <v>14.0</v>
      </c>
      <c r="E23" s="36">
        <v>-25.0</v>
      </c>
      <c r="F23" s="36">
        <v>51.0</v>
      </c>
      <c r="G23" s="36">
        <v>60.36467072923428</v>
      </c>
      <c r="H23" s="36">
        <v>31.588725540151838</v>
      </c>
      <c r="I23" s="36">
        <v>88.04660373061388</v>
      </c>
      <c r="J23" s="36">
        <v>1466.0000000000005</v>
      </c>
      <c r="K23" s="36">
        <v>49.33558553417604</v>
      </c>
      <c r="L23" s="36">
        <v>56.72741841473134</v>
      </c>
      <c r="M23" s="36">
        <v>29.732137494637012</v>
      </c>
      <c r="N23" s="28" t="str">
        <f t="shared" si="1"/>
        <v>ir šaurleņķa</v>
      </c>
      <c r="O23" s="37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2.75" customHeight="1">
      <c r="A24" s="36">
        <v>-11.0</v>
      </c>
      <c r="B24" s="36">
        <v>-19.0</v>
      </c>
      <c r="C24" s="36">
        <v>-47.0</v>
      </c>
      <c r="D24" s="36">
        <v>-9.0</v>
      </c>
      <c r="E24" s="36">
        <v>67.0</v>
      </c>
      <c r="F24" s="36">
        <v>6.0</v>
      </c>
      <c r="G24" s="36">
        <v>10.275463183178827</v>
      </c>
      <c r="H24" s="36">
        <v>23.019968636484098</v>
      </c>
      <c r="I24" s="36">
        <v>146.704568180337</v>
      </c>
      <c r="J24" s="36">
        <v>1679.9999999999989</v>
      </c>
      <c r="K24" s="36">
        <v>37.36308338453881</v>
      </c>
      <c r="L24" s="36">
        <v>114.9826073804208</v>
      </c>
      <c r="M24" s="36">
        <v>81.9084855189009</v>
      </c>
      <c r="N24" s="28" t="str">
        <f t="shared" si="1"/>
        <v>nav šaurleņķa</v>
      </c>
      <c r="O24" s="37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75" customHeight="1">
      <c r="A25" s="36">
        <v>40.0</v>
      </c>
      <c r="B25" s="36">
        <v>34.0</v>
      </c>
      <c r="C25" s="36">
        <v>-2.0</v>
      </c>
      <c r="D25" s="36">
        <v>25.0</v>
      </c>
      <c r="E25" s="36">
        <v>33.0</v>
      </c>
      <c r="F25" s="36">
        <v>-20.0</v>
      </c>
      <c r="G25" s="36">
        <v>45.26102680236544</v>
      </c>
      <c r="H25" s="36">
        <v>64.2197734259139</v>
      </c>
      <c r="I25" s="36">
        <v>70.51919977172058</v>
      </c>
      <c r="J25" s="36">
        <v>2205.0</v>
      </c>
      <c r="K25" s="36">
        <v>42.95346318982906</v>
      </c>
      <c r="L25" s="36">
        <v>57.0087712549569</v>
      </c>
      <c r="M25" s="36">
        <v>54.45181356024793</v>
      </c>
      <c r="N25" s="28" t="str">
        <f t="shared" si="1"/>
        <v>ir šaurleņķa</v>
      </c>
      <c r="O25" s="37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2.75" customHeight="1">
      <c r="A26" s="36">
        <v>44.0</v>
      </c>
      <c r="B26" s="36">
        <v>-21.0</v>
      </c>
      <c r="C26" s="36">
        <v>20.0</v>
      </c>
      <c r="D26" s="36">
        <v>90.0</v>
      </c>
      <c r="E26" s="36">
        <v>-1.0</v>
      </c>
      <c r="F26" s="36">
        <v>90.0</v>
      </c>
      <c r="G26" s="36">
        <v>67.93210043758984</v>
      </c>
      <c r="H26" s="36">
        <v>102.20046872738082</v>
      </c>
      <c r="I26" s="36">
        <v>9.867430835029454</v>
      </c>
      <c r="J26" s="36">
        <v>2331.0</v>
      </c>
      <c r="K26" s="36">
        <v>113.5649593844862</v>
      </c>
      <c r="L26" s="36">
        <v>21.0</v>
      </c>
      <c r="M26" s="36">
        <v>119.77478866606278</v>
      </c>
      <c r="N26" s="28" t="str">
        <f t="shared" si="1"/>
        <v>nav šaurleņķa</v>
      </c>
      <c r="O26" s="37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36">
        <v>59.0</v>
      </c>
      <c r="B27" s="36">
        <v>-33.0</v>
      </c>
      <c r="C27" s="36">
        <v>-55.0</v>
      </c>
      <c r="D27" s="36">
        <v>51.0</v>
      </c>
      <c r="E27" s="36">
        <v>-16.0</v>
      </c>
      <c r="F27" s="36">
        <v>45.0</v>
      </c>
      <c r="G27" s="36">
        <v>142.62285954847974</v>
      </c>
      <c r="H27" s="36">
        <v>27.63818955328054</v>
      </c>
      <c r="I27" s="36">
        <v>9.738950898239379</v>
      </c>
      <c r="J27" s="36">
        <v>2591.9999999999886</v>
      </c>
      <c r="K27" s="36">
        <v>141.60508465447137</v>
      </c>
      <c r="L27" s="36">
        <v>39.45883931389772</v>
      </c>
      <c r="M27" s="36">
        <v>108.2081327812286</v>
      </c>
      <c r="N27" s="28" t="str">
        <f t="shared" si="1"/>
        <v>nav šaurleņķa</v>
      </c>
      <c r="O27" s="37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2.75" customHeight="1">
      <c r="A28" s="36">
        <v>-3.0</v>
      </c>
      <c r="B28" s="36">
        <v>13.0</v>
      </c>
      <c r="C28" s="36">
        <v>44.0</v>
      </c>
      <c r="D28" s="36">
        <v>40.0</v>
      </c>
      <c r="E28" s="36">
        <v>34.0</v>
      </c>
      <c r="F28" s="36">
        <v>-22.0</v>
      </c>
      <c r="G28" s="36">
        <v>55.753487316916235</v>
      </c>
      <c r="H28" s="36">
        <v>50.961660262588815</v>
      </c>
      <c r="I28" s="36">
        <v>73.2848524204948</v>
      </c>
      <c r="J28" s="36">
        <v>2643.999999999998</v>
      </c>
      <c r="K28" s="36">
        <v>54.20332093147061</v>
      </c>
      <c r="L28" s="36">
        <v>62.80127387243033</v>
      </c>
      <c r="M28" s="36">
        <v>50.93132631298737</v>
      </c>
      <c r="N28" s="28" t="str">
        <f t="shared" si="1"/>
        <v>ir šaurleņķa</v>
      </c>
      <c r="O28" s="37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2.75" customHeight="1">
      <c r="A29" s="36">
        <v>33.0</v>
      </c>
      <c r="B29" s="36">
        <v>75.0</v>
      </c>
      <c r="C29" s="36">
        <v>-42.0</v>
      </c>
      <c r="D29" s="36">
        <v>6.0</v>
      </c>
      <c r="E29" s="36">
        <v>-10.0</v>
      </c>
      <c r="F29" s="36">
        <v>0.0</v>
      </c>
      <c r="G29" s="36">
        <v>109.2074293783196</v>
      </c>
      <c r="H29" s="36">
        <v>53.23371124576631</v>
      </c>
      <c r="I29" s="36">
        <v>17.558859375914103</v>
      </c>
      <c r="J29" s="36">
        <v>2657.999999999999</v>
      </c>
      <c r="K29" s="36">
        <v>101.91172650877817</v>
      </c>
      <c r="L29" s="36">
        <v>32.55764119219941</v>
      </c>
      <c r="M29" s="36">
        <v>86.45229898620394</v>
      </c>
      <c r="N29" s="28" t="str">
        <f t="shared" si="1"/>
        <v>nav šaurleņķa</v>
      </c>
      <c r="O29" s="37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2.75" customHeight="1">
      <c r="A30" s="36">
        <v>-40.0</v>
      </c>
      <c r="B30" s="36">
        <v>70.0</v>
      </c>
      <c r="C30" s="36">
        <v>-73.0</v>
      </c>
      <c r="D30" s="36">
        <v>-23.0</v>
      </c>
      <c r="E30" s="36">
        <v>-73.0</v>
      </c>
      <c r="F30" s="36">
        <v>62.0</v>
      </c>
      <c r="G30" s="36">
        <v>103.62699485989158</v>
      </c>
      <c r="H30" s="36">
        <v>19.536654938128425</v>
      </c>
      <c r="I30" s="36">
        <v>56.83635020198013</v>
      </c>
      <c r="J30" s="36">
        <v>2805.000000000006</v>
      </c>
      <c r="K30" s="36">
        <v>98.68130522039117</v>
      </c>
      <c r="L30" s="36">
        <v>85.0</v>
      </c>
      <c r="M30" s="36">
        <v>33.95585369269929</v>
      </c>
      <c r="N30" s="28" t="str">
        <f t="shared" si="1"/>
        <v>nav šaurleņķa</v>
      </c>
      <c r="O30" s="37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2.75" customHeight="1">
      <c r="A31" s="36">
        <v>-70.0</v>
      </c>
      <c r="B31" s="36">
        <v>93.0</v>
      </c>
      <c r="C31" s="36">
        <v>-21.0</v>
      </c>
      <c r="D31" s="36">
        <v>-73.0</v>
      </c>
      <c r="E31" s="36">
        <v>-56.0</v>
      </c>
      <c r="F31" s="36">
        <v>-16.0</v>
      </c>
      <c r="G31" s="36">
        <v>155.767634427277</v>
      </c>
      <c r="H31" s="36">
        <v>15.105800504816937</v>
      </c>
      <c r="I31" s="36">
        <v>9.126565067906265</v>
      </c>
      <c r="J31" s="36">
        <v>3017.0000000000146</v>
      </c>
      <c r="K31" s="36">
        <v>173.08090593707902</v>
      </c>
      <c r="L31" s="36">
        <v>66.88796603276258</v>
      </c>
      <c r="M31" s="36">
        <v>109.89540481748998</v>
      </c>
      <c r="N31" s="28" t="str">
        <f t="shared" si="1"/>
        <v>nav šaurleņķa</v>
      </c>
      <c r="O31" s="37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2.75" customHeight="1">
      <c r="A32" s="36">
        <v>37.0</v>
      </c>
      <c r="B32" s="36">
        <v>-49.0</v>
      </c>
      <c r="C32" s="36">
        <v>79.0</v>
      </c>
      <c r="D32" s="36">
        <v>-24.0</v>
      </c>
      <c r="E32" s="36">
        <v>91.0</v>
      </c>
      <c r="F32" s="36">
        <v>57.0</v>
      </c>
      <c r="G32" s="36">
        <v>18.568869372605946</v>
      </c>
      <c r="H32" s="36">
        <v>129.18968855571964</v>
      </c>
      <c r="I32" s="36">
        <v>32.24144207167449</v>
      </c>
      <c r="J32" s="36">
        <v>3101.999999999998</v>
      </c>
      <c r="K32" s="36">
        <v>48.877397639399746</v>
      </c>
      <c r="L32" s="36">
        <v>81.88406438373708</v>
      </c>
      <c r="M32" s="36">
        <v>118.96217886370441</v>
      </c>
      <c r="N32" s="28" t="str">
        <f t="shared" si="1"/>
        <v>nav šaurleņķa</v>
      </c>
      <c r="O32" s="37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2.75" customHeight="1">
      <c r="A33" s="36">
        <v>17.0</v>
      </c>
      <c r="B33" s="36">
        <v>71.0</v>
      </c>
      <c r="C33" s="36">
        <v>25.0</v>
      </c>
      <c r="D33" s="36">
        <v>-4.0</v>
      </c>
      <c r="E33" s="36">
        <v>-20.0</v>
      </c>
      <c r="F33" s="36">
        <v>20.0</v>
      </c>
      <c r="G33" s="36">
        <v>82.11196973920808</v>
      </c>
      <c r="H33" s="36">
        <v>55.838984909951876</v>
      </c>
      <c r="I33" s="36">
        <v>42.04904535084009</v>
      </c>
      <c r="J33" s="36">
        <v>3183.0</v>
      </c>
      <c r="K33" s="36">
        <v>75.4254598925323</v>
      </c>
      <c r="L33" s="36">
        <v>51.0</v>
      </c>
      <c r="M33" s="36">
        <v>63.00793600809346</v>
      </c>
      <c r="N33" s="28" t="str">
        <f t="shared" si="1"/>
        <v>ir šaurleņķa</v>
      </c>
      <c r="O33" s="37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2.75" customHeight="1">
      <c r="A34" s="36">
        <v>-80.0</v>
      </c>
      <c r="B34" s="36">
        <v>-64.0</v>
      </c>
      <c r="C34" s="36">
        <v>34.0</v>
      </c>
      <c r="D34" s="36">
        <v>-58.0</v>
      </c>
      <c r="E34" s="36">
        <v>-17.0</v>
      </c>
      <c r="F34" s="36">
        <v>-30.0</v>
      </c>
      <c r="G34" s="36">
        <v>122.87738887583214</v>
      </c>
      <c r="H34" s="36">
        <v>31.780436843027086</v>
      </c>
      <c r="I34" s="36">
        <v>25.342174281140753</v>
      </c>
      <c r="J34" s="36">
        <v>3497.999999999995</v>
      </c>
      <c r="K34" s="36">
        <v>114.15778554264269</v>
      </c>
      <c r="L34" s="36">
        <v>58.180752831155424</v>
      </c>
      <c r="M34" s="36">
        <v>71.58910531638176</v>
      </c>
      <c r="N34" s="28" t="str">
        <f t="shared" si="1"/>
        <v>nav šaurleņķa</v>
      </c>
      <c r="O34" s="37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2.75" customHeight="1">
      <c r="A35" s="36">
        <v>93.0</v>
      </c>
      <c r="B35" s="36">
        <v>-25.0</v>
      </c>
      <c r="C35" s="36">
        <v>-38.0</v>
      </c>
      <c r="D35" s="36">
        <v>94.0</v>
      </c>
      <c r="E35" s="36">
        <v>-20.0</v>
      </c>
      <c r="F35" s="36">
        <v>50.0</v>
      </c>
      <c r="G35" s="36">
        <v>145.8219220632673</v>
      </c>
      <c r="H35" s="36">
        <v>25.49906452284139</v>
      </c>
      <c r="I35" s="36">
        <v>8.67901341389152</v>
      </c>
      <c r="J35" s="36">
        <v>3622.000000000001</v>
      </c>
      <c r="K35" s="36">
        <v>176.98022488402484</v>
      </c>
      <c r="L35" s="36">
        <v>47.53945729601885</v>
      </c>
      <c r="M35" s="36">
        <v>135.6244815658294</v>
      </c>
      <c r="N35" s="28" t="str">
        <f t="shared" si="1"/>
        <v>nav šaurleņķa</v>
      </c>
      <c r="O35" s="37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2.75" customHeight="1">
      <c r="A36" s="36">
        <v>40.0</v>
      </c>
      <c r="B36" s="36">
        <v>-22.0</v>
      </c>
      <c r="C36" s="36">
        <v>-83.0</v>
      </c>
      <c r="D36" s="36">
        <v>-31.0</v>
      </c>
      <c r="E36" s="36">
        <v>13.0</v>
      </c>
      <c r="F36" s="36">
        <v>8.0</v>
      </c>
      <c r="G36" s="36">
        <v>109.87776415206494</v>
      </c>
      <c r="H36" s="36">
        <v>17.92453221863317</v>
      </c>
      <c r="I36" s="36">
        <v>52.197703629301685</v>
      </c>
      <c r="J36" s="36">
        <v>3932.999999999982</v>
      </c>
      <c r="K36" s="36">
        <v>123.3288287465668</v>
      </c>
      <c r="L36" s="36">
        <v>103.61949623502326</v>
      </c>
      <c r="M36" s="36">
        <v>40.36087214122113</v>
      </c>
      <c r="N36" s="28" t="str">
        <f t="shared" si="1"/>
        <v>nav šaurleņķa</v>
      </c>
      <c r="O36" s="37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2.75" customHeight="1">
      <c r="A37" s="36">
        <v>-33.0</v>
      </c>
      <c r="B37" s="36">
        <v>-71.0</v>
      </c>
      <c r="C37" s="36">
        <v>-37.0</v>
      </c>
      <c r="D37" s="36">
        <v>1.0</v>
      </c>
      <c r="E37" s="36">
        <v>-96.0</v>
      </c>
      <c r="F37" s="36">
        <v>76.0</v>
      </c>
      <c r="G37" s="36">
        <v>14.992359306738443</v>
      </c>
      <c r="H37" s="36">
        <v>144.98888029947761</v>
      </c>
      <c r="I37" s="36">
        <v>20.018760393783925</v>
      </c>
      <c r="J37" s="36">
        <v>3948.000000000004</v>
      </c>
      <c r="K37" s="36">
        <v>72.11102550927978</v>
      </c>
      <c r="L37" s="36">
        <v>95.42536350467836</v>
      </c>
      <c r="M37" s="36">
        <v>159.93123522314207</v>
      </c>
      <c r="N37" s="28" t="str">
        <f t="shared" si="1"/>
        <v>nav šaurleņķa</v>
      </c>
      <c r="O37" s="37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2.75" customHeight="1">
      <c r="A38" s="36">
        <v>92.0</v>
      </c>
      <c r="B38" s="36">
        <v>-57.0</v>
      </c>
      <c r="C38" s="36">
        <v>98.0</v>
      </c>
      <c r="D38" s="36">
        <v>39.0</v>
      </c>
      <c r="E38" s="36">
        <v>52.0</v>
      </c>
      <c r="F38" s="36">
        <v>-11.0</v>
      </c>
      <c r="G38" s="36">
        <v>96.37685712881856</v>
      </c>
      <c r="H38" s="36">
        <v>39.03772159461379</v>
      </c>
      <c r="I38" s="36">
        <v>44.58542127656751</v>
      </c>
      <c r="J38" s="36">
        <v>4115.999999999997</v>
      </c>
      <c r="K38" s="36">
        <v>96.18731725128839</v>
      </c>
      <c r="L38" s="36">
        <v>67.94115100585212</v>
      </c>
      <c r="M38" s="36">
        <v>60.959002616512684</v>
      </c>
      <c r="N38" s="28" t="str">
        <f t="shared" si="1"/>
        <v>nav šaurleņķa</v>
      </c>
      <c r="O38" s="37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2.75" customHeight="1">
      <c r="A39" s="36">
        <v>84.0</v>
      </c>
      <c r="B39" s="36">
        <v>69.0</v>
      </c>
      <c r="C39" s="36">
        <v>37.0</v>
      </c>
      <c r="D39" s="36">
        <v>-3.0</v>
      </c>
      <c r="E39" s="36">
        <v>54.0</v>
      </c>
      <c r="F39" s="36">
        <v>-71.0</v>
      </c>
      <c r="G39" s="36">
        <v>26.131000544938516</v>
      </c>
      <c r="H39" s="36">
        <v>132.8281469833546</v>
      </c>
      <c r="I39" s="36">
        <v>21.04085247170669</v>
      </c>
      <c r="J39" s="36">
        <v>4420.000000000002</v>
      </c>
      <c r="K39" s="36">
        <v>85.98255637046388</v>
      </c>
      <c r="L39" s="36">
        <v>70.09279563550022</v>
      </c>
      <c r="M39" s="36">
        <v>143.17821063276352</v>
      </c>
      <c r="N39" s="28" t="str">
        <f t="shared" si="1"/>
        <v>nav šaurleņķa</v>
      </c>
      <c r="O39" s="37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2.75" customHeight="1">
      <c r="A40" s="36">
        <v>-30.0</v>
      </c>
      <c r="B40" s="36">
        <v>-1.0</v>
      </c>
      <c r="C40" s="36">
        <v>40.0</v>
      </c>
      <c r="D40" s="36">
        <v>-26.0</v>
      </c>
      <c r="E40" s="36">
        <v>65.0</v>
      </c>
      <c r="F40" s="36">
        <v>-99.0</v>
      </c>
      <c r="G40" s="36">
        <v>25.204887904027807</v>
      </c>
      <c r="H40" s="36">
        <v>128.55839990066497</v>
      </c>
      <c r="I40" s="36">
        <v>26.236712195307224</v>
      </c>
      <c r="J40" s="36">
        <v>4484.999999999999</v>
      </c>
      <c r="K40" s="36">
        <v>74.33034373659252</v>
      </c>
      <c r="L40" s="36">
        <v>77.1621668954417</v>
      </c>
      <c r="M40" s="36">
        <v>136.48809471891678</v>
      </c>
      <c r="N40" s="28" t="str">
        <f t="shared" si="1"/>
        <v>nav šaurleņķa</v>
      </c>
      <c r="O40" s="37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2.75" customHeight="1">
      <c r="A41" s="36">
        <v>-79.0</v>
      </c>
      <c r="B41" s="36">
        <v>-54.0</v>
      </c>
      <c r="C41" s="36">
        <v>55.0</v>
      </c>
      <c r="D41" s="36">
        <v>-39.0</v>
      </c>
      <c r="E41" s="36">
        <v>-2.0</v>
      </c>
      <c r="F41" s="36">
        <v>-79.0</v>
      </c>
      <c r="G41" s="36">
        <v>126.95323838105162</v>
      </c>
      <c r="H41" s="36">
        <v>28.67230994112251</v>
      </c>
      <c r="I41" s="36">
        <v>24.374451677826</v>
      </c>
      <c r="J41" s="36">
        <v>4505.000000000007</v>
      </c>
      <c r="K41" s="36">
        <v>134.8369385591352</v>
      </c>
      <c r="L41" s="36">
        <v>69.63476143421474</v>
      </c>
      <c r="M41" s="36">
        <v>80.95677859203639</v>
      </c>
      <c r="N41" s="28" t="str">
        <f t="shared" si="1"/>
        <v>nav šaurleņķa</v>
      </c>
      <c r="O41" s="37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2.75" customHeight="1">
      <c r="A42" s="36">
        <v>22.0</v>
      </c>
      <c r="B42" s="36">
        <v>-51.0</v>
      </c>
      <c r="C42" s="36">
        <v>-39.0</v>
      </c>
      <c r="D42" s="36">
        <v>-68.0</v>
      </c>
      <c r="E42" s="36">
        <v>-45.0</v>
      </c>
      <c r="F42" s="36">
        <v>8.0</v>
      </c>
      <c r="G42" s="36">
        <v>44.11896228148692</v>
      </c>
      <c r="H42" s="36">
        <v>78.94144486119097</v>
      </c>
      <c r="I42" s="36">
        <v>56.93959285732203</v>
      </c>
      <c r="J42" s="36">
        <v>4738.0</v>
      </c>
      <c r="K42" s="36">
        <v>63.324560795950255</v>
      </c>
      <c r="L42" s="36">
        <v>76.23647421018367</v>
      </c>
      <c r="M42" s="36">
        <v>89.27485648266257</v>
      </c>
      <c r="N42" s="28" t="str">
        <f t="shared" si="1"/>
        <v>ir šaurleņķa</v>
      </c>
      <c r="O42" s="37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2.75" customHeight="1">
      <c r="A43" s="36">
        <v>38.0</v>
      </c>
      <c r="B43" s="36">
        <v>-55.0</v>
      </c>
      <c r="C43" s="36">
        <v>-85.0</v>
      </c>
      <c r="D43" s="36">
        <v>-71.0</v>
      </c>
      <c r="E43" s="36">
        <v>-79.0</v>
      </c>
      <c r="F43" s="36">
        <v>-29.0</v>
      </c>
      <c r="G43" s="36">
        <v>85.60129464500449</v>
      </c>
      <c r="H43" s="36">
        <v>74.45840478666511</v>
      </c>
      <c r="I43" s="36">
        <v>19.94030056833036</v>
      </c>
      <c r="J43" s="36">
        <v>5069.999999999999</v>
      </c>
      <c r="K43" s="36">
        <v>124.03628501370073</v>
      </c>
      <c r="L43" s="36">
        <v>42.42640687119285</v>
      </c>
      <c r="M43" s="36">
        <v>119.85407794480753</v>
      </c>
      <c r="N43" s="28" t="str">
        <f t="shared" si="1"/>
        <v>ir šaurleņķa</v>
      </c>
      <c r="O43" s="37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2.75" customHeight="1">
      <c r="A44" s="36">
        <v>-94.0</v>
      </c>
      <c r="B44" s="36">
        <v>45.0</v>
      </c>
      <c r="C44" s="36">
        <v>-81.0</v>
      </c>
      <c r="D44" s="36">
        <v>82.0</v>
      </c>
      <c r="E44" s="36">
        <v>-7.0</v>
      </c>
      <c r="F44" s="36">
        <v>-98.0</v>
      </c>
      <c r="G44" s="36">
        <v>8.967871899843097</v>
      </c>
      <c r="H44" s="36">
        <v>41.7071025236041</v>
      </c>
      <c r="I44" s="36">
        <v>129.32502557655272</v>
      </c>
      <c r="J44" s="36">
        <v>5077.999999999997</v>
      </c>
      <c r="K44" s="36">
        <v>39.21734310225516</v>
      </c>
      <c r="L44" s="36">
        <v>194.6175737183053</v>
      </c>
      <c r="M44" s="36">
        <v>167.38578195294843</v>
      </c>
      <c r="N44" s="28" t="str">
        <f t="shared" si="1"/>
        <v>nav šaurleņķa</v>
      </c>
      <c r="O44" s="37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2.75" customHeight="1">
      <c r="A45" s="36">
        <v>64.0</v>
      </c>
      <c r="B45" s="36">
        <v>-30.0</v>
      </c>
      <c r="C45" s="36">
        <v>-19.0</v>
      </c>
      <c r="D45" s="36">
        <v>64.0</v>
      </c>
      <c r="E45" s="36">
        <v>-19.0</v>
      </c>
      <c r="F45" s="36">
        <v>0.0</v>
      </c>
      <c r="G45" s="36">
        <v>109.87217581924386</v>
      </c>
      <c r="H45" s="36">
        <v>41.44381890574485</v>
      </c>
      <c r="I45" s="36">
        <v>28.684005275011195</v>
      </c>
      <c r="J45" s="36">
        <v>5311.999999999996</v>
      </c>
      <c r="K45" s="36">
        <v>125.39936203984452</v>
      </c>
      <c r="L45" s="36">
        <v>64.0</v>
      </c>
      <c r="M45" s="36">
        <v>88.25531145489205</v>
      </c>
      <c r="N45" s="28" t="str">
        <f t="shared" si="1"/>
        <v>nav šaurleņķa</v>
      </c>
      <c r="O45" s="37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2.75" customHeight="1">
      <c r="A46" s="36">
        <v>-11.0</v>
      </c>
      <c r="B46" s="36">
        <v>-72.0</v>
      </c>
      <c r="C46" s="36">
        <v>-27.0</v>
      </c>
      <c r="D46" s="36">
        <v>29.0</v>
      </c>
      <c r="E46" s="36">
        <v>28.0</v>
      </c>
      <c r="F46" s="36">
        <v>29.0</v>
      </c>
      <c r="G46" s="36">
        <v>68.88649992163474</v>
      </c>
      <c r="H46" s="36">
        <v>80.9982448774387</v>
      </c>
      <c r="I46" s="36">
        <v>30.11525520092658</v>
      </c>
      <c r="J46" s="36">
        <v>5555.0</v>
      </c>
      <c r="K46" s="36">
        <v>102.25947388873072</v>
      </c>
      <c r="L46" s="36">
        <v>55.0</v>
      </c>
      <c r="M46" s="36">
        <v>108.26818553942798</v>
      </c>
      <c r="N46" s="28" t="str">
        <f t="shared" si="1"/>
        <v>ir šaurleņķa</v>
      </c>
      <c r="O46" s="37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2.75" customHeight="1">
      <c r="A47" s="36">
        <v>96.0</v>
      </c>
      <c r="B47" s="36">
        <v>91.0</v>
      </c>
      <c r="C47" s="36">
        <v>64.0</v>
      </c>
      <c r="D47" s="36">
        <v>96.0</v>
      </c>
      <c r="E47" s="36">
        <v>83.0</v>
      </c>
      <c r="F47" s="36">
        <v>-84.0</v>
      </c>
      <c r="G47" s="36">
        <v>10.274029537728085</v>
      </c>
      <c r="H47" s="36">
        <v>75.09376584111313</v>
      </c>
      <c r="I47" s="36">
        <v>94.63220462115902</v>
      </c>
      <c r="J47" s="36">
        <v>5665.000000000001</v>
      </c>
      <c r="K47" s="36">
        <v>32.38826948140329</v>
      </c>
      <c r="L47" s="36">
        <v>181.0</v>
      </c>
      <c r="M47" s="36">
        <v>175.4821928287882</v>
      </c>
      <c r="N47" s="28" t="str">
        <f t="shared" si="1"/>
        <v>nav šaurleņķa</v>
      </c>
      <c r="O47" s="37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2.75" customHeight="1">
      <c r="A48" s="36">
        <v>-89.0</v>
      </c>
      <c r="B48" s="36">
        <v>75.0</v>
      </c>
      <c r="C48" s="36">
        <v>7.0</v>
      </c>
      <c r="D48" s="36">
        <v>-90.0</v>
      </c>
      <c r="E48" s="36">
        <v>-4.0</v>
      </c>
      <c r="F48" s="36">
        <v>-11.0</v>
      </c>
      <c r="G48" s="36">
        <v>143.26198590129874</v>
      </c>
      <c r="H48" s="36">
        <v>22.264696278267984</v>
      </c>
      <c r="I48" s="36">
        <v>14.473317820433268</v>
      </c>
      <c r="J48" s="36">
        <v>5768.999999999994</v>
      </c>
      <c r="K48" s="36">
        <v>190.8952592391964</v>
      </c>
      <c r="L48" s="36">
        <v>79.76214641043707</v>
      </c>
      <c r="M48" s="36">
        <v>120.91732712891069</v>
      </c>
      <c r="N48" s="28" t="str">
        <f t="shared" si="1"/>
        <v>nav šaurleņķa</v>
      </c>
      <c r="O48" s="37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2.75" customHeight="1">
      <c r="A49" s="36">
        <v>-16.0</v>
      </c>
      <c r="B49" s="36">
        <v>65.0</v>
      </c>
      <c r="C49" s="36">
        <v>-63.0</v>
      </c>
      <c r="D49" s="36">
        <v>49.0</v>
      </c>
      <c r="E49" s="36">
        <v>-92.0</v>
      </c>
      <c r="F49" s="36">
        <v>-91.0</v>
      </c>
      <c r="G49" s="36">
        <v>14.271492482209874</v>
      </c>
      <c r="H49" s="36">
        <v>120.50278663887401</v>
      </c>
      <c r="I49" s="36">
        <v>45.225720878915915</v>
      </c>
      <c r="J49" s="36">
        <v>6116.000000000001</v>
      </c>
      <c r="K49" s="36">
        <v>49.64876634922564</v>
      </c>
      <c r="L49" s="36">
        <v>142.97202523570826</v>
      </c>
      <c r="M49" s="36">
        <v>173.5280957078709</v>
      </c>
      <c r="N49" s="28" t="str">
        <f t="shared" si="1"/>
        <v>nav šaurleņķa</v>
      </c>
      <c r="O49" s="37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2.75" customHeight="1">
      <c r="A50" s="36">
        <v>87.0</v>
      </c>
      <c r="B50" s="36">
        <v>45.0</v>
      </c>
      <c r="C50" s="36">
        <v>-89.0</v>
      </c>
      <c r="D50" s="36">
        <v>-57.0</v>
      </c>
      <c r="E50" s="36">
        <v>86.0</v>
      </c>
      <c r="F50" s="36">
        <v>5.0</v>
      </c>
      <c r="G50" s="36">
        <v>110.9406051709728</v>
      </c>
      <c r="H50" s="36">
        <v>10.585732489636925</v>
      </c>
      <c r="I50" s="36">
        <v>58.4736623393904</v>
      </c>
      <c r="J50" s="36">
        <v>6938.000000000024</v>
      </c>
      <c r="K50" s="36">
        <v>203.42074623793906</v>
      </c>
      <c r="L50" s="36">
        <v>185.6582882609877</v>
      </c>
      <c r="M50" s="36">
        <v>40.01249804748511</v>
      </c>
      <c r="N50" s="28" t="str">
        <f t="shared" si="1"/>
        <v>nav šaurleņķa</v>
      </c>
      <c r="O50" s="37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2.75" customHeight="1">
      <c r="A51" s="36">
        <v>-99.0</v>
      </c>
      <c r="B51" s="36">
        <v>-95.0</v>
      </c>
      <c r="C51" s="36">
        <v>-6.0</v>
      </c>
      <c r="D51" s="36">
        <v>-94.0</v>
      </c>
      <c r="E51" s="36">
        <v>-54.0</v>
      </c>
      <c r="F51" s="36">
        <v>-10.0</v>
      </c>
      <c r="G51" s="36">
        <v>57.642152327889804</v>
      </c>
      <c r="H51" s="36">
        <v>60.87117861145696</v>
      </c>
      <c r="I51" s="36">
        <v>61.48666906065308</v>
      </c>
      <c r="J51" s="36">
        <v>7859.999999999995</v>
      </c>
      <c r="K51" s="36">
        <v>93.00537618869137</v>
      </c>
      <c r="L51" s="36">
        <v>96.74709297958259</v>
      </c>
      <c r="M51" s="36">
        <v>96.17692030835673</v>
      </c>
      <c r="N51" s="28" t="str">
        <f t="shared" si="1"/>
        <v>ir šaurleņķa</v>
      </c>
      <c r="O51" s="37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2.75" customHeight="1">
      <c r="A52" s="36">
        <v>31.0</v>
      </c>
      <c r="B52" s="36">
        <v>-86.0</v>
      </c>
      <c r="C52" s="36">
        <v>74.0</v>
      </c>
      <c r="D52" s="36">
        <v>2.0</v>
      </c>
      <c r="E52" s="36">
        <v>-45.0</v>
      </c>
      <c r="F52" s="36">
        <v>-51.0</v>
      </c>
      <c r="G52" s="36">
        <v>48.73446101357596</v>
      </c>
      <c r="H52" s="36">
        <v>39.95103677822044</v>
      </c>
      <c r="I52" s="36">
        <v>91.31450220820369</v>
      </c>
      <c r="J52" s="36">
        <v>8193.000000000011</v>
      </c>
      <c r="K52" s="36">
        <v>97.94386147176351</v>
      </c>
      <c r="L52" s="36">
        <v>130.26895255585654</v>
      </c>
      <c r="M52" s="36">
        <v>83.6719785830358</v>
      </c>
      <c r="N52" s="28" t="str">
        <f t="shared" si="1"/>
        <v>nav šaurleņķa</v>
      </c>
      <c r="O52" s="37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2.75" customHeight="1">
      <c r="A53" s="36">
        <v>-89.0</v>
      </c>
      <c r="B53" s="36">
        <v>-79.0</v>
      </c>
      <c r="C53" s="36">
        <v>-47.0</v>
      </c>
      <c r="D53" s="36">
        <v>10.0</v>
      </c>
      <c r="E53" s="36">
        <v>49.0</v>
      </c>
      <c r="F53" s="36">
        <v>4.0</v>
      </c>
      <c r="G53" s="36">
        <v>34.60110875355914</v>
      </c>
      <c r="H53" s="36">
        <v>111.68676412950171</v>
      </c>
      <c r="I53" s="36">
        <v>33.71212711693905</v>
      </c>
      <c r="J53" s="36">
        <v>8796.000000000004</v>
      </c>
      <c r="K53" s="36">
        <v>98.41239759298622</v>
      </c>
      <c r="L53" s="36">
        <v>96.18731725128839</v>
      </c>
      <c r="M53" s="36">
        <v>161.0372627685903</v>
      </c>
      <c r="N53" s="28" t="str">
        <f t="shared" si="1"/>
        <v>nav šaurleņķa</v>
      </c>
      <c r="O53" s="37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2.75" customHeight="1">
      <c r="A54" s="36">
        <v>-99.0</v>
      </c>
      <c r="B54" s="36">
        <v>57.0</v>
      </c>
      <c r="C54" s="36">
        <v>-18.0</v>
      </c>
      <c r="D54" s="36">
        <v>-23.0</v>
      </c>
      <c r="E54" s="36">
        <v>-85.0</v>
      </c>
      <c r="F54" s="36">
        <v>-67.0</v>
      </c>
      <c r="G54" s="36">
        <v>63.14803682848837</v>
      </c>
      <c r="H54" s="36">
        <v>77.93769344022478</v>
      </c>
      <c r="I54" s="36">
        <v>38.91426973128685</v>
      </c>
      <c r="J54" s="36">
        <v>8924.000000000002</v>
      </c>
      <c r="K54" s="36">
        <v>113.84638773364749</v>
      </c>
      <c r="L54" s="36">
        <v>80.15609770940699</v>
      </c>
      <c r="M54" s="36">
        <v>124.78781991845197</v>
      </c>
      <c r="N54" s="28" t="str">
        <f t="shared" si="1"/>
        <v>ir šaurleņķa</v>
      </c>
      <c r="O54" s="37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2.75" customHeight="1">
      <c r="A55" s="36">
        <v>-89.0</v>
      </c>
      <c r="B55" s="36">
        <v>-7.0</v>
      </c>
      <c r="C55" s="36">
        <v>-37.0</v>
      </c>
      <c r="D55" s="36">
        <v>-55.0</v>
      </c>
      <c r="E55" s="36">
        <v>2.0</v>
      </c>
      <c r="F55" s="36">
        <v>85.0</v>
      </c>
      <c r="G55" s="36">
        <v>29.120593600122525</v>
      </c>
      <c r="H55" s="36">
        <v>62.856927867495344</v>
      </c>
      <c r="I55" s="36">
        <v>88.02247853238212</v>
      </c>
      <c r="J55" s="36">
        <v>9152.0</v>
      </c>
      <c r="K55" s="36">
        <v>70.76722405181653</v>
      </c>
      <c r="L55" s="36">
        <v>145.33065746772084</v>
      </c>
      <c r="M55" s="36">
        <v>129.40247292845683</v>
      </c>
      <c r="N55" s="28" t="str">
        <f t="shared" si="1"/>
        <v>ir šaurleņķa</v>
      </c>
      <c r="O55" s="37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2.75" customHeight="1">
      <c r="A56" s="36">
        <v>-18.0</v>
      </c>
      <c r="B56" s="36">
        <v>-76.0</v>
      </c>
      <c r="C56" s="36">
        <v>84.0</v>
      </c>
      <c r="D56" s="36">
        <v>52.0</v>
      </c>
      <c r="E56" s="36">
        <v>68.0</v>
      </c>
      <c r="F56" s="36">
        <v>-62.0</v>
      </c>
      <c r="G56" s="36">
        <v>107.23543951196018</v>
      </c>
      <c r="H56" s="36">
        <v>30.561138529760875</v>
      </c>
      <c r="I56" s="36">
        <v>42.20342195827908</v>
      </c>
      <c r="J56" s="36">
        <v>9580.000000000015</v>
      </c>
      <c r="K56" s="36">
        <v>163.67040050051813</v>
      </c>
      <c r="L56" s="36">
        <v>115.11733144926528</v>
      </c>
      <c r="M56" s="36">
        <v>87.13208364316786</v>
      </c>
      <c r="N56" s="28" t="str">
        <f t="shared" si="1"/>
        <v>nav šaurleņķa</v>
      </c>
      <c r="O56" s="37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2.75" customHeight="1">
      <c r="A57" s="36">
        <v>76.0</v>
      </c>
      <c r="B57" s="36">
        <v>33.0</v>
      </c>
      <c r="C57" s="36">
        <v>-54.0</v>
      </c>
      <c r="D57" s="36">
        <v>-14.0</v>
      </c>
      <c r="E57" s="36">
        <v>-85.0</v>
      </c>
      <c r="F57" s="36">
        <v>52.0</v>
      </c>
      <c r="G57" s="36">
        <v>58.11021414935264</v>
      </c>
      <c r="H57" s="36">
        <v>95.28242972142833</v>
      </c>
      <c r="I57" s="36">
        <v>26.607356129218918</v>
      </c>
      <c r="J57" s="36">
        <v>10037.0</v>
      </c>
      <c r="K57" s="36">
        <v>138.23530663329106</v>
      </c>
      <c r="L57" s="36">
        <v>72.91776189653656</v>
      </c>
      <c r="M57" s="36">
        <v>162.1172415260018</v>
      </c>
      <c r="N57" s="28" t="str">
        <f t="shared" si="1"/>
        <v>nav šaurleņķa</v>
      </c>
      <c r="O57" s="37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2.75" customHeight="1">
      <c r="A58" s="36">
        <v>-18.0</v>
      </c>
      <c r="B58" s="36">
        <v>72.0</v>
      </c>
      <c r="C58" s="36">
        <v>46.0</v>
      </c>
      <c r="D58" s="36">
        <v>59.0</v>
      </c>
      <c r="E58" s="36">
        <v>-10.0</v>
      </c>
      <c r="F58" s="36">
        <v>-93.0</v>
      </c>
      <c r="G58" s="36">
        <v>23.000662879951154</v>
      </c>
      <c r="H58" s="36">
        <v>81.25713192357998</v>
      </c>
      <c r="I58" s="36">
        <v>75.74220519646877</v>
      </c>
      <c r="J58" s="36">
        <v>10455.999999999998</v>
      </c>
      <c r="K58" s="36">
        <v>65.30696746902278</v>
      </c>
      <c r="L58" s="36">
        <v>161.9876538505327</v>
      </c>
      <c r="M58" s="36">
        <v>165.19382555047267</v>
      </c>
      <c r="N58" s="28" t="str">
        <f t="shared" si="1"/>
        <v>ir šaurleņķa</v>
      </c>
      <c r="O58" s="37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2.75" customHeight="1">
      <c r="A59" s="36">
        <v>-53.0</v>
      </c>
      <c r="B59" s="36">
        <v>-86.0</v>
      </c>
      <c r="C59" s="36">
        <v>33.0</v>
      </c>
      <c r="D59" s="36">
        <v>13.0</v>
      </c>
      <c r="E59" s="36">
        <v>-27.0</v>
      </c>
      <c r="F59" s="36">
        <v>68.0</v>
      </c>
      <c r="G59" s="36">
        <v>57.072497645531726</v>
      </c>
      <c r="H59" s="36">
        <v>91.5300295658383</v>
      </c>
      <c r="I59" s="36">
        <v>31.39747278862997</v>
      </c>
      <c r="J59" s="36">
        <v>10670.0</v>
      </c>
      <c r="K59" s="36">
        <v>131.13733259449805</v>
      </c>
      <c r="L59" s="36">
        <v>81.39410298049853</v>
      </c>
      <c r="M59" s="36">
        <v>156.1793840428371</v>
      </c>
      <c r="N59" s="28" t="str">
        <f t="shared" si="1"/>
        <v>nav šaurleņķa</v>
      </c>
      <c r="O59" s="37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2.75" customHeight="1">
      <c r="A60" s="36">
        <v>17.0</v>
      </c>
      <c r="B60" s="36">
        <v>-12.0</v>
      </c>
      <c r="C60" s="36">
        <v>76.0</v>
      </c>
      <c r="D60" s="36">
        <v>-83.0</v>
      </c>
      <c r="E60" s="36">
        <v>88.0</v>
      </c>
      <c r="F60" s="36">
        <v>98.0</v>
      </c>
      <c r="G60" s="36">
        <v>29.047339989784838</v>
      </c>
      <c r="H60" s="36">
        <v>43.519168324336846</v>
      </c>
      <c r="I60" s="36">
        <v>107.43349168587828</v>
      </c>
      <c r="J60" s="36">
        <v>11530.999999999993</v>
      </c>
      <c r="K60" s="36">
        <v>92.31467922275417</v>
      </c>
      <c r="L60" s="36">
        <v>181.39735389470266</v>
      </c>
      <c r="M60" s="36">
        <v>130.92364186807515</v>
      </c>
      <c r="N60" s="28" t="str">
        <f t="shared" si="1"/>
        <v>nav šaurleņķa</v>
      </c>
      <c r="O60" s="37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2.75" customHeight="1">
      <c r="A61" s="36">
        <v>27.0</v>
      </c>
      <c r="B61" s="36">
        <v>98.0</v>
      </c>
      <c r="C61" s="36">
        <v>-52.0</v>
      </c>
      <c r="D61" s="36">
        <v>42.0</v>
      </c>
      <c r="E61" s="36">
        <v>-39.0</v>
      </c>
      <c r="F61" s="36">
        <v>-95.0</v>
      </c>
      <c r="G61" s="36">
        <v>24.29968853979634</v>
      </c>
      <c r="H61" s="36">
        <v>119.910736055154</v>
      </c>
      <c r="I61" s="36">
        <v>35.7895754050497</v>
      </c>
      <c r="J61" s="36">
        <v>11551.0</v>
      </c>
      <c r="K61" s="36">
        <v>96.83491106000976</v>
      </c>
      <c r="L61" s="36">
        <v>137.6154061142865</v>
      </c>
      <c r="M61" s="36">
        <v>203.9730374338726</v>
      </c>
      <c r="N61" s="28" t="str">
        <f t="shared" si="1"/>
        <v>nav šaurleņķa</v>
      </c>
      <c r="O61" s="37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2.75" customHeight="1">
      <c r="A62" s="36">
        <v>5.0</v>
      </c>
      <c r="B62" s="36">
        <v>-43.0</v>
      </c>
      <c r="C62" s="36">
        <v>-92.0</v>
      </c>
      <c r="D62" s="36">
        <v>-48.0</v>
      </c>
      <c r="E62" s="36">
        <v>52.0</v>
      </c>
      <c r="F62" s="36">
        <v>86.0</v>
      </c>
      <c r="G62" s="36">
        <v>27.041350629939124</v>
      </c>
      <c r="H62" s="36">
        <v>39.989109867270514</v>
      </c>
      <c r="I62" s="36">
        <v>112.96953950279031</v>
      </c>
      <c r="J62" s="36">
        <v>12277.999999999998</v>
      </c>
      <c r="K62" s="36">
        <v>97.12878049270464</v>
      </c>
      <c r="L62" s="36">
        <v>196.70282153543198</v>
      </c>
      <c r="M62" s="36">
        <v>137.2953021774598</v>
      </c>
      <c r="N62" s="28" t="str">
        <f t="shared" si="1"/>
        <v>nav šaurleņķa</v>
      </c>
      <c r="O62" s="37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2.75" customHeight="1">
      <c r="A63" s="36">
        <v>-45.0</v>
      </c>
      <c r="B63" s="36">
        <v>21.0</v>
      </c>
      <c r="C63" s="36">
        <v>97.0</v>
      </c>
      <c r="D63" s="36">
        <v>-65.0</v>
      </c>
      <c r="E63" s="36">
        <v>-73.0</v>
      </c>
      <c r="F63" s="36">
        <v>-50.0</v>
      </c>
      <c r="G63" s="36">
        <v>73.51985096126381</v>
      </c>
      <c r="H63" s="36">
        <v>26.158063534809635</v>
      </c>
      <c r="I63" s="36">
        <v>80.32208550392642</v>
      </c>
      <c r="J63" s="36">
        <v>12489.999999999964</v>
      </c>
      <c r="K63" s="36">
        <v>166.01204775557707</v>
      </c>
      <c r="L63" s="36">
        <v>170.66048165876012</v>
      </c>
      <c r="M63" s="36">
        <v>76.32168761236873</v>
      </c>
      <c r="N63" s="28" t="str">
        <f t="shared" si="1"/>
        <v>ir šaurleņķa</v>
      </c>
      <c r="O63" s="37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2.75" customHeight="1">
      <c r="A64" s="36">
        <v>40.0</v>
      </c>
      <c r="B64" s="36">
        <v>91.0</v>
      </c>
      <c r="C64" s="36">
        <v>59.0</v>
      </c>
      <c r="D64" s="36">
        <v>-27.0</v>
      </c>
      <c r="E64" s="36">
        <v>-69.0</v>
      </c>
      <c r="F64" s="36">
        <v>93.0</v>
      </c>
      <c r="G64" s="36">
        <v>42.10120898446169</v>
      </c>
      <c r="H64" s="36">
        <v>37.70052988111947</v>
      </c>
      <c r="I64" s="36">
        <v>100.19826113441894</v>
      </c>
      <c r="J64" s="36">
        <v>12824.000000000007</v>
      </c>
      <c r="K64" s="36">
        <v>119.5198728245642</v>
      </c>
      <c r="L64" s="36">
        <v>175.45369759569047</v>
      </c>
      <c r="M64" s="36">
        <v>109.01834707974616</v>
      </c>
      <c r="N64" s="28" t="str">
        <f t="shared" si="1"/>
        <v>nav šaurleņķa</v>
      </c>
      <c r="O64" s="37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2.75" customHeight="1">
      <c r="A65" s="36">
        <v>18.0</v>
      </c>
      <c r="B65" s="36">
        <v>-47.0</v>
      </c>
      <c r="C65" s="36">
        <v>-53.0</v>
      </c>
      <c r="D65" s="36">
        <v>63.0</v>
      </c>
      <c r="E65" s="36">
        <v>48.0</v>
      </c>
      <c r="F65" s="36">
        <v>88.0</v>
      </c>
      <c r="G65" s="36">
        <v>63.568505176627966</v>
      </c>
      <c r="H65" s="36">
        <v>71.0622828427471</v>
      </c>
      <c r="I65" s="36">
        <v>45.36921198062502</v>
      </c>
      <c r="J65" s="36">
        <v>12885.000000000002</v>
      </c>
      <c r="K65" s="36">
        <v>130.92364186807515</v>
      </c>
      <c r="L65" s="36">
        <v>104.04806581575652</v>
      </c>
      <c r="M65" s="36">
        <v>138.2931668593933</v>
      </c>
      <c r="N65" s="28" t="str">
        <f t="shared" si="1"/>
        <v>ir šaurleņķa</v>
      </c>
      <c r="O65" s="37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2.75" customHeight="1">
      <c r="A66" s="36">
        <v>-41.0</v>
      </c>
      <c r="B66" s="36">
        <v>-99.0</v>
      </c>
      <c r="C66" s="36">
        <v>-3.0</v>
      </c>
      <c r="D66" s="36">
        <v>51.0</v>
      </c>
      <c r="E66" s="36">
        <v>58.0</v>
      </c>
      <c r="F66" s="36">
        <v>-63.0</v>
      </c>
      <c r="G66" s="36">
        <v>81.83241793372505</v>
      </c>
      <c r="H66" s="36">
        <v>42.366542061848456</v>
      </c>
      <c r="I66" s="36">
        <v>55.801040004426476</v>
      </c>
      <c r="J66" s="36">
        <v>13481.999999999998</v>
      </c>
      <c r="K66" s="36">
        <v>154.7384890710776</v>
      </c>
      <c r="L66" s="36">
        <v>129.29423807734048</v>
      </c>
      <c r="M66" s="36">
        <v>105.34229919647663</v>
      </c>
      <c r="N66" s="28" t="str">
        <f t="shared" si="1"/>
        <v>ir šaurleņķa</v>
      </c>
      <c r="O66" s="37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2.75" customHeight="1">
      <c r="A67" s="36">
        <v>60.0</v>
      </c>
      <c r="B67" s="36">
        <v>-98.0</v>
      </c>
      <c r="C67" s="36">
        <v>-37.0</v>
      </c>
      <c r="D67" s="36">
        <v>-96.0</v>
      </c>
      <c r="E67" s="36">
        <v>-86.0</v>
      </c>
      <c r="F67" s="36">
        <v>51.0</v>
      </c>
      <c r="G67" s="36">
        <v>25.982402317891548</v>
      </c>
      <c r="H67" s="36">
        <v>109.61613773624865</v>
      </c>
      <c r="I67" s="36">
        <v>44.40145994585982</v>
      </c>
      <c r="J67" s="36">
        <v>14161.0</v>
      </c>
      <c r="K67" s="36">
        <v>97.02061636580135</v>
      </c>
      <c r="L67" s="36">
        <v>154.95160534825058</v>
      </c>
      <c r="M67" s="36">
        <v>208.60728654579637</v>
      </c>
      <c r="N67" s="28" t="str">
        <f t="shared" si="1"/>
        <v>nav šaurleņķa</v>
      </c>
      <c r="O67" s="37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2.75" customHeight="1">
      <c r="A68" s="36">
        <v>88.0</v>
      </c>
      <c r="B68" s="36">
        <v>77.0</v>
      </c>
      <c r="C68" s="36">
        <v>-9.0</v>
      </c>
      <c r="D68" s="36">
        <v>-11.0</v>
      </c>
      <c r="E68" s="36">
        <v>78.0</v>
      </c>
      <c r="F68" s="36">
        <v>-86.0</v>
      </c>
      <c r="G68" s="36">
        <v>52.74707322932614</v>
      </c>
      <c r="H68" s="36">
        <v>82.97843877882678</v>
      </c>
      <c r="I68" s="36">
        <v>44.274487991846996</v>
      </c>
      <c r="J68" s="36">
        <v>14930.999999999998</v>
      </c>
      <c r="K68" s="36">
        <v>130.96946208945045</v>
      </c>
      <c r="L68" s="36">
        <v>114.86513831445988</v>
      </c>
      <c r="M68" s="36">
        <v>163.3064603743526</v>
      </c>
      <c r="N68" s="28" t="str">
        <f t="shared" si="1"/>
        <v>ir šaurleņķa</v>
      </c>
      <c r="O68" s="37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2.75" customHeight="1">
      <c r="A69" s="36">
        <v>-23.0</v>
      </c>
      <c r="B69" s="36">
        <v>-27.0</v>
      </c>
      <c r="C69" s="36">
        <v>95.0</v>
      </c>
      <c r="D69" s="36">
        <v>44.0</v>
      </c>
      <c r="E69" s="36">
        <v>-73.0</v>
      </c>
      <c r="F69" s="36">
        <v>73.0</v>
      </c>
      <c r="G69" s="36">
        <v>53.641121464474445</v>
      </c>
      <c r="H69" s="36">
        <v>40.8289360074503</v>
      </c>
      <c r="I69" s="36">
        <v>85.52994252807532</v>
      </c>
      <c r="J69" s="36">
        <v>15350.000000000015</v>
      </c>
      <c r="K69" s="36">
        <v>137.71347065556077</v>
      </c>
      <c r="L69" s="36">
        <v>170.48460341039598</v>
      </c>
      <c r="M69" s="36">
        <v>111.80339887498948</v>
      </c>
      <c r="N69" s="28" t="str">
        <f t="shared" si="1"/>
        <v>ir šaurleņķa</v>
      </c>
      <c r="O69" s="37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2.75" customHeight="1">
      <c r="A70" s="36">
        <v>-57.0</v>
      </c>
      <c r="B70" s="36">
        <v>69.0</v>
      </c>
      <c r="C70" s="36">
        <v>-58.0</v>
      </c>
      <c r="D70" s="36">
        <v>-52.0</v>
      </c>
      <c r="E70" s="36">
        <v>99.0</v>
      </c>
      <c r="F70" s="36">
        <v>-16.0</v>
      </c>
      <c r="G70" s="36">
        <v>41.49935236612146</v>
      </c>
      <c r="H70" s="36">
        <v>76.61185989894406</v>
      </c>
      <c r="I70" s="36">
        <v>61.88878773493447</v>
      </c>
      <c r="J70" s="36">
        <v>18961.0</v>
      </c>
      <c r="K70" s="36">
        <v>121.00413216084813</v>
      </c>
      <c r="L70" s="36">
        <v>161.07451691686057</v>
      </c>
      <c r="M70" s="36">
        <v>177.65415840897168</v>
      </c>
      <c r="N70" s="28" t="str">
        <f t="shared" si="1"/>
        <v>ir šaurleņķa</v>
      </c>
      <c r="O70" s="37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2.75" customHeight="1">
      <c r="A71" s="36">
        <v>24.0</v>
      </c>
      <c r="B71" s="36">
        <v>86.0</v>
      </c>
      <c r="C71" s="36">
        <v>-51.0</v>
      </c>
      <c r="D71" s="36">
        <v>-37.0</v>
      </c>
      <c r="E71" s="36">
        <v>95.0</v>
      </c>
      <c r="F71" s="36">
        <v>-84.0</v>
      </c>
      <c r="G71" s="36">
        <v>49.4879972923734</v>
      </c>
      <c r="H71" s="36">
        <v>76.47128646816694</v>
      </c>
      <c r="I71" s="36">
        <v>54.04071623945979</v>
      </c>
      <c r="J71" s="36">
        <v>21483.0</v>
      </c>
      <c r="K71" s="36">
        <v>144.06248644251562</v>
      </c>
      <c r="L71" s="36">
        <v>153.37861650177967</v>
      </c>
      <c r="M71" s="36">
        <v>184.23083346714796</v>
      </c>
      <c r="N71" s="28" t="str">
        <f t="shared" si="1"/>
        <v>ir šaurleņķa</v>
      </c>
      <c r="O71" s="37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2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37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2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37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2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37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2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37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2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37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2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37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2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37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2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37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2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37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2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37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2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37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2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37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2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37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2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37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2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37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2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37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2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37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2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37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2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37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2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37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2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37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2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37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2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37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2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37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2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37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2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37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2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37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2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37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2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37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2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37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2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37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2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37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2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37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2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37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2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37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2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37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2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37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2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37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2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37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2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37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2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37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2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37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2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37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2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37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2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37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2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37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2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37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2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37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2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37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2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37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2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37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2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37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2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37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2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37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2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37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2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37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2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37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2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37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2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37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2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37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2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37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2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37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2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37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2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37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2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37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2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37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2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37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2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37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2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37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2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37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2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37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2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37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2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37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2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37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2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37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2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37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2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37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2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37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2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37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2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37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2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37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2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37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2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37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2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37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2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37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2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37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2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37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2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37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2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37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2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37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2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37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2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37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2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37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2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37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2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37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2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37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2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37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2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37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2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37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2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37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2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37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2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37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2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37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2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37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2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37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2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37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2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37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2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37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2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37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2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37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2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37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2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37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2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37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2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37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2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37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2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37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2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37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2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37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2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37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2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37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2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37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2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37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2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37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2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37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2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37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2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37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2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37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2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37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2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37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2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37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2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37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2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37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2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37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2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37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2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37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2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37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2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37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2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37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2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37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2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37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2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37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2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37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2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37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2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37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2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37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2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37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2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37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2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37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2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37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2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37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2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37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2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37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2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37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2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37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2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37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2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37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2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37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2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37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2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37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2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37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2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37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2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37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2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37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2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37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2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37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2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37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2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37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2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37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2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37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2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37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2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37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2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37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2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37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2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37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2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37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2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37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2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37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2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37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2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37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2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37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2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37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2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37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2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37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2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37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2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37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2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37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2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37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2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37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2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37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2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37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2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37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2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37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2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37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2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37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2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37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2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37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2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37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2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37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2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37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2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37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2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37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2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37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2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37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2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37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2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37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2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37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2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37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2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37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2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37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2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37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2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37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2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37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2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37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2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37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2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37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2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37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2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37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2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37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2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37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2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37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2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37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2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37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2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37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2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37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2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37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2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37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2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37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2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37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2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37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2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37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2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37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2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37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2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37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2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37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2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37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2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37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2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37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2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37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2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37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2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37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2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37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2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37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2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37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2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37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2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37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2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37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2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37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2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37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2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37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2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37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2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37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2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37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2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37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2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37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2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37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2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37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2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37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2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37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2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37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2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37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2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37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2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37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2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37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2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37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2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37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2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37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2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37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2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37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2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37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2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37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2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37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2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37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2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37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2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37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2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37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2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37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2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37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2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37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2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37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2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37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2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37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2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37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2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37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2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37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2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37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2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37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2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37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2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37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2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37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2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37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2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37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2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37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2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37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2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37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2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37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2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37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2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37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2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37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2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37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2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37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2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37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2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37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2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37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2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37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2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37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2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37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2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37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2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37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2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37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2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37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2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37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2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37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2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37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2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37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2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37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2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37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2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37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2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37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2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37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2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37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2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37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2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37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2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37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2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37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2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37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2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37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2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37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2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37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2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37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2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37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2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37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2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37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2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37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2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37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2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37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2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37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2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37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2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37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2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37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2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37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2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37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2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37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2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37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2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37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2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37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2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37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2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37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2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37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2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37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2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37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2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37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2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37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2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37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2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37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2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37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2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37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2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37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2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37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2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37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2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37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2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37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2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37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2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37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2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37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2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37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2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37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2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37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2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37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2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37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2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37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2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37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2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37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2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37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2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37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2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37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2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37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2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37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2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37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2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37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2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37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2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37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2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37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2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37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2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37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2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37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2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37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2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37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2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37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2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37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2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37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2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37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2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37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2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37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2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37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2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37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2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37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2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37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2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37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2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37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2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37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2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37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2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37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2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37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2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37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2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37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2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37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2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37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2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37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2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37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2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37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2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37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2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37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2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37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2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37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2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37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2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37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2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37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2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37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2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37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2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37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2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37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2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37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2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37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2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37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2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37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2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37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2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37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2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37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2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37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2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37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2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37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2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37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2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37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2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37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2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37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2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37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2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37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2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37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2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37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2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37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2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37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2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37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2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37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2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37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2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37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2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37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2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37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2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37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2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37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2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37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2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37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2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37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2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37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2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37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2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37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2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37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2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37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2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37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2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37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2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37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2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37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2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37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2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37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2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37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2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37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2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37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2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37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2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37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2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37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2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37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2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37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2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37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2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37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2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37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2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37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2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37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2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37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2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37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2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37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2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37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2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37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2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37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2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37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2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37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2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37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2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37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2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37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2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37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2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37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2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37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2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37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2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37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2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37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2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37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2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37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2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37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2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37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2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37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2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37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2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37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2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37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2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37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2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37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2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37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2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37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2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37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2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37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2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37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2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37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2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37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2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37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2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37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2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37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2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37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2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37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2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37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2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37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2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37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2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37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2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37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2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37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2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37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2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37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2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37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2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37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2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37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2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37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2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37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2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37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2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37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2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37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2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37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2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37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2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37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2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37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2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37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2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37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2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37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2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37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2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37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2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37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2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37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2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37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2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37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2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37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2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37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2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37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2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37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2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37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2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37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2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37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2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37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2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37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2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37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2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37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2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37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2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37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2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37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2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37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2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37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2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37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2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37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2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37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2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37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2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37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2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37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2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37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2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37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2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37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2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37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2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37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2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37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2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37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2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37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2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37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2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37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2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37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2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37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2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37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2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37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2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37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2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37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2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37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2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37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2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37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2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37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2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37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2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37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2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37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2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37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2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37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2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37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2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37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2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37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2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37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2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37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2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37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2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37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2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37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2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37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2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37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2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37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2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37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2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37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2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37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2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37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2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37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2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37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2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37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2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37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2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37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2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37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2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37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2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37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2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37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2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37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2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37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2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37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2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37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2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37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2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37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2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37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2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37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2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37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2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37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2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37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2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37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2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37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2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37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2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37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2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37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2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37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2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37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2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37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2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37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2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37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2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37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2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37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2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37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2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37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2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37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2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37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2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37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2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37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2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37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2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37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2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37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2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37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2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37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2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37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2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37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2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37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2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37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2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37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2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37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2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37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2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37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2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37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2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37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2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37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2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37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2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37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2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37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2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37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2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37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2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37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2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37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2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37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2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37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2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37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2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37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2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37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2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37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2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37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2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37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2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37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2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37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2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37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2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37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2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37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2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37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2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37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2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37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2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37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2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37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2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37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2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37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2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37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2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37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2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37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2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37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2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37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2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37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2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37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2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37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2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37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2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37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2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37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2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37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2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37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2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37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2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37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2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37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2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37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2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37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2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37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2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37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2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37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2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37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2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37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2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37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2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37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2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37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2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37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2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37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2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37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2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37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2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37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2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37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2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37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2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37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2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37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2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37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2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37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2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37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2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37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2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37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2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37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2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37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2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37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2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37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2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37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2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37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2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37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2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37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2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37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2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37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2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37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2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37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2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37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2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37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2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37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2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37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2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37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2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37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2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37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2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37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2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37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2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37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2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37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2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37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2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37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2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37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2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37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2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37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2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37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2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37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2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37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2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37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2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37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2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37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2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37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2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37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2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37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2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37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2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37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2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37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2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37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2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37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2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37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2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37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2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37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2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37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2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37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2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37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2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37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2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37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2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37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2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37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2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37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2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37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2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37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2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37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2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37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2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37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2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37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2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37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2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37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2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37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2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37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2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37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2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37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2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37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2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37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2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37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2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37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2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37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2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37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2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37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2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37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2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37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2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37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2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37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2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37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2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37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2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37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2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37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2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37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2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37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2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37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2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37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2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37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2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37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2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37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2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37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2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37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2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37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2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37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2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37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2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37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2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37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2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37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2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37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2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37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2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37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2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37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2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37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2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37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2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37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2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37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2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37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2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37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2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37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2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37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2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37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2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37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2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37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2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37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2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37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2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37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2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37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2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37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2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37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2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37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2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37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2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37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2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37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2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37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2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37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2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37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2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37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2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37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2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37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2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37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2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37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2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37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2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37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2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37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2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37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2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37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2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37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2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37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2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37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2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37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2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37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2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37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2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37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2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37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2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37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2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37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2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37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2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37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2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37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2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37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2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37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2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37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2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37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2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37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2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37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2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37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2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37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2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37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2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37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2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37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2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37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2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37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2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37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2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37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2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37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2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37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2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37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2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37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2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37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2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37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2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37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2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37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2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37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2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37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2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37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2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37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2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37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2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37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2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37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2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37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2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37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2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37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2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37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2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37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2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37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2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37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2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37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2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37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2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37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2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37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2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37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2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37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2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37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2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37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2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37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2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37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2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37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2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37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2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37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2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37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2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37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2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37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2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37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2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37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2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37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A$3:$M$71">
    <sortState ref="A3:M71">
      <sortCondition ref="J3:J71"/>
    </sortState>
  </autoFilter>
  <mergeCells count="3">
    <mergeCell ref="A2:F2"/>
    <mergeCell ref="P4:S6"/>
    <mergeCell ref="P8:S15"/>
  </mergeCells>
  <printOptions gridLines="1"/>
  <pageMargins bottom="0.7480314960629921" footer="0.0" header="0.0" left="0.7086614173228347" right="0.7086614173228347" top="0.7480314960629921"/>
  <pageSetup paperSize="9" orientation="portrait"/>
  <headerFooter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6" width="9.13"/>
    <col customWidth="1" min="7" max="14" width="15.0"/>
    <col customWidth="1" min="15" max="15" width="11.75"/>
    <col customWidth="1" min="16" max="19" width="9.13"/>
    <col customWidth="1" min="20" max="20" width="10.38"/>
    <col customWidth="1" min="21" max="26" width="9.13"/>
  </cols>
  <sheetData>
    <row r="1" ht="12.75" customHeight="1">
      <c r="A1" s="43" t="s">
        <v>80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2.75" customHeight="1">
      <c r="A2" s="34" t="s">
        <v>81</v>
      </c>
      <c r="G2" s="20"/>
      <c r="H2" s="20"/>
      <c r="I2" s="20"/>
      <c r="J2" s="20"/>
      <c r="K2" s="28"/>
      <c r="L2" s="28"/>
      <c r="M2" s="28"/>
      <c r="N2" s="46">
        <f>AVERAGE(N4:N71)</f>
        <v>326.4718904</v>
      </c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2.75" customHeight="1">
      <c r="A3" s="34" t="s">
        <v>82</v>
      </c>
      <c r="B3" s="34" t="s">
        <v>83</v>
      </c>
      <c r="C3" s="34" t="s">
        <v>84</v>
      </c>
      <c r="D3" s="34" t="s">
        <v>85</v>
      </c>
      <c r="E3" s="34" t="s">
        <v>86</v>
      </c>
      <c r="F3" s="34" t="s">
        <v>87</v>
      </c>
      <c r="G3" s="34" t="s">
        <v>45</v>
      </c>
      <c r="H3" s="34" t="s">
        <v>46</v>
      </c>
      <c r="I3" s="34" t="s">
        <v>47</v>
      </c>
      <c r="J3" s="34" t="s">
        <v>53</v>
      </c>
      <c r="K3" s="34" t="s">
        <v>88</v>
      </c>
      <c r="L3" s="34" t="s">
        <v>89</v>
      </c>
      <c r="M3" s="34" t="s">
        <v>90</v>
      </c>
      <c r="N3" s="34" t="s">
        <v>49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75" customHeight="1">
      <c r="A4" s="28">
        <v>-35.0</v>
      </c>
      <c r="B4" s="28">
        <v>97.0</v>
      </c>
      <c r="C4" s="28">
        <v>79.0</v>
      </c>
      <c r="D4" s="28">
        <v>-4.0</v>
      </c>
      <c r="E4" s="28">
        <v>-43.0</v>
      </c>
      <c r="F4" s="28">
        <v>-27.0</v>
      </c>
      <c r="G4" s="46">
        <v>75.63225833085292</v>
      </c>
      <c r="H4" s="46">
        <v>52.21617245370932</v>
      </c>
      <c r="I4" s="46">
        <v>52.1515692154377</v>
      </c>
      <c r="J4" s="46">
        <v>14943.999999999995</v>
      </c>
      <c r="K4" s="46">
        <v>152.3056138164316</v>
      </c>
      <c r="L4" s="46">
        <v>124.1491039033307</v>
      </c>
      <c r="M4" s="46">
        <v>124.25779653607253</v>
      </c>
      <c r="N4" s="46">
        <v>400.71251425583483</v>
      </c>
      <c r="O4" s="28"/>
      <c r="P4" s="37">
        <v>17.0</v>
      </c>
      <c r="Q4" s="8" t="s">
        <v>93</v>
      </c>
      <c r="R4" s="36"/>
      <c r="S4" s="36"/>
      <c r="T4" s="36"/>
      <c r="U4" s="28" t="s">
        <v>41</v>
      </c>
      <c r="V4" s="28"/>
      <c r="W4" s="28"/>
      <c r="X4" s="28"/>
      <c r="Y4" s="28"/>
      <c r="Z4" s="28"/>
    </row>
    <row r="5" ht="12.75" customHeight="1">
      <c r="A5" s="28">
        <v>-88.0</v>
      </c>
      <c r="B5" s="28">
        <v>-69.0</v>
      </c>
      <c r="C5" s="28">
        <v>87.0</v>
      </c>
      <c r="D5" s="28">
        <v>17.0</v>
      </c>
      <c r="E5" s="28">
        <v>-45.0</v>
      </c>
      <c r="F5" s="28">
        <v>58.0</v>
      </c>
      <c r="G5" s="46">
        <v>91.45009892732415</v>
      </c>
      <c r="H5" s="46">
        <v>43.425931385646315</v>
      </c>
      <c r="I5" s="46">
        <v>45.123969687029415</v>
      </c>
      <c r="J5" s="46">
        <v>18526.99999999999</v>
      </c>
      <c r="K5" s="46">
        <v>194.9897433200013</v>
      </c>
      <c r="L5" s="46">
        <v>138.2208377922808</v>
      </c>
      <c r="M5" s="46">
        <v>134.08206442324789</v>
      </c>
      <c r="N5" s="46">
        <v>467.29264553553</v>
      </c>
      <c r="O5" s="28"/>
      <c r="P5" s="37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3.5" customHeight="1">
      <c r="A6" s="28">
        <v>43.0</v>
      </c>
      <c r="B6" s="28">
        <v>-59.0</v>
      </c>
      <c r="C6" s="28">
        <v>-93.0</v>
      </c>
      <c r="D6" s="28">
        <v>-66.0</v>
      </c>
      <c r="E6" s="28">
        <v>8.0</v>
      </c>
      <c r="F6" s="28">
        <v>40.0</v>
      </c>
      <c r="G6" s="46">
        <v>63.08661504209848</v>
      </c>
      <c r="H6" s="46">
        <v>43.43723958735621</v>
      </c>
      <c r="I6" s="46">
        <v>73.4761453705454</v>
      </c>
      <c r="J6" s="46">
        <v>13709.000000000005</v>
      </c>
      <c r="K6" s="46">
        <v>136.1800279042415</v>
      </c>
      <c r="L6" s="46">
        <v>146.4137971640651</v>
      </c>
      <c r="M6" s="46">
        <v>105.00476179678711</v>
      </c>
      <c r="N6" s="46">
        <v>387.5985868650937</v>
      </c>
      <c r="O6" s="28"/>
      <c r="P6" s="37">
        <v>18.0</v>
      </c>
      <c r="Q6" s="39" t="s">
        <v>94</v>
      </c>
      <c r="R6" s="26"/>
      <c r="S6" s="26"/>
      <c r="T6" s="27"/>
      <c r="U6" s="28" t="s">
        <v>41</v>
      </c>
      <c r="V6" s="28"/>
      <c r="W6" s="28"/>
      <c r="X6" s="28"/>
      <c r="Y6" s="28"/>
      <c r="Z6" s="28"/>
    </row>
    <row r="7" ht="12.75" customHeight="1">
      <c r="A7" s="28">
        <v>97.0</v>
      </c>
      <c r="B7" s="28">
        <v>-51.0</v>
      </c>
      <c r="C7" s="28">
        <v>72.0</v>
      </c>
      <c r="D7" s="28">
        <v>-18.0</v>
      </c>
      <c r="E7" s="28">
        <v>10.0</v>
      </c>
      <c r="F7" s="28">
        <v>-76.0</v>
      </c>
      <c r="G7" s="46">
        <v>27.0585082130677</v>
      </c>
      <c r="H7" s="46">
        <v>84.05583913101815</v>
      </c>
      <c r="I7" s="46">
        <v>68.8856526559142</v>
      </c>
      <c r="J7" s="46">
        <v>3496.0</v>
      </c>
      <c r="K7" s="46">
        <v>41.400483088968905</v>
      </c>
      <c r="L7" s="46">
        <v>84.8999411071645</v>
      </c>
      <c r="M7" s="46">
        <v>90.52071586106685</v>
      </c>
      <c r="N7" s="46">
        <v>216.82114005720024</v>
      </c>
      <c r="O7" s="28"/>
      <c r="P7" s="37"/>
      <c r="Q7" s="29"/>
      <c r="T7" s="30"/>
      <c r="U7" s="28"/>
      <c r="V7" s="28"/>
      <c r="W7" s="28"/>
      <c r="X7" s="28"/>
      <c r="Y7" s="28"/>
      <c r="Z7" s="28"/>
    </row>
    <row r="8" ht="12.75" customHeight="1">
      <c r="A8" s="28">
        <v>-41.0</v>
      </c>
      <c r="B8" s="28">
        <v>-26.0</v>
      </c>
      <c r="C8" s="28">
        <v>-82.0</v>
      </c>
      <c r="D8" s="28">
        <v>62.0</v>
      </c>
      <c r="E8" s="28">
        <v>97.0</v>
      </c>
      <c r="F8" s="28">
        <v>-42.0</v>
      </c>
      <c r="G8" s="46">
        <v>23.543366594656415</v>
      </c>
      <c r="H8" s="46">
        <v>34.86193331681274</v>
      </c>
      <c r="I8" s="46">
        <v>121.5947000885308</v>
      </c>
      <c r="J8" s="46">
        <v>11487.999999999984</v>
      </c>
      <c r="K8" s="46">
        <v>97.082439194738</v>
      </c>
      <c r="L8" s="46">
        <v>207.01932276963907</v>
      </c>
      <c r="M8" s="46">
        <v>138.92443989449805</v>
      </c>
      <c r="N8" s="46">
        <v>443.02620185887514</v>
      </c>
      <c r="O8" s="28"/>
      <c r="P8" s="37"/>
      <c r="Q8" s="31"/>
      <c r="R8" s="32"/>
      <c r="S8" s="32"/>
      <c r="T8" s="33"/>
      <c r="U8" s="28"/>
      <c r="V8" s="28"/>
      <c r="W8" s="28"/>
      <c r="X8" s="28"/>
      <c r="Y8" s="28"/>
      <c r="Z8" s="28"/>
    </row>
    <row r="9" ht="12.75" customHeight="1">
      <c r="A9" s="28">
        <v>46.0</v>
      </c>
      <c r="B9" s="28">
        <v>-56.0</v>
      </c>
      <c r="C9" s="28">
        <v>5.0</v>
      </c>
      <c r="D9" s="28">
        <v>35.0</v>
      </c>
      <c r="E9" s="28">
        <v>-1.0</v>
      </c>
      <c r="F9" s="28">
        <v>3.0</v>
      </c>
      <c r="G9" s="46">
        <v>130.83916110256348</v>
      </c>
      <c r="H9" s="46">
        <v>34.873575000471696</v>
      </c>
      <c r="I9" s="46">
        <v>14.287263896964657</v>
      </c>
      <c r="J9" s="46">
        <v>1857.9999999999986</v>
      </c>
      <c r="K9" s="46">
        <v>99.80981915623332</v>
      </c>
      <c r="L9" s="46">
        <v>32.55764119219941</v>
      </c>
      <c r="M9" s="46">
        <v>75.43208866258443</v>
      </c>
      <c r="N9" s="46">
        <v>207.79954901101718</v>
      </c>
      <c r="O9" s="28"/>
      <c r="P9" s="37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3.5" customHeight="1">
      <c r="A10" s="28">
        <v>41.0</v>
      </c>
      <c r="B10" s="28">
        <v>-70.0</v>
      </c>
      <c r="C10" s="28">
        <v>27.0</v>
      </c>
      <c r="D10" s="28">
        <v>76.0</v>
      </c>
      <c r="E10" s="28">
        <v>-71.0</v>
      </c>
      <c r="F10" s="28">
        <v>-81.0</v>
      </c>
      <c r="G10" s="46">
        <v>52.41815779406643</v>
      </c>
      <c r="H10" s="46">
        <v>37.44993648831663</v>
      </c>
      <c r="I10" s="46">
        <v>90.1319057176169</v>
      </c>
      <c r="J10" s="46">
        <v>16506.000000000007</v>
      </c>
      <c r="K10" s="46">
        <v>146.66969693839283</v>
      </c>
      <c r="L10" s="46">
        <v>185.0756602041446</v>
      </c>
      <c r="M10" s="46">
        <v>112.53888216967503</v>
      </c>
      <c r="N10" s="46">
        <v>444.2842393122125</v>
      </c>
      <c r="O10" s="28"/>
      <c r="P10" s="37">
        <v>19.0</v>
      </c>
      <c r="Q10" s="39" t="s">
        <v>95</v>
      </c>
      <c r="R10" s="26"/>
      <c r="S10" s="26"/>
      <c r="T10" s="27"/>
      <c r="U10" s="28" t="s">
        <v>41</v>
      </c>
      <c r="V10" s="28"/>
      <c r="W10" s="28"/>
      <c r="X10" s="28"/>
      <c r="Y10" s="28"/>
      <c r="Z10" s="28"/>
    </row>
    <row r="11" ht="12.75" customHeight="1">
      <c r="A11" s="28">
        <v>-28.0</v>
      </c>
      <c r="B11" s="28">
        <v>-91.0</v>
      </c>
      <c r="C11" s="28">
        <v>73.0</v>
      </c>
      <c r="D11" s="28">
        <v>10.0</v>
      </c>
      <c r="E11" s="28">
        <v>21.0</v>
      </c>
      <c r="F11" s="28">
        <v>77.0</v>
      </c>
      <c r="G11" s="46">
        <v>54.07593731588512</v>
      </c>
      <c r="H11" s="46">
        <v>97.18426739242689</v>
      </c>
      <c r="I11" s="46">
        <v>28.739795291688058</v>
      </c>
      <c r="J11" s="46">
        <v>12018.999999999998</v>
      </c>
      <c r="K11" s="46">
        <v>142.8355697996826</v>
      </c>
      <c r="L11" s="46">
        <v>84.81155581640984</v>
      </c>
      <c r="M11" s="46">
        <v>175.0</v>
      </c>
      <c r="N11" s="46">
        <v>402.6471256160924</v>
      </c>
      <c r="O11" s="28"/>
      <c r="P11" s="28"/>
      <c r="Q11" s="29"/>
      <c r="T11" s="30"/>
      <c r="U11" s="28"/>
      <c r="V11" s="28"/>
      <c r="W11" s="28"/>
      <c r="X11" s="28"/>
      <c r="Y11" s="28"/>
      <c r="Z11" s="28"/>
    </row>
    <row r="12" ht="12.75" customHeight="1">
      <c r="A12" s="28">
        <v>-14.0</v>
      </c>
      <c r="B12" s="28">
        <v>-70.0</v>
      </c>
      <c r="C12" s="28">
        <v>-25.0</v>
      </c>
      <c r="D12" s="28">
        <v>97.0</v>
      </c>
      <c r="E12" s="28">
        <v>73.0</v>
      </c>
      <c r="F12" s="28">
        <v>94.0</v>
      </c>
      <c r="G12" s="46">
        <v>63.807999609549135</v>
      </c>
      <c r="H12" s="46">
        <v>84.4780654307931</v>
      </c>
      <c r="I12" s="46">
        <v>31.71393495965787</v>
      </c>
      <c r="J12" s="46">
        <v>16333.0</v>
      </c>
      <c r="K12" s="46">
        <v>167.36188335460378</v>
      </c>
      <c r="L12" s="46">
        <v>98.04590761474952</v>
      </c>
      <c r="M12" s="46">
        <v>185.64751546950473</v>
      </c>
      <c r="N12" s="46">
        <v>451.055306438858</v>
      </c>
      <c r="O12" s="28"/>
      <c r="P12" s="28"/>
      <c r="Q12" s="31"/>
      <c r="R12" s="32"/>
      <c r="S12" s="32"/>
      <c r="T12" s="33"/>
      <c r="U12" s="28"/>
      <c r="V12" s="28"/>
      <c r="W12" s="28"/>
      <c r="X12" s="28"/>
      <c r="Y12" s="28"/>
      <c r="Z12" s="28"/>
    </row>
    <row r="13" ht="12.75" customHeight="1">
      <c r="A13" s="28">
        <v>-59.0</v>
      </c>
      <c r="B13" s="28">
        <v>81.0</v>
      </c>
      <c r="C13" s="28">
        <v>2.0</v>
      </c>
      <c r="D13" s="28">
        <v>-53.0</v>
      </c>
      <c r="E13" s="28">
        <v>-16.0</v>
      </c>
      <c r="F13" s="28">
        <v>-11.0</v>
      </c>
      <c r="G13" s="46">
        <v>178.14761269720339</v>
      </c>
      <c r="H13" s="46">
        <v>1.2775709972209182</v>
      </c>
      <c r="I13" s="46">
        <v>0.5748163055692975</v>
      </c>
      <c r="J13" s="46">
        <v>149.99999999977916</v>
      </c>
      <c r="K13" s="46">
        <v>147.2311108427835</v>
      </c>
      <c r="L13" s="46">
        <v>45.69463863518345</v>
      </c>
      <c r="M13" s="46">
        <v>101.55294185792945</v>
      </c>
      <c r="N13" s="46">
        <v>294.47869133589643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2.75" customHeight="1">
      <c r="A14" s="28">
        <v>-96.0</v>
      </c>
      <c r="B14" s="28">
        <v>47.0</v>
      </c>
      <c r="C14" s="28">
        <v>37.0</v>
      </c>
      <c r="D14" s="28">
        <v>-44.0</v>
      </c>
      <c r="E14" s="28">
        <v>35.0</v>
      </c>
      <c r="F14" s="28">
        <v>71.0</v>
      </c>
      <c r="G14" s="46">
        <v>80.61454273726667</v>
      </c>
      <c r="H14" s="46">
        <v>54.62330737965018</v>
      </c>
      <c r="I14" s="46">
        <v>44.76214988308308</v>
      </c>
      <c r="J14" s="46">
        <v>15112.999999999996</v>
      </c>
      <c r="K14" s="46">
        <v>161.15210206509875</v>
      </c>
      <c r="L14" s="46">
        <v>115.0173899895142</v>
      </c>
      <c r="M14" s="46">
        <v>133.18032887780387</v>
      </c>
      <c r="N14" s="46">
        <v>409.34982093241683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28">
        <v>-7.0</v>
      </c>
      <c r="B15" s="28">
        <v>-30.0</v>
      </c>
      <c r="C15" s="28">
        <v>-72.0</v>
      </c>
      <c r="D15" s="28">
        <v>-3.0</v>
      </c>
      <c r="E15" s="28">
        <v>-75.0</v>
      </c>
      <c r="F15" s="28">
        <v>-80.0</v>
      </c>
      <c r="G15" s="46">
        <v>51.441999439848495</v>
      </c>
      <c r="H15" s="46">
        <v>69.67392797332556</v>
      </c>
      <c r="I15" s="46">
        <v>58.88407258682587</v>
      </c>
      <c r="J15" s="46">
        <v>5085.999999999999</v>
      </c>
      <c r="K15" s="46">
        <v>70.3846574190711</v>
      </c>
      <c r="L15" s="46">
        <v>77.05841939723393</v>
      </c>
      <c r="M15" s="46">
        <v>84.40379138403677</v>
      </c>
      <c r="N15" s="46">
        <v>231.84686820034182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2.75" customHeight="1">
      <c r="A16" s="28">
        <v>90.0</v>
      </c>
      <c r="B16" s="28">
        <v>-17.0</v>
      </c>
      <c r="C16" s="28">
        <v>75.0</v>
      </c>
      <c r="D16" s="28">
        <v>81.0</v>
      </c>
      <c r="E16" s="28">
        <v>56.0</v>
      </c>
      <c r="F16" s="28">
        <v>-22.0</v>
      </c>
      <c r="G16" s="46">
        <v>71.1824809319787</v>
      </c>
      <c r="H16" s="46">
        <v>19.153856733935445</v>
      </c>
      <c r="I16" s="46">
        <v>89.6636623340858</v>
      </c>
      <c r="J16" s="46">
        <v>3406.9999999999914</v>
      </c>
      <c r="K16" s="46">
        <v>99.14131328563285</v>
      </c>
      <c r="L16" s="46">
        <v>104.7377677822093</v>
      </c>
      <c r="M16" s="46">
        <v>34.36568055487916</v>
      </c>
      <c r="N16" s="46">
        <v>238.2447616227213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75" customHeight="1">
      <c r="A17" s="28">
        <v>59.0</v>
      </c>
      <c r="B17" s="28">
        <v>-26.0</v>
      </c>
      <c r="C17" s="28">
        <v>-82.0</v>
      </c>
      <c r="D17" s="28">
        <v>-99.0</v>
      </c>
      <c r="E17" s="28">
        <v>-13.0</v>
      </c>
      <c r="F17" s="28">
        <v>-36.0</v>
      </c>
      <c r="G17" s="46">
        <v>145.50972490545837</v>
      </c>
      <c r="H17" s="46">
        <v>15.025457165319999</v>
      </c>
      <c r="I17" s="46">
        <v>19.464817929222</v>
      </c>
      <c r="J17" s="46">
        <v>3846.000000000042</v>
      </c>
      <c r="K17" s="46">
        <v>158.7765725792064</v>
      </c>
      <c r="L17" s="46">
        <v>93.43446901438462</v>
      </c>
      <c r="M17" s="46">
        <v>72.69112738154499</v>
      </c>
      <c r="N17" s="46">
        <v>324.90216897513596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2.75" customHeight="1">
      <c r="A18" s="28">
        <v>-32.0</v>
      </c>
      <c r="B18" s="28">
        <v>-6.0</v>
      </c>
      <c r="C18" s="28">
        <v>50.0</v>
      </c>
      <c r="D18" s="28">
        <v>35.0</v>
      </c>
      <c r="E18" s="28">
        <v>69.0</v>
      </c>
      <c r="F18" s="28">
        <v>-82.0</v>
      </c>
      <c r="G18" s="46">
        <v>43.81552226873132</v>
      </c>
      <c r="H18" s="46">
        <v>72.65887110502734</v>
      </c>
      <c r="I18" s="46">
        <v>63.52560662624134</v>
      </c>
      <c r="J18" s="46">
        <v>10372.999999999998</v>
      </c>
      <c r="K18" s="46">
        <v>91.67878707749138</v>
      </c>
      <c r="L18" s="46">
        <v>118.53269591129698</v>
      </c>
      <c r="M18" s="46">
        <v>126.40015822774906</v>
      </c>
      <c r="N18" s="46">
        <v>336.6116412165374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75" customHeight="1">
      <c r="A19" s="28">
        <v>88.0</v>
      </c>
      <c r="B19" s="28">
        <v>7.0</v>
      </c>
      <c r="C19" s="28">
        <v>6.0</v>
      </c>
      <c r="D19" s="28">
        <v>56.0</v>
      </c>
      <c r="E19" s="28">
        <v>-58.0</v>
      </c>
      <c r="F19" s="28">
        <v>49.0</v>
      </c>
      <c r="G19" s="46">
        <v>22.290919139948436</v>
      </c>
      <c r="H19" s="46">
        <v>142.89719396423553</v>
      </c>
      <c r="I19" s="46">
        <v>14.81188689581653</v>
      </c>
      <c r="J19" s="46">
        <v>3709.9999999999955</v>
      </c>
      <c r="K19" s="46">
        <v>95.524865872714</v>
      </c>
      <c r="L19" s="46">
        <v>64.38167441127949</v>
      </c>
      <c r="M19" s="46">
        <v>151.92103211866353</v>
      </c>
      <c r="N19" s="46">
        <v>311.827572402657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2.75" customHeight="1">
      <c r="A20" s="28">
        <v>-10.0</v>
      </c>
      <c r="B20" s="28">
        <v>-10.0</v>
      </c>
      <c r="C20" s="28">
        <v>66.0</v>
      </c>
      <c r="D20" s="28">
        <v>-27.0</v>
      </c>
      <c r="E20" s="28">
        <v>39.0</v>
      </c>
      <c r="F20" s="28">
        <v>-80.0</v>
      </c>
      <c r="G20" s="46">
        <v>61.98785859264529</v>
      </c>
      <c r="H20" s="46">
        <v>75.61276839927963</v>
      </c>
      <c r="I20" s="46">
        <v>42.399373008075095</v>
      </c>
      <c r="J20" s="46">
        <v>4487.0</v>
      </c>
      <c r="K20" s="46">
        <v>77.87810988975015</v>
      </c>
      <c r="L20" s="46">
        <v>59.481089431852205</v>
      </c>
      <c r="M20" s="46">
        <v>85.44588931013593</v>
      </c>
      <c r="N20" s="46">
        <v>222.80508863173827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28">
        <v>-20.0</v>
      </c>
      <c r="B21" s="28">
        <v>-5.0</v>
      </c>
      <c r="C21" s="28">
        <v>-20.0</v>
      </c>
      <c r="D21" s="28">
        <v>52.0</v>
      </c>
      <c r="E21" s="28">
        <v>-57.0</v>
      </c>
      <c r="F21" s="28">
        <v>-86.0</v>
      </c>
      <c r="G21" s="46">
        <v>9.541538712548894</v>
      </c>
      <c r="H21" s="46">
        <v>15.008913676658743</v>
      </c>
      <c r="I21" s="46">
        <v>155.44954761079268</v>
      </c>
      <c r="J21" s="46">
        <v>2109.000000000008</v>
      </c>
      <c r="K21" s="46">
        <v>57.0</v>
      </c>
      <c r="L21" s="46">
        <v>142.87407042567241</v>
      </c>
      <c r="M21" s="46">
        <v>89.05054744357274</v>
      </c>
      <c r="N21" s="46">
        <v>288.92461786924514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2.75" customHeight="1">
      <c r="A22" s="28">
        <v>81.0</v>
      </c>
      <c r="B22" s="28">
        <v>-85.0</v>
      </c>
      <c r="C22" s="28">
        <v>79.0</v>
      </c>
      <c r="D22" s="28">
        <v>-10.0</v>
      </c>
      <c r="E22" s="28">
        <v>-33.0</v>
      </c>
      <c r="F22" s="28">
        <v>39.0</v>
      </c>
      <c r="G22" s="46">
        <v>23.776592785988477</v>
      </c>
      <c r="H22" s="46">
        <v>115.15690317286972</v>
      </c>
      <c r="I22" s="46">
        <v>41.066504041141755</v>
      </c>
      <c r="J22" s="46">
        <v>8302.000000000002</v>
      </c>
      <c r="K22" s="46">
        <v>75.02666192761077</v>
      </c>
      <c r="L22" s="46">
        <v>122.24974437601087</v>
      </c>
      <c r="M22" s="46">
        <v>168.43990026119107</v>
      </c>
      <c r="N22" s="46">
        <v>365.7163065648127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2.75" customHeight="1">
      <c r="A23" s="28">
        <v>15.0</v>
      </c>
      <c r="B23" s="28">
        <v>99.0</v>
      </c>
      <c r="C23" s="28">
        <v>-77.0</v>
      </c>
      <c r="D23" s="28">
        <v>78.0</v>
      </c>
      <c r="E23" s="28">
        <v>-93.0</v>
      </c>
      <c r="F23" s="28">
        <v>21.0</v>
      </c>
      <c r="G23" s="46">
        <v>38.48282292330249</v>
      </c>
      <c r="H23" s="46">
        <v>118.53761429541746</v>
      </c>
      <c r="I23" s="46">
        <v>22.979562781280098</v>
      </c>
      <c r="J23" s="46">
        <v>4908.0</v>
      </c>
      <c r="K23" s="46">
        <v>94.36630754670864</v>
      </c>
      <c r="L23" s="46">
        <v>59.20304046246274</v>
      </c>
      <c r="M23" s="46">
        <v>133.2216198670471</v>
      </c>
      <c r="N23" s="46">
        <v>286.7909678762185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2.75" customHeight="1">
      <c r="A24" s="28">
        <v>47.0</v>
      </c>
      <c r="B24" s="28">
        <v>99.0</v>
      </c>
      <c r="C24" s="28">
        <v>15.0</v>
      </c>
      <c r="D24" s="28">
        <v>8.0</v>
      </c>
      <c r="E24" s="28">
        <v>-43.0</v>
      </c>
      <c r="F24" s="28">
        <v>44.0</v>
      </c>
      <c r="G24" s="46">
        <v>63.257012191511606</v>
      </c>
      <c r="H24" s="46">
        <v>77.54669319198446</v>
      </c>
      <c r="I24" s="46">
        <v>39.19629461650387</v>
      </c>
      <c r="J24" s="46">
        <v>6429.999999999999</v>
      </c>
      <c r="K24" s="46">
        <v>96.46242791885346</v>
      </c>
      <c r="L24" s="46">
        <v>68.26419266350405</v>
      </c>
      <c r="M24" s="46">
        <v>105.47511554864494</v>
      </c>
      <c r="N24" s="46">
        <v>270.20173613100246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75" customHeight="1">
      <c r="A25" s="28">
        <v>4.0</v>
      </c>
      <c r="B25" s="28">
        <v>45.0</v>
      </c>
      <c r="C25" s="28">
        <v>-33.0</v>
      </c>
      <c r="D25" s="28">
        <v>-74.0</v>
      </c>
      <c r="E25" s="28">
        <v>49.0</v>
      </c>
      <c r="F25" s="28">
        <v>57.0</v>
      </c>
      <c r="G25" s="46">
        <v>43.023902103128215</v>
      </c>
      <c r="H25" s="46">
        <v>14.772938141053261</v>
      </c>
      <c r="I25" s="46">
        <v>122.20315975581845</v>
      </c>
      <c r="J25" s="46">
        <v>4910.999999999975</v>
      </c>
      <c r="K25" s="46">
        <v>124.61942063739504</v>
      </c>
      <c r="L25" s="46">
        <v>154.5477272560163</v>
      </c>
      <c r="M25" s="46">
        <v>46.57252408878007</v>
      </c>
      <c r="N25" s="46">
        <v>325.7396719821914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2.75" customHeight="1">
      <c r="A26" s="28">
        <v>69.0</v>
      </c>
      <c r="B26" s="28">
        <v>10.0</v>
      </c>
      <c r="C26" s="28">
        <v>-81.0</v>
      </c>
      <c r="D26" s="28">
        <v>18.0</v>
      </c>
      <c r="E26" s="28">
        <v>-63.0</v>
      </c>
      <c r="F26" s="28">
        <v>0.0</v>
      </c>
      <c r="G26" s="46">
        <v>130.66768601681142</v>
      </c>
      <c r="H26" s="46">
        <v>41.94711748520757</v>
      </c>
      <c r="I26" s="46">
        <v>7.38519649798083</v>
      </c>
      <c r="J26" s="46">
        <v>2555.9999999999995</v>
      </c>
      <c r="K26" s="46">
        <v>150.2131818450032</v>
      </c>
      <c r="L26" s="46">
        <v>25.45584412271571</v>
      </c>
      <c r="M26" s="46">
        <v>132.3782459469833</v>
      </c>
      <c r="N26" s="46">
        <v>308.0472719147022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28">
        <v>80.0</v>
      </c>
      <c r="B27" s="28">
        <v>-1.0</v>
      </c>
      <c r="C27" s="28">
        <v>-92.0</v>
      </c>
      <c r="D27" s="28">
        <v>46.0</v>
      </c>
      <c r="E27" s="28">
        <v>75.0</v>
      </c>
      <c r="F27" s="28">
        <v>-86.0</v>
      </c>
      <c r="G27" s="46">
        <v>55.04294072383186</v>
      </c>
      <c r="H27" s="46">
        <v>23.04021836645055</v>
      </c>
      <c r="I27" s="46">
        <v>101.91684090971758</v>
      </c>
      <c r="J27" s="46">
        <v>14855.000000000022</v>
      </c>
      <c r="K27" s="46">
        <v>178.30591689565435</v>
      </c>
      <c r="L27" s="46">
        <v>212.8685040112792</v>
      </c>
      <c r="M27" s="46">
        <v>85.14693182963201</v>
      </c>
      <c r="N27" s="46">
        <v>476.3213527365656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2.75" customHeight="1">
      <c r="A28" s="28">
        <v>46.0</v>
      </c>
      <c r="B28" s="28">
        <v>8.0</v>
      </c>
      <c r="C28" s="28">
        <v>-100.0</v>
      </c>
      <c r="D28" s="28">
        <v>24.0</v>
      </c>
      <c r="E28" s="28">
        <v>-26.0</v>
      </c>
      <c r="F28" s="28">
        <v>-40.0</v>
      </c>
      <c r="G28" s="46">
        <v>105.45455621512447</v>
      </c>
      <c r="H28" s="46">
        <v>34.601343514979156</v>
      </c>
      <c r="I28" s="46">
        <v>39.94410026989621</v>
      </c>
      <c r="J28" s="46">
        <v>8159.999999999984</v>
      </c>
      <c r="K28" s="46">
        <v>146.87409574189726</v>
      </c>
      <c r="L28" s="46">
        <v>97.83659846908007</v>
      </c>
      <c r="M28" s="46">
        <v>86.53323061113575</v>
      </c>
      <c r="N28" s="46">
        <v>331.2439248221131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2.75" customHeight="1">
      <c r="A29" s="28">
        <v>-97.0</v>
      </c>
      <c r="B29" s="28">
        <v>39.0</v>
      </c>
      <c r="C29" s="28">
        <v>-87.0</v>
      </c>
      <c r="D29" s="28">
        <v>13.0</v>
      </c>
      <c r="E29" s="28">
        <v>-18.0</v>
      </c>
      <c r="F29" s="28">
        <v>-48.0</v>
      </c>
      <c r="G29" s="46">
        <v>6.28056103554249</v>
      </c>
      <c r="H29" s="46">
        <v>152.51605764849953</v>
      </c>
      <c r="I29" s="46">
        <v>21.203381315957945</v>
      </c>
      <c r="J29" s="46">
        <v>1184.000000000002</v>
      </c>
      <c r="K29" s="46">
        <v>27.85677655436824</v>
      </c>
      <c r="L29" s="46">
        <v>92.09777413162601</v>
      </c>
      <c r="M29" s="46">
        <v>117.51595636338071</v>
      </c>
      <c r="N29" s="46">
        <v>237.47050704937496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2.75" customHeight="1">
      <c r="A30" s="28">
        <v>-51.0</v>
      </c>
      <c r="B30" s="28">
        <v>13.0</v>
      </c>
      <c r="C30" s="28">
        <v>81.0</v>
      </c>
      <c r="D30" s="28">
        <v>63.0</v>
      </c>
      <c r="E30" s="28">
        <v>52.0</v>
      </c>
      <c r="F30" s="28">
        <v>36.0</v>
      </c>
      <c r="G30" s="46">
        <v>149.63310187053602</v>
      </c>
      <c r="H30" s="46">
        <v>22.208511235429423</v>
      </c>
      <c r="I30" s="46">
        <v>8.158386894034692</v>
      </c>
      <c r="J30" s="46">
        <v>2114.000000000006</v>
      </c>
      <c r="K30" s="46">
        <v>141.1523999087511</v>
      </c>
      <c r="L30" s="46">
        <v>39.6232255123179</v>
      </c>
      <c r="M30" s="46">
        <v>105.53672346628922</v>
      </c>
      <c r="N30" s="46">
        <v>286.3123488873582</v>
      </c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2.75" customHeight="1">
      <c r="A31" s="28">
        <v>37.0</v>
      </c>
      <c r="B31" s="28">
        <v>-71.0</v>
      </c>
      <c r="C31" s="28">
        <v>19.0</v>
      </c>
      <c r="D31" s="28">
        <v>96.0</v>
      </c>
      <c r="E31" s="28">
        <v>-46.0</v>
      </c>
      <c r="F31" s="28">
        <v>-85.0</v>
      </c>
      <c r="G31" s="46">
        <v>60.67174567647759</v>
      </c>
      <c r="H31" s="46">
        <v>25.905869817716045</v>
      </c>
      <c r="I31" s="46">
        <v>93.42238450580625</v>
      </c>
      <c r="J31" s="46">
        <v>14112.999999999964</v>
      </c>
      <c r="K31" s="46">
        <v>167.96725871431016</v>
      </c>
      <c r="L31" s="46">
        <v>192.31744590650115</v>
      </c>
      <c r="M31" s="46">
        <v>84.17244204607586</v>
      </c>
      <c r="N31" s="46">
        <v>444.4571466668872</v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2.75" customHeight="1">
      <c r="A32" s="28">
        <v>-37.0</v>
      </c>
      <c r="B32" s="28">
        <v>77.0</v>
      </c>
      <c r="C32" s="28">
        <v>-93.0</v>
      </c>
      <c r="D32" s="28">
        <v>-30.0</v>
      </c>
      <c r="E32" s="28">
        <v>-46.0</v>
      </c>
      <c r="F32" s="28">
        <v>84.0</v>
      </c>
      <c r="G32" s="46">
        <v>74.53042523226715</v>
      </c>
      <c r="H32" s="46">
        <v>5.220553983976577</v>
      </c>
      <c r="I32" s="46">
        <v>100.2490207837559</v>
      </c>
      <c r="J32" s="46">
        <v>1354.9999999999243</v>
      </c>
      <c r="K32" s="46">
        <v>120.7683733433551</v>
      </c>
      <c r="L32" s="46">
        <v>123.30855606972291</v>
      </c>
      <c r="M32" s="46">
        <v>11.40175425099138</v>
      </c>
      <c r="N32" s="46">
        <v>255.4786836640694</v>
      </c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2.75" customHeight="1">
      <c r="A33" s="28">
        <v>-24.0</v>
      </c>
      <c r="B33" s="28">
        <v>-11.0</v>
      </c>
      <c r="C33" s="28">
        <v>3.0</v>
      </c>
      <c r="D33" s="28">
        <v>-71.0</v>
      </c>
      <c r="E33" s="28">
        <v>-82.0</v>
      </c>
      <c r="F33" s="28">
        <v>-28.0</v>
      </c>
      <c r="G33" s="46">
        <v>43.170086360492895</v>
      </c>
      <c r="H33" s="46">
        <v>38.938211211271316</v>
      </c>
      <c r="I33" s="46">
        <v>97.89170242823569</v>
      </c>
      <c r="J33" s="46">
        <v>3938.999999999996</v>
      </c>
      <c r="K33" s="46">
        <v>65.79513659838392</v>
      </c>
      <c r="L33" s="46">
        <v>95.25754563287887</v>
      </c>
      <c r="M33" s="46">
        <v>60.440052945046304</v>
      </c>
      <c r="N33" s="46">
        <v>221.4927351763091</v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2.75" customHeight="1">
      <c r="A34" s="28">
        <v>-77.0</v>
      </c>
      <c r="B34" s="28">
        <v>32.0</v>
      </c>
      <c r="C34" s="28">
        <v>-35.0</v>
      </c>
      <c r="D34" s="28">
        <v>67.0</v>
      </c>
      <c r="E34" s="28">
        <v>-62.0</v>
      </c>
      <c r="F34" s="28">
        <v>27.0</v>
      </c>
      <c r="G34" s="46">
        <v>105.58440116690444</v>
      </c>
      <c r="H34" s="46">
        <v>16.17507891790835</v>
      </c>
      <c r="I34" s="46">
        <v>58.240519915187235</v>
      </c>
      <c r="J34" s="46">
        <v>735.0</v>
      </c>
      <c r="K34" s="46">
        <v>54.67174773134658</v>
      </c>
      <c r="L34" s="46">
        <v>48.25971404805462</v>
      </c>
      <c r="M34" s="46">
        <v>15.811388300841896</v>
      </c>
      <c r="N34" s="46">
        <v>118.74285008024309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2.75" customHeight="1">
      <c r="A35" s="28">
        <v>65.0</v>
      </c>
      <c r="B35" s="28">
        <v>-47.0</v>
      </c>
      <c r="C35" s="28">
        <v>78.0</v>
      </c>
      <c r="D35" s="28">
        <v>68.0</v>
      </c>
      <c r="E35" s="28">
        <v>-71.0</v>
      </c>
      <c r="F35" s="28">
        <v>-23.0</v>
      </c>
      <c r="G35" s="46">
        <v>41.421988593552385</v>
      </c>
      <c r="H35" s="46">
        <v>52.13645650404656</v>
      </c>
      <c r="I35" s="46">
        <v>86.4415549024009</v>
      </c>
      <c r="J35" s="46">
        <v>15951.999999999984</v>
      </c>
      <c r="K35" s="46">
        <v>115.73245007343446</v>
      </c>
      <c r="L35" s="46">
        <v>174.59095051004218</v>
      </c>
      <c r="M35" s="46">
        <v>138.10141201305655</v>
      </c>
      <c r="N35" s="46">
        <v>428.42481259653323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2.75" customHeight="1">
      <c r="A36" s="28">
        <v>-69.0</v>
      </c>
      <c r="B36" s="28">
        <v>9.0</v>
      </c>
      <c r="C36" s="28">
        <v>98.0</v>
      </c>
      <c r="D36" s="28">
        <v>-13.0</v>
      </c>
      <c r="E36" s="28">
        <v>4.0</v>
      </c>
      <c r="F36" s="28">
        <v>-100.0</v>
      </c>
      <c r="G36" s="46">
        <v>81.02595519906743</v>
      </c>
      <c r="H36" s="46">
        <v>50.28997732329271</v>
      </c>
      <c r="I36" s="46">
        <v>48.68406747763985</v>
      </c>
      <c r="J36" s="46">
        <v>16596.999999999996</v>
      </c>
      <c r="K36" s="46">
        <v>168.44286865284622</v>
      </c>
      <c r="L36" s="46">
        <v>128.08200498118384</v>
      </c>
      <c r="M36" s="46">
        <v>131.18688958886096</v>
      </c>
      <c r="N36" s="46">
        <v>427.711763222891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2.75" customHeight="1">
      <c r="A37" s="28">
        <v>-41.0</v>
      </c>
      <c r="B37" s="28">
        <v>-44.0</v>
      </c>
      <c r="C37" s="28">
        <v>25.0</v>
      </c>
      <c r="D37" s="28">
        <v>-43.0</v>
      </c>
      <c r="E37" s="28">
        <v>-85.0</v>
      </c>
      <c r="F37" s="28">
        <v>2.0</v>
      </c>
      <c r="G37" s="46">
        <v>24.024006362844364</v>
      </c>
      <c r="H37" s="46">
        <v>23.11707510695793</v>
      </c>
      <c r="I37" s="46">
        <v>132.85891853019774</v>
      </c>
      <c r="J37" s="46">
        <v>3080.0000000000023</v>
      </c>
      <c r="K37" s="46">
        <v>66.007575322837</v>
      </c>
      <c r="L37" s="46">
        <v>118.84864324004712</v>
      </c>
      <c r="M37" s="46">
        <v>63.655321851358195</v>
      </c>
      <c r="N37" s="46">
        <v>248.51154041424232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2.75" customHeight="1">
      <c r="A38" s="28">
        <v>80.0</v>
      </c>
      <c r="B38" s="28">
        <v>-64.0</v>
      </c>
      <c r="C38" s="28">
        <v>-83.0</v>
      </c>
      <c r="D38" s="28">
        <v>58.0</v>
      </c>
      <c r="E38" s="28">
        <v>23.0</v>
      </c>
      <c r="F38" s="28">
        <v>7.0</v>
      </c>
      <c r="G38" s="46">
        <v>154.4517853119846</v>
      </c>
      <c r="H38" s="46">
        <v>11.119915313473882</v>
      </c>
      <c r="I38" s="46">
        <v>14.428299374541314</v>
      </c>
      <c r="J38" s="46">
        <v>4618.999999999973</v>
      </c>
      <c r="K38" s="46">
        <v>203.60009823180343</v>
      </c>
      <c r="L38" s="46">
        <v>117.63077828527702</v>
      </c>
      <c r="M38" s="46">
        <v>91.0494371207203</v>
      </c>
      <c r="N38" s="46">
        <v>412.28031363780076</v>
      </c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2.75" customHeight="1">
      <c r="A39" s="28">
        <v>4.0</v>
      </c>
      <c r="B39" s="28">
        <v>29.0</v>
      </c>
      <c r="C39" s="28">
        <v>-43.0</v>
      </c>
      <c r="D39" s="28">
        <v>-64.0</v>
      </c>
      <c r="E39" s="28">
        <v>78.0</v>
      </c>
      <c r="F39" s="28">
        <v>60.0</v>
      </c>
      <c r="G39" s="46">
        <v>22.971813832400485</v>
      </c>
      <c r="H39" s="46">
        <v>17.4874997873061</v>
      </c>
      <c r="I39" s="46">
        <v>139.54068638029335</v>
      </c>
      <c r="J39" s="46">
        <v>5425.000000000005</v>
      </c>
      <c r="K39" s="46">
        <v>104.20172743289815</v>
      </c>
      <c r="L39" s="46">
        <v>173.25414857947845</v>
      </c>
      <c r="M39" s="46">
        <v>80.23091673413684</v>
      </c>
      <c r="N39" s="46">
        <v>357.68679274651345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2.75" customHeight="1">
      <c r="A40" s="28">
        <v>-41.0</v>
      </c>
      <c r="B40" s="28">
        <v>-73.0</v>
      </c>
      <c r="C40" s="28">
        <v>8.0</v>
      </c>
      <c r="D40" s="28">
        <v>6.0</v>
      </c>
      <c r="E40" s="28">
        <v>84.0</v>
      </c>
      <c r="F40" s="28">
        <v>-79.0</v>
      </c>
      <c r="G40" s="46">
        <v>45.45145152950885</v>
      </c>
      <c r="H40" s="46">
        <v>73.60984957823061</v>
      </c>
      <c r="I40" s="46">
        <v>60.93869889226062</v>
      </c>
      <c r="J40" s="46">
        <v>10169.0</v>
      </c>
      <c r="K40" s="46">
        <v>92.9623579735368</v>
      </c>
      <c r="L40" s="46">
        <v>114.02192771568107</v>
      </c>
      <c r="M40" s="46">
        <v>125.14391715141412</v>
      </c>
      <c r="N40" s="46">
        <v>332.12820284063196</v>
      </c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2.75" customHeight="1">
      <c r="A41" s="28">
        <v>-58.0</v>
      </c>
      <c r="B41" s="28">
        <v>52.0</v>
      </c>
      <c r="C41" s="28">
        <v>-62.0</v>
      </c>
      <c r="D41" s="28">
        <v>-74.0</v>
      </c>
      <c r="E41" s="28">
        <v>45.0</v>
      </c>
      <c r="F41" s="28">
        <v>36.0</v>
      </c>
      <c r="G41" s="46">
        <v>54.621801760071435</v>
      </c>
      <c r="H41" s="46">
        <v>42.38963994338573</v>
      </c>
      <c r="I41" s="46">
        <v>82.98855829654273</v>
      </c>
      <c r="J41" s="46">
        <v>13041.999999999989</v>
      </c>
      <c r="K41" s="46">
        <v>126.0634760745554</v>
      </c>
      <c r="L41" s="46">
        <v>153.45683432157722</v>
      </c>
      <c r="M41" s="46">
        <v>104.23531071570709</v>
      </c>
      <c r="N41" s="46">
        <v>383.75562111183973</v>
      </c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2.75" customHeight="1">
      <c r="A42" s="28">
        <v>-34.0</v>
      </c>
      <c r="B42" s="28">
        <v>-6.0</v>
      </c>
      <c r="C42" s="28">
        <v>67.0</v>
      </c>
      <c r="D42" s="28">
        <v>79.0</v>
      </c>
      <c r="E42" s="28">
        <v>57.0</v>
      </c>
      <c r="F42" s="28">
        <v>-9.0</v>
      </c>
      <c r="G42" s="46">
        <v>94.59488568615626</v>
      </c>
      <c r="H42" s="46">
        <v>43.433492313112744</v>
      </c>
      <c r="I42" s="46">
        <v>41.971622000730875</v>
      </c>
      <c r="J42" s="46">
        <v>8037.9999999999945</v>
      </c>
      <c r="K42" s="46">
        <v>132.0075755401939</v>
      </c>
      <c r="L42" s="46">
        <v>88.56635930193812</v>
      </c>
      <c r="M42" s="46">
        <v>91.0494371207203</v>
      </c>
      <c r="N42" s="46">
        <v>311.62337196285233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2.75" customHeight="1">
      <c r="A43" s="28">
        <v>-20.0</v>
      </c>
      <c r="B43" s="28">
        <v>75.0</v>
      </c>
      <c r="C43" s="28">
        <v>70.0</v>
      </c>
      <c r="D43" s="28">
        <v>35.0</v>
      </c>
      <c r="E43" s="28">
        <v>-52.0</v>
      </c>
      <c r="F43" s="28">
        <v>-74.0</v>
      </c>
      <c r="G43" s="46">
        <v>36.10002476291468</v>
      </c>
      <c r="H43" s="46">
        <v>65.74144875907767</v>
      </c>
      <c r="I43" s="46">
        <v>78.15852647800756</v>
      </c>
      <c r="J43" s="46">
        <v>14689.999999999998</v>
      </c>
      <c r="K43" s="46">
        <v>98.48857801796105</v>
      </c>
      <c r="L43" s="46">
        <v>163.6001222493431</v>
      </c>
      <c r="M43" s="46">
        <v>152.3975065412817</v>
      </c>
      <c r="N43" s="46">
        <v>414.48620680858585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2.75" customHeight="1">
      <c r="A44" s="28">
        <v>-23.0</v>
      </c>
      <c r="B44" s="28">
        <v>55.0</v>
      </c>
      <c r="C44" s="28">
        <v>-33.0</v>
      </c>
      <c r="D44" s="28">
        <v>80.0</v>
      </c>
      <c r="E44" s="28">
        <v>-6.0</v>
      </c>
      <c r="F44" s="28">
        <v>43.0</v>
      </c>
      <c r="G44" s="46">
        <v>18.663066182327583</v>
      </c>
      <c r="H44" s="46">
        <v>14.31793136312796</v>
      </c>
      <c r="I44" s="46">
        <v>147.01900245454448</v>
      </c>
      <c r="J44" s="46">
        <v>305.00000000000034</v>
      </c>
      <c r="K44" s="46">
        <v>26.92582403567252</v>
      </c>
      <c r="L44" s="46">
        <v>45.803929962395145</v>
      </c>
      <c r="M44" s="46">
        <v>20.808652046684813</v>
      </c>
      <c r="N44" s="46">
        <v>93.53840604475248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2.75" customHeight="1">
      <c r="A45" s="28">
        <v>-71.0</v>
      </c>
      <c r="B45" s="28">
        <v>-10.0</v>
      </c>
      <c r="C45" s="28">
        <v>-6.0</v>
      </c>
      <c r="D45" s="28">
        <v>41.0</v>
      </c>
      <c r="E45" s="28">
        <v>-10.0</v>
      </c>
      <c r="F45" s="28">
        <v>15.0</v>
      </c>
      <c r="G45" s="46">
        <v>121.03174990938801</v>
      </c>
      <c r="H45" s="46">
        <v>43.135561368081746</v>
      </c>
      <c r="I45" s="46">
        <v>15.832688722530373</v>
      </c>
      <c r="J45" s="46">
        <v>1486.0</v>
      </c>
      <c r="K45" s="46">
        <v>82.61961026293939</v>
      </c>
      <c r="L45" s="46">
        <v>26.30589287593181</v>
      </c>
      <c r="M45" s="46">
        <v>65.92419889539804</v>
      </c>
      <c r="N45" s="46">
        <v>174.84970203426923</v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2.75" customHeight="1">
      <c r="A46" s="28">
        <v>-1.0</v>
      </c>
      <c r="B46" s="28">
        <v>-11.0</v>
      </c>
      <c r="C46" s="28">
        <v>-24.0</v>
      </c>
      <c r="D46" s="28">
        <v>-34.0</v>
      </c>
      <c r="E46" s="28">
        <v>11.0</v>
      </c>
      <c r="F46" s="28">
        <v>-64.0</v>
      </c>
      <c r="G46" s="46">
        <v>36.641173194118814</v>
      </c>
      <c r="H46" s="46">
        <v>85.60129464500444</v>
      </c>
      <c r="I46" s="46">
        <v>57.757532160876664</v>
      </c>
      <c r="J46" s="46">
        <v>1495.0</v>
      </c>
      <c r="K46" s="46">
        <v>32.526911934581186</v>
      </c>
      <c r="L46" s="46">
        <v>46.09772228646444</v>
      </c>
      <c r="M46" s="46">
        <v>54.3415126767741</v>
      </c>
      <c r="N46" s="46">
        <v>132.96614689781973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2.75" customHeight="1">
      <c r="A47" s="28">
        <v>-86.0</v>
      </c>
      <c r="B47" s="28">
        <v>-88.0</v>
      </c>
      <c r="C47" s="28">
        <v>46.0</v>
      </c>
      <c r="D47" s="28">
        <v>-99.0</v>
      </c>
      <c r="E47" s="28">
        <v>-96.0</v>
      </c>
      <c r="F47" s="28">
        <v>-88.0</v>
      </c>
      <c r="G47" s="46">
        <v>4.429559298976456</v>
      </c>
      <c r="H47" s="46">
        <v>0.3340823917413256</v>
      </c>
      <c r="I47" s="46">
        <v>175.23635830927086</v>
      </c>
      <c r="J47" s="46">
        <v>109.9999999976245</v>
      </c>
      <c r="K47" s="46">
        <v>132.45754036671525</v>
      </c>
      <c r="L47" s="46">
        <v>142.42541907960108</v>
      </c>
      <c r="M47" s="46">
        <v>10.0</v>
      </c>
      <c r="N47" s="46">
        <v>284.88295944631636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2.75" customHeight="1">
      <c r="A48" s="28">
        <v>-79.0</v>
      </c>
      <c r="B48" s="28">
        <v>61.0</v>
      </c>
      <c r="C48" s="28">
        <v>61.0</v>
      </c>
      <c r="D48" s="28">
        <v>-78.0</v>
      </c>
      <c r="E48" s="28">
        <v>67.0</v>
      </c>
      <c r="F48" s="28">
        <v>-5.0</v>
      </c>
      <c r="G48" s="46">
        <v>109.62689472182669</v>
      </c>
      <c r="H48" s="46">
        <v>49.90404085479432</v>
      </c>
      <c r="I48" s="46">
        <v>20.46906442337904</v>
      </c>
      <c r="J48" s="46">
        <v>11054.000000000002</v>
      </c>
      <c r="K48" s="46">
        <v>197.28405916343064</v>
      </c>
      <c r="L48" s="46">
        <v>73.24616030891995</v>
      </c>
      <c r="M48" s="46">
        <v>160.22484201895784</v>
      </c>
      <c r="N48" s="46">
        <v>430.7550614913084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2.75" customHeight="1">
      <c r="A49" s="28">
        <v>-90.0</v>
      </c>
      <c r="B49" s="28">
        <v>-83.0</v>
      </c>
      <c r="C49" s="28">
        <v>99.0</v>
      </c>
      <c r="D49" s="28">
        <v>-85.0</v>
      </c>
      <c r="E49" s="28">
        <v>20.0</v>
      </c>
      <c r="F49" s="28">
        <v>76.0</v>
      </c>
      <c r="G49" s="46">
        <v>60.812823490340165</v>
      </c>
      <c r="H49" s="46">
        <v>63.25730564010677</v>
      </c>
      <c r="I49" s="46">
        <v>55.92987086955304</v>
      </c>
      <c r="J49" s="46">
        <v>30270.999999999996</v>
      </c>
      <c r="K49" s="46">
        <v>189.01058171435798</v>
      </c>
      <c r="L49" s="46">
        <v>179.3376703316958</v>
      </c>
      <c r="M49" s="46">
        <v>193.3416664870767</v>
      </c>
      <c r="N49" s="46">
        <v>561.6899185331305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2.75" customHeight="1">
      <c r="A50" s="28">
        <v>55.0</v>
      </c>
      <c r="B50" s="28">
        <v>92.0</v>
      </c>
      <c r="C50" s="28">
        <v>-31.0</v>
      </c>
      <c r="D50" s="28">
        <v>3.0</v>
      </c>
      <c r="E50" s="28">
        <v>-37.0</v>
      </c>
      <c r="F50" s="28">
        <v>-3.0</v>
      </c>
      <c r="G50" s="46">
        <v>0.9191047837006201</v>
      </c>
      <c r="H50" s="46">
        <v>179.01788283675256</v>
      </c>
      <c r="I50" s="46">
        <v>0.06301237946589555</v>
      </c>
      <c r="J50" s="46">
        <v>18.000000000426038</v>
      </c>
      <c r="K50" s="46">
        <v>123.76186811776881</v>
      </c>
      <c r="L50" s="46">
        <v>8.48528137423857</v>
      </c>
      <c r="M50" s="46">
        <v>132.24598292575845</v>
      </c>
      <c r="N50" s="46">
        <v>264.4931324177659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2.75" customHeight="1">
      <c r="A51" s="28">
        <v>100.0</v>
      </c>
      <c r="B51" s="28">
        <v>-73.0</v>
      </c>
      <c r="C51" s="28">
        <v>51.0</v>
      </c>
      <c r="D51" s="28">
        <v>91.0</v>
      </c>
      <c r="E51" s="28">
        <v>-66.0</v>
      </c>
      <c r="F51" s="28">
        <v>-63.0</v>
      </c>
      <c r="G51" s="46">
        <v>56.22198738025188</v>
      </c>
      <c r="H51" s="46">
        <v>53.8605186294007</v>
      </c>
      <c r="I51" s="46">
        <v>69.91749399034744</v>
      </c>
      <c r="J51" s="46">
        <v>26734.0</v>
      </c>
      <c r="K51" s="46">
        <v>171.1636643683466</v>
      </c>
      <c r="L51" s="46">
        <v>193.40372281835735</v>
      </c>
      <c r="M51" s="46">
        <v>166.30093204789924</v>
      </c>
      <c r="N51" s="46">
        <v>530.8683192346032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2.75" customHeight="1">
      <c r="A52" s="28">
        <v>-96.0</v>
      </c>
      <c r="B52" s="28">
        <v>-95.0</v>
      </c>
      <c r="C52" s="28">
        <v>-56.0</v>
      </c>
      <c r="D52" s="28">
        <v>-11.0</v>
      </c>
      <c r="E52" s="28">
        <v>90.0</v>
      </c>
      <c r="F52" s="28">
        <v>34.0</v>
      </c>
      <c r="G52" s="46">
        <v>17.612878631460053</v>
      </c>
      <c r="H52" s="46">
        <v>132.5936465887152</v>
      </c>
      <c r="I52" s="46">
        <v>29.793474779824834</v>
      </c>
      <c r="J52" s="46">
        <v>10464.000000000004</v>
      </c>
      <c r="K52" s="46">
        <v>93.03762679690406</v>
      </c>
      <c r="L52" s="46">
        <v>152.7776161615307</v>
      </c>
      <c r="M52" s="46">
        <v>226.35591443565153</v>
      </c>
      <c r="N52" s="46">
        <v>472.17115739408626</v>
      </c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2.75" customHeight="1">
      <c r="A53" s="28">
        <v>-85.0</v>
      </c>
      <c r="B53" s="28">
        <v>-18.0</v>
      </c>
      <c r="C53" s="28">
        <v>14.0</v>
      </c>
      <c r="D53" s="28">
        <v>-74.0</v>
      </c>
      <c r="E53" s="28">
        <v>-61.0</v>
      </c>
      <c r="F53" s="28">
        <v>93.0</v>
      </c>
      <c r="G53" s="46">
        <v>36.385402761013445</v>
      </c>
      <c r="H53" s="46">
        <v>36.32011014867957</v>
      </c>
      <c r="I53" s="46">
        <v>107.2944870903069</v>
      </c>
      <c r="J53" s="46">
        <v>12332.999999999985</v>
      </c>
      <c r="K53" s="46">
        <v>113.74093370462545</v>
      </c>
      <c r="L53" s="46">
        <v>183.06829326784035</v>
      </c>
      <c r="M53" s="46">
        <v>113.5649593844862</v>
      </c>
      <c r="N53" s="46">
        <v>410.374186356952</v>
      </c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2.75" customHeight="1">
      <c r="A54" s="28">
        <v>-62.0</v>
      </c>
      <c r="B54" s="28">
        <v>-76.0</v>
      </c>
      <c r="C54" s="28">
        <v>42.0</v>
      </c>
      <c r="D54" s="28">
        <v>57.0</v>
      </c>
      <c r="E54" s="28">
        <v>-2.0</v>
      </c>
      <c r="F54" s="28">
        <v>-26.0</v>
      </c>
      <c r="G54" s="46">
        <v>157.73454980094627</v>
      </c>
      <c r="H54" s="46">
        <v>10.094824814274565</v>
      </c>
      <c r="I54" s="46">
        <v>12.170625384779749</v>
      </c>
      <c r="J54" s="46">
        <v>2780.0000000000773</v>
      </c>
      <c r="K54" s="46">
        <v>168.8342382338369</v>
      </c>
      <c r="L54" s="46">
        <v>93.94147114027967</v>
      </c>
      <c r="M54" s="46">
        <v>78.10249675906654</v>
      </c>
      <c r="N54" s="46">
        <v>340.8782061331831</v>
      </c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2.75" customHeight="1">
      <c r="A55" s="28">
        <v>-60.0</v>
      </c>
      <c r="B55" s="28">
        <v>-61.0</v>
      </c>
      <c r="C55" s="28">
        <v>45.0</v>
      </c>
      <c r="D55" s="28">
        <v>-13.0</v>
      </c>
      <c r="E55" s="28">
        <v>-13.0</v>
      </c>
      <c r="F55" s="28">
        <v>86.0</v>
      </c>
      <c r="G55" s="46">
        <v>48.094799011702236</v>
      </c>
      <c r="H55" s="46">
        <v>84.20290032044093</v>
      </c>
      <c r="I55" s="46">
        <v>47.70230066785673</v>
      </c>
      <c r="J55" s="46">
        <v>13179.000000000002</v>
      </c>
      <c r="K55" s="46">
        <v>115.45128842936315</v>
      </c>
      <c r="L55" s="46">
        <v>114.73883387938018</v>
      </c>
      <c r="M55" s="46">
        <v>154.33081351434652</v>
      </c>
      <c r="N55" s="46">
        <v>384.52093582308987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2.75" customHeight="1">
      <c r="A56" s="28">
        <v>57.0</v>
      </c>
      <c r="B56" s="28">
        <v>91.0</v>
      </c>
      <c r="C56" s="28">
        <v>43.0</v>
      </c>
      <c r="D56" s="28">
        <v>5.0</v>
      </c>
      <c r="E56" s="28">
        <v>4.0</v>
      </c>
      <c r="F56" s="28">
        <v>44.0</v>
      </c>
      <c r="G56" s="46">
        <v>86.56636963754946</v>
      </c>
      <c r="H56" s="46">
        <v>54.24611274556322</v>
      </c>
      <c r="I56" s="46">
        <v>39.18751761688724</v>
      </c>
      <c r="J56" s="46">
        <v>3899.9999999999977</v>
      </c>
      <c r="K56" s="46">
        <v>87.13208364316786</v>
      </c>
      <c r="L56" s="46">
        <v>55.154328932550705</v>
      </c>
      <c r="M56" s="46">
        <v>70.83784299369935</v>
      </c>
      <c r="N56" s="46">
        <v>213.12425556941793</v>
      </c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2.75" customHeight="1">
      <c r="A57" s="28">
        <v>70.0</v>
      </c>
      <c r="B57" s="28">
        <v>-58.0</v>
      </c>
      <c r="C57" s="28">
        <v>-96.0</v>
      </c>
      <c r="D57" s="28">
        <v>87.0</v>
      </c>
      <c r="E57" s="28">
        <v>92.0</v>
      </c>
      <c r="F57" s="28">
        <v>92.0</v>
      </c>
      <c r="G57" s="46">
        <v>80.13264362431511</v>
      </c>
      <c r="H57" s="46">
        <v>42.66048192014679</v>
      </c>
      <c r="I57" s="46">
        <v>57.206874455538134</v>
      </c>
      <c r="J57" s="46">
        <v>28090.00000000001</v>
      </c>
      <c r="K57" s="46">
        <v>220.41097976280582</v>
      </c>
      <c r="L57" s="46">
        <v>188.06647760831805</v>
      </c>
      <c r="M57" s="46">
        <v>151.6047492659778</v>
      </c>
      <c r="N57" s="46">
        <v>560.0822066371016</v>
      </c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2.75" customHeight="1">
      <c r="A58" s="28">
        <v>83.0</v>
      </c>
      <c r="B58" s="28">
        <v>-16.0</v>
      </c>
      <c r="C58" s="28">
        <v>22.0</v>
      </c>
      <c r="D58" s="28">
        <v>-64.0</v>
      </c>
      <c r="E58" s="28">
        <v>71.0</v>
      </c>
      <c r="F58" s="28">
        <v>13.0</v>
      </c>
      <c r="G58" s="46">
        <v>54.95062668795166</v>
      </c>
      <c r="H58" s="46">
        <v>19.330122533133142</v>
      </c>
      <c r="I58" s="46">
        <v>105.71925077891532</v>
      </c>
      <c r="J58" s="46">
        <v>2345.0000000000064</v>
      </c>
      <c r="K58" s="46">
        <v>77.62087348130012</v>
      </c>
      <c r="L58" s="46">
        <v>91.26883367283708</v>
      </c>
      <c r="M58" s="46">
        <v>31.38470965295043</v>
      </c>
      <c r="N58" s="46">
        <v>200.27441680708762</v>
      </c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2.75" customHeight="1">
      <c r="A59" s="28">
        <v>23.0</v>
      </c>
      <c r="B59" s="28">
        <v>-28.0</v>
      </c>
      <c r="C59" s="28">
        <v>-14.0</v>
      </c>
      <c r="D59" s="28">
        <v>-65.0</v>
      </c>
      <c r="E59" s="28">
        <v>63.0</v>
      </c>
      <c r="F59" s="28">
        <v>-10.0</v>
      </c>
      <c r="G59" s="46">
        <v>11.309932474020323</v>
      </c>
      <c r="H59" s="46">
        <v>9.462322208025775</v>
      </c>
      <c r="I59" s="46">
        <v>159.22774531795415</v>
      </c>
      <c r="J59" s="46">
        <v>814.0000000000134</v>
      </c>
      <c r="K59" s="46">
        <v>52.32590180780452</v>
      </c>
      <c r="L59" s="46">
        <v>94.62557793746889</v>
      </c>
      <c r="M59" s="46">
        <v>43.86342439892262</v>
      </c>
      <c r="N59" s="46">
        <v>190.81490414419602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2.75" customHeight="1">
      <c r="A60" s="28">
        <v>92.0</v>
      </c>
      <c r="B60" s="28">
        <v>-65.0</v>
      </c>
      <c r="C60" s="28">
        <v>56.0</v>
      </c>
      <c r="D60" s="28">
        <v>28.0</v>
      </c>
      <c r="E60" s="28">
        <v>-90.0</v>
      </c>
      <c r="F60" s="28">
        <v>-86.0</v>
      </c>
      <c r="G60" s="46">
        <v>31.401553600099056</v>
      </c>
      <c r="H60" s="46">
        <v>73.17776156155122</v>
      </c>
      <c r="I60" s="46">
        <v>75.42068483834973</v>
      </c>
      <c r="J60" s="46">
        <v>17682.000000000004</v>
      </c>
      <c r="K60" s="46">
        <v>99.72462083156798</v>
      </c>
      <c r="L60" s="46">
        <v>185.23498589629335</v>
      </c>
      <c r="M60" s="46">
        <v>183.20753259623362</v>
      </c>
      <c r="N60" s="46">
        <v>468.16713932409493</v>
      </c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2.75" customHeight="1">
      <c r="A61" s="28">
        <v>-82.0</v>
      </c>
      <c r="B61" s="28">
        <v>52.0</v>
      </c>
      <c r="C61" s="28">
        <v>-80.0</v>
      </c>
      <c r="D61" s="28">
        <v>32.0</v>
      </c>
      <c r="E61" s="28">
        <v>8.0</v>
      </c>
      <c r="F61" s="28">
        <v>91.0</v>
      </c>
      <c r="G61" s="46">
        <v>10.411363326221819</v>
      </c>
      <c r="H61" s="46">
        <v>61.870537002532366</v>
      </c>
      <c r="I61" s="46">
        <v>107.71809967124577</v>
      </c>
      <c r="J61" s="46">
        <v>1877.9999999999993</v>
      </c>
      <c r="K61" s="46">
        <v>20.09975124224178</v>
      </c>
      <c r="L61" s="46">
        <v>105.94810050208545</v>
      </c>
      <c r="M61" s="46">
        <v>98.08669634563088</v>
      </c>
      <c r="N61" s="46">
        <v>224.13454808995812</v>
      </c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2.75" customHeight="1">
      <c r="A62" s="28">
        <v>-66.0</v>
      </c>
      <c r="B62" s="28">
        <v>69.0</v>
      </c>
      <c r="C62" s="28">
        <v>46.0</v>
      </c>
      <c r="D62" s="28">
        <v>81.0</v>
      </c>
      <c r="E62" s="28">
        <v>38.0</v>
      </c>
      <c r="F62" s="28">
        <v>17.0</v>
      </c>
      <c r="G62" s="46">
        <v>70.55996517182385</v>
      </c>
      <c r="H62" s="46">
        <v>76.75948008481285</v>
      </c>
      <c r="I62" s="46">
        <v>32.680554743363416</v>
      </c>
      <c r="J62" s="46">
        <v>7072.000000000001</v>
      </c>
      <c r="K62" s="46">
        <v>112.64102272262978</v>
      </c>
      <c r="L62" s="46">
        <v>64.4980619863884</v>
      </c>
      <c r="M62" s="46">
        <v>116.27553482998907</v>
      </c>
      <c r="N62" s="46">
        <v>293.4146195390072</v>
      </c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2.75" customHeight="1">
      <c r="A63" s="28">
        <v>-28.0</v>
      </c>
      <c r="B63" s="28">
        <v>69.0</v>
      </c>
      <c r="C63" s="28">
        <v>28.0</v>
      </c>
      <c r="D63" s="28">
        <v>-35.0</v>
      </c>
      <c r="E63" s="28">
        <v>-82.0</v>
      </c>
      <c r="F63" s="28">
        <v>-29.0</v>
      </c>
      <c r="G63" s="46">
        <v>64.26646924239915</v>
      </c>
      <c r="H63" s="46">
        <v>58.577113771877904</v>
      </c>
      <c r="I63" s="46">
        <v>57.156416985722885</v>
      </c>
      <c r="J63" s="46">
        <v>11103.999999999998</v>
      </c>
      <c r="K63" s="46">
        <v>118.1185844818672</v>
      </c>
      <c r="L63" s="46">
        <v>110.16351483136329</v>
      </c>
      <c r="M63" s="46">
        <v>111.89280584559492</v>
      </c>
      <c r="N63" s="46">
        <v>340.1749051588254</v>
      </c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2.75" customHeight="1">
      <c r="A64" s="28">
        <v>49.0</v>
      </c>
      <c r="B64" s="28">
        <v>-72.0</v>
      </c>
      <c r="C64" s="28">
        <v>76.0</v>
      </c>
      <c r="D64" s="28">
        <v>-35.0</v>
      </c>
      <c r="E64" s="28">
        <v>95.0</v>
      </c>
      <c r="F64" s="28">
        <v>-75.0</v>
      </c>
      <c r="G64" s="46">
        <v>60.860884891891054</v>
      </c>
      <c r="H64" s="46">
        <v>61.52705895842818</v>
      </c>
      <c r="I64" s="46">
        <v>57.61205614968068</v>
      </c>
      <c r="J64" s="46">
        <v>1782.999999999999</v>
      </c>
      <c r="K64" s="46">
        <v>45.803929962395145</v>
      </c>
      <c r="L64" s="46">
        <v>44.28317965096906</v>
      </c>
      <c r="M64" s="46">
        <v>46.09772228646444</v>
      </c>
      <c r="N64" s="46">
        <v>136.18483189982865</v>
      </c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2.75" customHeight="1">
      <c r="A65" s="28">
        <v>84.0</v>
      </c>
      <c r="B65" s="28">
        <v>2.0</v>
      </c>
      <c r="C65" s="28">
        <v>18.0</v>
      </c>
      <c r="D65" s="28">
        <v>-16.0</v>
      </c>
      <c r="E65" s="28">
        <v>-78.0</v>
      </c>
      <c r="F65" s="28">
        <v>11.0</v>
      </c>
      <c r="G65" s="46">
        <v>12.528807709151433</v>
      </c>
      <c r="H65" s="46">
        <v>149.03624346792643</v>
      </c>
      <c r="I65" s="46">
        <v>18.434948822922006</v>
      </c>
      <c r="J65" s="46">
        <v>3510.000000000006</v>
      </c>
      <c r="K65" s="46">
        <v>68.41052550594829</v>
      </c>
      <c r="L65" s="46">
        <v>99.72462083156798</v>
      </c>
      <c r="M65" s="46">
        <v>162.24980739587951</v>
      </c>
      <c r="N65" s="46">
        <v>330.3849537333958</v>
      </c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2.75" customHeight="1">
      <c r="A66" s="28">
        <v>33.0</v>
      </c>
      <c r="B66" s="28">
        <v>91.0</v>
      </c>
      <c r="C66" s="28">
        <v>56.0</v>
      </c>
      <c r="D66" s="28">
        <v>-62.0</v>
      </c>
      <c r="E66" s="28">
        <v>-11.0</v>
      </c>
      <c r="F66" s="28">
        <v>4.0</v>
      </c>
      <c r="G66" s="46">
        <v>107.74133877267688</v>
      </c>
      <c r="H66" s="46">
        <v>36.881710396589966</v>
      </c>
      <c r="I66" s="46">
        <v>35.376950830733215</v>
      </c>
      <c r="J66" s="46">
        <v>8733.000000000007</v>
      </c>
      <c r="K66" s="46">
        <v>154.719100307622</v>
      </c>
      <c r="L66" s="46">
        <v>94.04786015641186</v>
      </c>
      <c r="M66" s="46">
        <v>97.49358953285082</v>
      </c>
      <c r="N66" s="46">
        <v>346.26054999688466</v>
      </c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2.75" customHeight="1">
      <c r="A67" s="28">
        <v>-95.0</v>
      </c>
      <c r="B67" s="28">
        <v>94.0</v>
      </c>
      <c r="C67" s="28">
        <v>26.0</v>
      </c>
      <c r="D67" s="28">
        <v>-56.0</v>
      </c>
      <c r="E67" s="28">
        <v>74.0</v>
      </c>
      <c r="F67" s="28">
        <v>-89.0</v>
      </c>
      <c r="G67" s="46">
        <v>12.769085970665559</v>
      </c>
      <c r="H67" s="46">
        <v>163.40048466948576</v>
      </c>
      <c r="I67" s="46">
        <v>3.830429359848397</v>
      </c>
      <c r="J67" s="46">
        <v>3207.0000000000036</v>
      </c>
      <c r="K67" s="46">
        <v>192.7200041511</v>
      </c>
      <c r="L67" s="46">
        <v>58.249463516842795</v>
      </c>
      <c r="M67" s="46">
        <v>249.09837414162303</v>
      </c>
      <c r="N67" s="46">
        <v>500.06784180956583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2.75" customHeight="1">
      <c r="A68" s="28">
        <v>-68.0</v>
      </c>
      <c r="B68" s="28">
        <v>-58.0</v>
      </c>
      <c r="C68" s="28">
        <v>-75.0</v>
      </c>
      <c r="D68" s="28">
        <v>-44.0</v>
      </c>
      <c r="E68" s="28">
        <v>66.0</v>
      </c>
      <c r="F68" s="28">
        <v>22.0</v>
      </c>
      <c r="G68" s="46">
        <v>5.754237938496534</v>
      </c>
      <c r="H68" s="46">
        <v>88.51854282911302</v>
      </c>
      <c r="I68" s="46">
        <v>85.72721923239071</v>
      </c>
      <c r="J68" s="46">
        <v>2436.0</v>
      </c>
      <c r="K68" s="46">
        <v>15.652475842498529</v>
      </c>
      <c r="L68" s="46">
        <v>155.68236894394946</v>
      </c>
      <c r="M68" s="46">
        <v>156.06408939919524</v>
      </c>
      <c r="N68" s="46">
        <v>327.3989341856432</v>
      </c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2.75" customHeight="1">
      <c r="A69" s="28">
        <v>96.0</v>
      </c>
      <c r="B69" s="28">
        <v>69.0</v>
      </c>
      <c r="C69" s="28">
        <v>62.0</v>
      </c>
      <c r="D69" s="28">
        <v>78.0</v>
      </c>
      <c r="E69" s="28">
        <v>57.0</v>
      </c>
      <c r="F69" s="28">
        <v>20.0</v>
      </c>
      <c r="G69" s="46">
        <v>33.58981635945373</v>
      </c>
      <c r="H69" s="46">
        <v>80.10062997729332</v>
      </c>
      <c r="I69" s="46">
        <v>66.30955366325287</v>
      </c>
      <c r="J69" s="46">
        <v>2016.9999999999998</v>
      </c>
      <c r="K69" s="46">
        <v>35.17101079013795</v>
      </c>
      <c r="L69" s="46">
        <v>58.215118311311535</v>
      </c>
      <c r="M69" s="46">
        <v>62.625873247404705</v>
      </c>
      <c r="N69" s="46">
        <v>156.0120023488542</v>
      </c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2.75" customHeight="1">
      <c r="A70" s="28">
        <v>3.0</v>
      </c>
      <c r="B70" s="28">
        <v>45.0</v>
      </c>
      <c r="C70" s="28">
        <v>39.0</v>
      </c>
      <c r="D70" s="28">
        <v>-89.0</v>
      </c>
      <c r="E70" s="28">
        <v>47.0</v>
      </c>
      <c r="F70" s="28">
        <v>-65.0</v>
      </c>
      <c r="G70" s="46">
        <v>139.76364169072627</v>
      </c>
      <c r="H70" s="46">
        <v>33.47276472650438</v>
      </c>
      <c r="I70" s="46">
        <v>6.7635935827698495</v>
      </c>
      <c r="J70" s="46">
        <v>1936.0000000000064</v>
      </c>
      <c r="K70" s="46">
        <v>138.7515765676196</v>
      </c>
      <c r="L70" s="46">
        <v>25.298221281347036</v>
      </c>
      <c r="M70" s="46">
        <v>118.4736257569591</v>
      </c>
      <c r="N70" s="46">
        <v>282.5234236059257</v>
      </c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2.75" customHeight="1">
      <c r="A71" s="28">
        <v>22.0</v>
      </c>
      <c r="B71" s="28">
        <v>41.0</v>
      </c>
      <c r="C71" s="28">
        <v>-39.0</v>
      </c>
      <c r="D71" s="28">
        <v>45.0</v>
      </c>
      <c r="E71" s="28">
        <v>48.0</v>
      </c>
      <c r="F71" s="28">
        <v>97.0</v>
      </c>
      <c r="G71" s="46">
        <v>34.22842174076775</v>
      </c>
      <c r="H71" s="46">
        <v>34.618538521663055</v>
      </c>
      <c r="I71" s="46">
        <v>111.1530397375692</v>
      </c>
      <c r="J71" s="46">
        <v>3520.0000000000005</v>
      </c>
      <c r="K71" s="46">
        <v>61.1310068623117</v>
      </c>
      <c r="L71" s="46">
        <v>101.35580891098448</v>
      </c>
      <c r="M71" s="46">
        <v>61.741396161732524</v>
      </c>
      <c r="N71" s="46">
        <v>224.2282119350287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2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2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2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2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2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2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2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2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2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2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2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2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2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2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2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2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2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2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2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2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2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2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2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2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2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2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2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2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2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2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2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2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2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2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2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2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2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2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2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2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2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2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2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2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2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2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2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2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2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2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2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2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2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2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2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2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2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2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2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2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2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2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2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2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2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2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2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2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2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2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2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2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2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2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2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2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2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2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2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2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2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2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2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2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2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2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2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2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2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2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2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2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2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2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2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2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2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2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2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2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2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2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2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2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2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2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2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2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2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2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2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2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2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2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2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2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2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2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2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2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2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2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2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2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2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2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2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2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2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2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2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2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2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2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2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2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2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2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2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2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2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2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2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2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2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2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2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2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2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2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2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2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2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2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2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2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2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2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2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2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2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2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2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2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2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2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2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2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2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2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2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2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2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2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2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2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2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2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2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2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2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2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2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2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2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2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2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2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2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2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2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2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2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2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2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2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2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2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2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2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2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2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2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2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2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2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2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2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2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2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2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2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2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2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2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2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2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2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2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2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2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2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2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2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2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2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2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2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2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2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2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2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2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2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2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2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2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2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2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2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2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2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2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2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2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2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2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2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2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2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2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2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2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2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2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2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2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2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2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2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2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2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2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2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2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2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2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2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2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2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2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2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2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2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2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2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2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2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2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2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2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2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2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2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2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2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2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2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2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2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2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2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2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2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2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2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2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2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2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2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2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2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2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2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2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2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2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2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2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2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2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2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2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2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2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2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2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2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2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2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2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2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2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2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2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2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2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2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2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2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2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2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2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2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2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2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2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2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2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2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2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2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2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2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2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2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2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2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2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2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2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2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2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2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2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2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2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2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2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2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2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2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2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2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2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2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2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2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2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2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2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2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2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2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2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2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2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2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2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2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2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2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2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2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2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2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2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2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2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2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2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2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2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2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2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2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2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2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2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2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2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2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2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2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2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2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2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2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2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2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2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2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2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2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2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2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2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2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2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2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2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2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2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2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2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2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2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2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2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2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2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2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2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2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2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2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2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2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2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2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2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2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2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2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2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2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2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2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2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2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2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2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2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2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2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2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2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2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2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2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2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2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2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2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2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2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2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2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2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2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2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2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2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2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2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2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2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2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2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2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2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2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2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2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2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2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2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2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2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2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2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2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2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2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2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2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2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2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2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2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2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2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2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2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2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2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2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2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2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2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2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2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2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2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2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2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2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2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2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2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2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2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2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2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2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2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2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2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2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2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2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2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2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2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2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2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2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2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2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2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2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2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2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2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2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2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2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2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2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2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2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2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2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2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2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2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2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2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2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2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2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2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2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2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2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2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2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2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2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2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2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2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2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2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2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2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2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2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2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2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2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2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2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2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2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2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2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2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2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2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2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2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2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2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2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2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2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2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2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2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2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2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2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2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2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2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2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2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2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2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2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2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2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2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2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2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2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2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2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2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2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2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2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2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2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2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2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2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2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2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2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2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2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2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2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2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2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2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2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2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2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2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2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2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2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2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2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2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2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2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2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2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2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2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2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2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2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2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2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2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2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2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2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2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2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2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2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2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2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2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2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2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2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2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2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2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2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2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2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2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2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2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2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2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2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2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2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2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2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2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2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2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2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2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2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2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2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2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2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2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2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2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2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2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2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2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2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2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2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2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2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2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2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2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2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2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2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2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2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2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2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2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2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2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2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2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2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2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2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2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2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2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2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2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2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2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2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2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2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2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2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2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2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2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2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2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2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2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2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2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2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2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2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2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2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2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2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2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2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2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2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2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2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2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2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2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2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2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2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2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2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2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2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2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2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2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2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2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2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2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2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2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2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2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2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2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2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2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2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2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2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2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2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2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2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2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2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2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2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2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2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2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2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2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2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2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2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2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2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2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2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2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2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2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2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2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2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2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2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2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2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2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2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2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2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2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2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2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2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2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2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2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2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2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2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2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2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2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2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2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2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2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2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2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2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2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2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2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2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2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2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2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2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2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2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2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2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2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2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2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2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2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2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2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2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2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2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2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2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2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2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2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2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2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2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2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2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2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2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2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2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2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2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2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2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2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2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2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2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2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2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2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2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2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2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2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2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2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2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2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2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2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2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2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2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2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2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2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2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2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2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2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2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2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2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2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2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2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2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2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2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2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2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2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2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2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2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2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2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3">
    <mergeCell ref="A2:F2"/>
    <mergeCell ref="Q6:T8"/>
    <mergeCell ref="Q10:T12"/>
  </mergeCells>
  <printOptions/>
  <pageMargins bottom="0.75" footer="0.0" header="0.0" left="0.7" right="0.7" top="0.75"/>
  <pageSetup paperSize="9" orientation="portrait"/>
  <headerFooter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5.75"/>
    <col customWidth="1" min="3" max="3" width="14.63"/>
    <col customWidth="1" min="4" max="4" width="23.13"/>
    <col customWidth="1" min="5" max="26" width="9.13"/>
  </cols>
  <sheetData>
    <row r="1" ht="55.5" customHeight="1">
      <c r="A1" s="47"/>
      <c r="B1" s="48" t="s">
        <v>96</v>
      </c>
      <c r="C1" s="48" t="s">
        <v>97</v>
      </c>
      <c r="D1" s="48" t="s">
        <v>98</v>
      </c>
      <c r="E1" s="42"/>
      <c r="F1" s="49"/>
      <c r="K1" s="50"/>
      <c r="L1" s="42"/>
      <c r="M1" s="51"/>
      <c r="N1" s="51"/>
      <c r="O1" s="51"/>
      <c r="P1" s="51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2.75" customHeight="1">
      <c r="A2" s="47" t="s">
        <v>99</v>
      </c>
      <c r="B2" s="52">
        <v>2.0</v>
      </c>
      <c r="C2" s="53">
        <v>0.0</v>
      </c>
      <c r="D2" s="11">
        <f>B2*cenas!J2*(1-pirkums!C2)</f>
        <v>50</v>
      </c>
      <c r="E2" s="42"/>
      <c r="F2" s="42"/>
      <c r="G2" s="42"/>
      <c r="H2" s="42"/>
      <c r="I2" s="42"/>
      <c r="J2" s="42"/>
      <c r="K2" s="20"/>
      <c r="L2" s="39" t="s">
        <v>100</v>
      </c>
      <c r="M2" s="26"/>
      <c r="N2" s="26"/>
      <c r="O2" s="26"/>
      <c r="P2" s="27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2.75" customHeight="1">
      <c r="A3" s="47" t="s">
        <v>101</v>
      </c>
      <c r="B3" s="52">
        <v>1.0</v>
      </c>
      <c r="C3" s="53">
        <v>0.035</v>
      </c>
      <c r="D3" s="11">
        <f>B3*cenas!J3*(1-pirkums!C3)</f>
        <v>48.25</v>
      </c>
      <c r="E3" s="42"/>
      <c r="F3" s="42"/>
      <c r="G3" s="42"/>
      <c r="H3" s="42"/>
      <c r="I3" s="42"/>
      <c r="J3" s="42"/>
      <c r="K3" s="20">
        <v>22.0</v>
      </c>
      <c r="L3" s="29"/>
      <c r="P3" s="30"/>
      <c r="Q3" s="42" t="s">
        <v>51</v>
      </c>
      <c r="R3" s="42"/>
      <c r="S3" s="42"/>
      <c r="T3" s="42"/>
      <c r="U3" s="42"/>
      <c r="V3" s="42"/>
      <c r="W3" s="42"/>
      <c r="X3" s="42"/>
      <c r="Y3" s="42"/>
      <c r="Z3" s="42"/>
    </row>
    <row r="4" ht="12.75" customHeight="1">
      <c r="A4" s="47" t="s">
        <v>102</v>
      </c>
      <c r="B4" s="52">
        <v>2.0</v>
      </c>
      <c r="C4" s="53">
        <v>0.03</v>
      </c>
      <c r="D4" s="11">
        <f>B4*cenas!J4*(1-pirkums!C4)</f>
        <v>261.9</v>
      </c>
      <c r="E4" s="42"/>
      <c r="F4" s="42"/>
      <c r="G4" s="42"/>
      <c r="H4" s="42"/>
      <c r="I4" s="42"/>
      <c r="J4" s="42"/>
      <c r="K4" s="20"/>
      <c r="L4" s="29"/>
      <c r="P4" s="30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2.75" customHeight="1">
      <c r="A5" s="47" t="s">
        <v>103</v>
      </c>
      <c r="B5" s="52">
        <v>2.0</v>
      </c>
      <c r="C5" s="53">
        <v>0.025</v>
      </c>
      <c r="D5" s="11">
        <f>B5*cenas!J5*(1-pirkums!C5)</f>
        <v>136.5</v>
      </c>
      <c r="E5" s="42"/>
      <c r="F5" s="42"/>
      <c r="G5" s="42"/>
      <c r="H5" s="42"/>
      <c r="I5" s="42"/>
      <c r="J5" s="42"/>
      <c r="K5" s="20"/>
      <c r="L5" s="29"/>
      <c r="P5" s="30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3.5" customHeight="1">
      <c r="A6" s="47" t="s">
        <v>104</v>
      </c>
      <c r="B6" s="52">
        <v>2.0</v>
      </c>
      <c r="C6" s="53">
        <v>0.005</v>
      </c>
      <c r="D6" s="11">
        <f>B6*cenas!J6*(1-pirkums!C6)</f>
        <v>139.3</v>
      </c>
      <c r="E6" s="42"/>
      <c r="F6" s="42"/>
      <c r="G6" s="42"/>
      <c r="H6" s="42"/>
      <c r="I6" s="42"/>
      <c r="J6" s="42"/>
      <c r="K6" s="20"/>
      <c r="L6" s="31"/>
      <c r="M6" s="32"/>
      <c r="N6" s="32"/>
      <c r="O6" s="32"/>
      <c r="P6" s="33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2.75" customHeight="1">
      <c r="A7" s="47" t="s">
        <v>105</v>
      </c>
      <c r="B7" s="52">
        <v>2.0</v>
      </c>
      <c r="C7" s="53">
        <v>0.005</v>
      </c>
      <c r="D7" s="11">
        <f>B7*cenas!J7*(1-pirkums!C7)</f>
        <v>119.4</v>
      </c>
      <c r="E7" s="42"/>
      <c r="F7" s="42"/>
      <c r="G7" s="42"/>
      <c r="H7" s="42"/>
      <c r="I7" s="42"/>
      <c r="J7" s="42"/>
      <c r="K7" s="20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2.75" customHeight="1">
      <c r="A8" s="47" t="s">
        <v>106</v>
      </c>
      <c r="B8" s="52">
        <v>1.0</v>
      </c>
      <c r="C8" s="53">
        <v>0.01</v>
      </c>
      <c r="D8" s="11">
        <f>B8*cenas!J8*(1-pirkums!C8)</f>
        <v>34.65</v>
      </c>
      <c r="E8" s="42"/>
      <c r="F8" s="42"/>
      <c r="G8" s="42"/>
      <c r="H8" s="42"/>
      <c r="I8" s="42"/>
      <c r="J8" s="42"/>
      <c r="K8" s="20">
        <v>23.0</v>
      </c>
      <c r="L8" s="39" t="s">
        <v>107</v>
      </c>
      <c r="M8" s="26"/>
      <c r="N8" s="26"/>
      <c r="O8" s="26"/>
      <c r="P8" s="27"/>
      <c r="Q8" s="42" t="s">
        <v>41</v>
      </c>
      <c r="R8" s="42"/>
      <c r="S8" s="42"/>
      <c r="T8" s="42"/>
      <c r="U8" s="42"/>
      <c r="V8" s="42"/>
      <c r="W8" s="42"/>
      <c r="X8" s="42"/>
      <c r="Y8" s="42"/>
      <c r="Z8" s="42"/>
    </row>
    <row r="9" ht="12.75" customHeight="1">
      <c r="A9" s="47" t="s">
        <v>108</v>
      </c>
      <c r="B9" s="52">
        <v>1.0</v>
      </c>
      <c r="C9" s="53">
        <v>0.01</v>
      </c>
      <c r="D9" s="11">
        <f>B9*cenas!J9*(1-pirkums!C9)</f>
        <v>52.47</v>
      </c>
      <c r="E9" s="42"/>
      <c r="F9" s="42"/>
      <c r="G9" s="42"/>
      <c r="H9" s="42"/>
      <c r="I9" s="42"/>
      <c r="J9" s="42"/>
      <c r="K9" s="20"/>
      <c r="L9" s="31"/>
      <c r="M9" s="32"/>
      <c r="N9" s="32"/>
      <c r="O9" s="32"/>
      <c r="P9" s="33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2.75" customHeight="1">
      <c r="A10" s="47" t="s">
        <v>109</v>
      </c>
      <c r="B10" s="52">
        <v>1.0</v>
      </c>
      <c r="C10" s="53">
        <v>0.015</v>
      </c>
      <c r="D10" s="11">
        <f>B10*cenas!J10*(1-pirkums!C10)</f>
        <v>15.76</v>
      </c>
      <c r="E10" s="42"/>
      <c r="F10" s="42"/>
      <c r="G10" s="42"/>
      <c r="H10" s="42"/>
      <c r="I10" s="42"/>
      <c r="J10" s="42"/>
      <c r="K10" s="20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2.75" customHeight="1">
      <c r="A11" s="47" t="s">
        <v>110</v>
      </c>
      <c r="B11" s="52">
        <v>1.0</v>
      </c>
      <c r="C11" s="53">
        <v>0.03</v>
      </c>
      <c r="D11" s="11">
        <f>B11*cenas!J11*(1-pirkums!C11)</f>
        <v>33.95</v>
      </c>
      <c r="E11" s="42"/>
      <c r="F11" s="42"/>
      <c r="G11" s="42"/>
      <c r="H11" s="42"/>
      <c r="I11" s="42"/>
      <c r="J11" s="42"/>
      <c r="K11" s="20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2.75" customHeight="1">
      <c r="A12" s="47" t="s">
        <v>111</v>
      </c>
      <c r="B12" s="52">
        <v>1.0</v>
      </c>
      <c r="C12" s="53">
        <v>0.02</v>
      </c>
      <c r="D12" s="11">
        <f>B12*cenas!J12*(1-pirkums!C12)</f>
        <v>49</v>
      </c>
      <c r="E12" s="42"/>
      <c r="F12" s="42"/>
      <c r="G12" s="42"/>
      <c r="H12" s="42"/>
      <c r="I12" s="42"/>
      <c r="J12" s="42"/>
      <c r="K12" s="20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2.75" customHeight="1">
      <c r="A13" s="47" t="s">
        <v>112</v>
      </c>
      <c r="B13" s="52">
        <v>2.0</v>
      </c>
      <c r="C13" s="53">
        <v>0.025</v>
      </c>
      <c r="D13" s="11">
        <f>B13*cenas!J13*(1-pirkums!C13)</f>
        <v>253.5</v>
      </c>
      <c r="E13" s="42"/>
      <c r="F13" s="42"/>
      <c r="G13" s="42"/>
      <c r="H13" s="42"/>
      <c r="I13" s="42"/>
      <c r="J13" s="42"/>
      <c r="K13" s="20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2.75" customHeight="1">
      <c r="A14" s="47" t="s">
        <v>113</v>
      </c>
      <c r="B14" s="52">
        <v>1.0</v>
      </c>
      <c r="C14" s="53">
        <v>0.02</v>
      </c>
      <c r="D14" s="11">
        <f>B14*cenas!J14*(1-pirkums!C14)</f>
        <v>313.6</v>
      </c>
      <c r="E14" s="42"/>
      <c r="F14" s="42"/>
      <c r="G14" s="42"/>
      <c r="H14" s="42"/>
      <c r="I14" s="42"/>
      <c r="J14" s="42"/>
      <c r="K14" s="20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2.75" customHeight="1">
      <c r="A15" s="47" t="s">
        <v>114</v>
      </c>
      <c r="B15" s="52">
        <v>60.0</v>
      </c>
      <c r="C15" s="53">
        <v>0.03</v>
      </c>
      <c r="D15" s="11">
        <f>B15*cenas!J15*(1-pirkums!C15)</f>
        <v>3492</v>
      </c>
      <c r="E15" s="42"/>
      <c r="F15" s="42"/>
      <c r="G15" s="42"/>
      <c r="H15" s="42"/>
      <c r="I15" s="42"/>
      <c r="J15" s="42"/>
      <c r="K15" s="20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2.75" customHeight="1">
      <c r="A16" s="47" t="s">
        <v>115</v>
      </c>
      <c r="B16" s="52">
        <v>1.0</v>
      </c>
      <c r="C16" s="53">
        <v>0.025</v>
      </c>
      <c r="D16" s="11">
        <f>B16*cenas!J16*(1-pirkums!C16)</f>
        <v>58.5</v>
      </c>
      <c r="E16" s="42"/>
      <c r="F16" s="42"/>
      <c r="G16" s="42"/>
      <c r="H16" s="42"/>
      <c r="I16" s="42"/>
      <c r="J16" s="42"/>
      <c r="K16" s="20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2.75" customHeight="1">
      <c r="A17" s="47" t="s">
        <v>116</v>
      </c>
      <c r="B17" s="52">
        <v>1.0</v>
      </c>
      <c r="C17" s="53">
        <v>0.015</v>
      </c>
      <c r="D17" s="11">
        <f>B17*cenas!J17*(1-pirkums!C17)</f>
        <v>23.64</v>
      </c>
      <c r="E17" s="42"/>
      <c r="F17" s="42"/>
      <c r="G17" s="42"/>
      <c r="H17" s="42"/>
      <c r="I17" s="42"/>
      <c r="J17" s="42"/>
      <c r="K17" s="20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2.75" customHeight="1">
      <c r="A18" s="47" t="s">
        <v>117</v>
      </c>
      <c r="B18" s="52">
        <v>1.0</v>
      </c>
      <c r="C18" s="53">
        <v>0.045</v>
      </c>
      <c r="D18" s="11">
        <f>B18*cenas!J18*(1-pirkums!C18)</f>
        <v>238.75</v>
      </c>
      <c r="E18" s="42"/>
      <c r="F18" s="42"/>
      <c r="G18" s="42"/>
      <c r="H18" s="42"/>
      <c r="I18" s="42"/>
      <c r="J18" s="42"/>
      <c r="K18" s="20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2.75" customHeight="1">
      <c r="A19" s="47" t="s">
        <v>118</v>
      </c>
      <c r="B19" s="52">
        <v>1.0</v>
      </c>
      <c r="C19" s="53">
        <v>0.045</v>
      </c>
      <c r="D19" s="11">
        <f>B19*cenas!J19*(1-pirkums!C19)</f>
        <v>13.37</v>
      </c>
      <c r="E19" s="42"/>
      <c r="F19" s="42"/>
      <c r="G19" s="42"/>
      <c r="H19" s="42"/>
      <c r="I19" s="42"/>
      <c r="J19" s="42"/>
      <c r="K19" s="20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2.75" customHeight="1">
      <c r="A20" s="47" t="s">
        <v>119</v>
      </c>
      <c r="B20" s="52">
        <v>1.0</v>
      </c>
      <c r="C20" s="53">
        <v>0.025</v>
      </c>
      <c r="D20" s="11">
        <f>B20*cenas!J20*(1-pirkums!C20)</f>
        <v>39</v>
      </c>
      <c r="E20" s="42"/>
      <c r="F20" s="42"/>
      <c r="G20" s="42"/>
      <c r="H20" s="42"/>
      <c r="I20" s="42"/>
      <c r="J20" s="42"/>
      <c r="K20" s="20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2.75" customHeight="1">
      <c r="A21" s="47" t="s">
        <v>120</v>
      </c>
      <c r="B21" s="52"/>
      <c r="C21" s="53">
        <v>0.015</v>
      </c>
      <c r="D21" s="11">
        <f>B21*cenas!J21*(1-pirkums!C21)</f>
        <v>0</v>
      </c>
      <c r="E21" s="42"/>
      <c r="F21" s="42"/>
      <c r="G21" s="42"/>
      <c r="H21" s="42"/>
      <c r="I21" s="42"/>
      <c r="J21" s="42"/>
      <c r="K21" s="20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2.75" customHeight="1">
      <c r="A22" s="47" t="s">
        <v>121</v>
      </c>
      <c r="B22" s="52"/>
      <c r="C22" s="53">
        <v>0.05</v>
      </c>
      <c r="D22" s="11">
        <f>B22*cenas!J22*(1-pirkums!C22)</f>
        <v>0</v>
      </c>
      <c r="E22" s="42"/>
      <c r="F22" s="42"/>
      <c r="G22" s="42"/>
      <c r="H22" s="42"/>
      <c r="I22" s="42"/>
      <c r="J22" s="42"/>
      <c r="K22" s="20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2.75" customHeight="1">
      <c r="A23" s="47" t="s">
        <v>122</v>
      </c>
      <c r="B23" s="52">
        <v>2.0</v>
      </c>
      <c r="C23" s="53">
        <v>0.04</v>
      </c>
      <c r="D23" s="11">
        <f>B23*cenas!J23*(1-pirkums!C23)</f>
        <v>76.8</v>
      </c>
      <c r="E23" s="42"/>
      <c r="F23" s="42"/>
      <c r="G23" s="42"/>
      <c r="H23" s="42"/>
      <c r="I23" s="42"/>
      <c r="J23" s="42"/>
      <c r="K23" s="20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2.75" customHeight="1">
      <c r="A24" s="47" t="s">
        <v>123</v>
      </c>
      <c r="B24" s="52">
        <v>2.0</v>
      </c>
      <c r="C24" s="53">
        <v>0.01</v>
      </c>
      <c r="D24" s="11">
        <f>B24*cenas!J24*(1-pirkums!C24)</f>
        <v>158.4</v>
      </c>
      <c r="E24" s="42"/>
      <c r="F24" s="42"/>
      <c r="G24" s="42"/>
      <c r="H24" s="42"/>
      <c r="I24" s="42"/>
      <c r="J24" s="42"/>
      <c r="K24" s="20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2.75" customHeight="1">
      <c r="A25" s="47" t="s">
        <v>124</v>
      </c>
      <c r="B25" s="52">
        <v>2.0</v>
      </c>
      <c r="C25" s="53">
        <v>0.035</v>
      </c>
      <c r="D25" s="11">
        <f>B25*cenas!J25*(1-pirkums!C25)</f>
        <v>23.16</v>
      </c>
      <c r="E25" s="42"/>
      <c r="F25" s="42"/>
      <c r="G25" s="42"/>
      <c r="H25" s="42"/>
      <c r="I25" s="42"/>
      <c r="J25" s="42"/>
      <c r="K25" s="20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2.75" customHeight="1">
      <c r="A26" s="47" t="s">
        <v>125</v>
      </c>
      <c r="B26" s="52">
        <v>2.0</v>
      </c>
      <c r="C26" s="53">
        <v>0.01</v>
      </c>
      <c r="D26" s="11">
        <f>B26*cenas!J26*(1-pirkums!C26)</f>
        <v>23.76</v>
      </c>
      <c r="E26" s="42"/>
      <c r="F26" s="42"/>
      <c r="G26" s="42"/>
      <c r="H26" s="42"/>
      <c r="I26" s="42"/>
      <c r="J26" s="42"/>
      <c r="K26" s="20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2.75" customHeight="1">
      <c r="A27" s="47" t="s">
        <v>126</v>
      </c>
      <c r="B27" s="52"/>
      <c r="C27" s="53">
        <v>0.0</v>
      </c>
      <c r="D27" s="11">
        <f>B27*cenas!J27*(1-pirkums!C27)</f>
        <v>0</v>
      </c>
      <c r="E27" s="42"/>
      <c r="F27" s="42"/>
      <c r="G27" s="42"/>
      <c r="H27" s="42"/>
      <c r="I27" s="42"/>
      <c r="J27" s="42"/>
      <c r="K27" s="20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2.75" customHeight="1">
      <c r="A28" s="47" t="s">
        <v>127</v>
      </c>
      <c r="B28" s="52">
        <v>4.0</v>
      </c>
      <c r="C28" s="53">
        <v>0.02</v>
      </c>
      <c r="D28" s="11">
        <f>B28*cenas!J28*(1-pirkums!C28)</f>
        <v>3.92</v>
      </c>
      <c r="E28" s="42"/>
      <c r="F28" s="42"/>
      <c r="G28" s="42"/>
      <c r="H28" s="42"/>
      <c r="I28" s="42"/>
      <c r="J28" s="42"/>
      <c r="K28" s="20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2.75" customHeight="1">
      <c r="A29" s="42"/>
      <c r="B29" s="54" t="s">
        <v>128</v>
      </c>
      <c r="C29" s="55"/>
      <c r="D29" s="56">
        <f>SUM(D2:D28)</f>
        <v>5659.58</v>
      </c>
      <c r="E29" s="42"/>
      <c r="F29" s="42"/>
      <c r="G29" s="42"/>
      <c r="H29" s="42"/>
      <c r="I29" s="42"/>
      <c r="J29" s="42"/>
      <c r="K29" s="20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2.75" customHeight="1">
      <c r="A30" s="42"/>
      <c r="B30" s="57"/>
      <c r="C30" s="57"/>
      <c r="D30" s="58"/>
      <c r="E30" s="42"/>
      <c r="F30" s="42"/>
      <c r="G30" s="42"/>
      <c r="H30" s="42"/>
      <c r="I30" s="42"/>
      <c r="J30" s="42"/>
      <c r="K30" s="20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2.75" customHeight="1">
      <c r="A31" s="42"/>
      <c r="B31" s="57"/>
      <c r="C31" s="57"/>
      <c r="D31" s="58"/>
      <c r="E31" s="42"/>
      <c r="F31" s="42"/>
      <c r="G31" s="42"/>
      <c r="H31" s="42"/>
      <c r="I31" s="42"/>
      <c r="J31" s="42"/>
      <c r="K31" s="20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2.75" customHeight="1">
      <c r="A32" s="42"/>
      <c r="B32" s="57"/>
      <c r="C32" s="57"/>
      <c r="D32" s="58"/>
      <c r="E32" s="42"/>
      <c r="F32" s="42"/>
      <c r="G32" s="42"/>
      <c r="H32" s="42"/>
      <c r="I32" s="42"/>
      <c r="J32" s="42"/>
      <c r="K32" s="20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2.75" customHeight="1">
      <c r="A33" s="42"/>
      <c r="B33" s="57"/>
      <c r="C33" s="57"/>
      <c r="D33" s="58"/>
      <c r="E33" s="42"/>
      <c r="F33" s="42"/>
      <c r="G33" s="42"/>
      <c r="H33" s="42"/>
      <c r="I33" s="42"/>
      <c r="J33" s="42"/>
      <c r="K33" s="20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2.75" customHeight="1">
      <c r="A34" s="42"/>
      <c r="B34" s="57"/>
      <c r="C34" s="57"/>
      <c r="D34" s="58"/>
      <c r="E34" s="42"/>
      <c r="F34" s="42"/>
      <c r="G34" s="42"/>
      <c r="H34" s="42"/>
      <c r="I34" s="42"/>
      <c r="J34" s="42"/>
      <c r="K34" s="20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2.75" customHeight="1">
      <c r="A35" s="42"/>
      <c r="B35" s="57"/>
      <c r="C35" s="57"/>
      <c r="D35" s="58"/>
      <c r="E35" s="42"/>
      <c r="F35" s="42"/>
      <c r="G35" s="42"/>
      <c r="H35" s="42"/>
      <c r="I35" s="42"/>
      <c r="J35" s="42"/>
      <c r="K35" s="20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2.75" customHeight="1">
      <c r="A36" s="42"/>
      <c r="B36" s="57"/>
      <c r="C36" s="57"/>
      <c r="D36" s="58"/>
      <c r="E36" s="42"/>
      <c r="F36" s="42"/>
      <c r="G36" s="42"/>
      <c r="H36" s="42"/>
      <c r="I36" s="42"/>
      <c r="J36" s="42"/>
      <c r="K36" s="20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2.75" customHeight="1">
      <c r="A37" s="42"/>
      <c r="B37" s="57"/>
      <c r="C37" s="57"/>
      <c r="D37" s="58"/>
      <c r="E37" s="42"/>
      <c r="F37" s="42"/>
      <c r="G37" s="42"/>
      <c r="H37" s="42"/>
      <c r="I37" s="42"/>
      <c r="J37" s="42"/>
      <c r="K37" s="20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2.75" customHeight="1">
      <c r="A38" s="42"/>
      <c r="B38" s="57"/>
      <c r="C38" s="57"/>
      <c r="D38" s="58"/>
      <c r="E38" s="42"/>
      <c r="F38" s="42"/>
      <c r="G38" s="42"/>
      <c r="H38" s="42"/>
      <c r="I38" s="42"/>
      <c r="J38" s="42"/>
      <c r="K38" s="20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2.75" customHeight="1">
      <c r="A39" s="42"/>
      <c r="B39" s="57"/>
      <c r="C39" s="57"/>
      <c r="D39" s="58"/>
      <c r="E39" s="42"/>
      <c r="F39" s="42"/>
      <c r="G39" s="42"/>
      <c r="H39" s="42"/>
      <c r="I39" s="42"/>
      <c r="J39" s="42"/>
      <c r="K39" s="20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2.75" customHeight="1">
      <c r="A40" s="42"/>
      <c r="B40" s="57"/>
      <c r="C40" s="57"/>
      <c r="D40" s="58"/>
      <c r="E40" s="42"/>
      <c r="F40" s="42"/>
      <c r="G40" s="42"/>
      <c r="H40" s="42"/>
      <c r="I40" s="42"/>
      <c r="J40" s="42"/>
      <c r="K40" s="20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2.75" customHeight="1">
      <c r="A41" s="42"/>
      <c r="B41" s="57"/>
      <c r="C41" s="57"/>
      <c r="D41" s="58"/>
      <c r="E41" s="42"/>
      <c r="F41" s="42"/>
      <c r="G41" s="42"/>
      <c r="H41" s="42"/>
      <c r="I41" s="42"/>
      <c r="J41" s="42"/>
      <c r="K41" s="20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2.75" customHeight="1">
      <c r="A42" s="42"/>
      <c r="B42" s="57"/>
      <c r="C42" s="57"/>
      <c r="D42" s="58"/>
      <c r="E42" s="42"/>
      <c r="F42" s="42"/>
      <c r="G42" s="42"/>
      <c r="H42" s="42"/>
      <c r="I42" s="42"/>
      <c r="J42" s="42"/>
      <c r="K42" s="20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2.75" customHeight="1">
      <c r="A43" s="42"/>
      <c r="B43" s="57"/>
      <c r="C43" s="57"/>
      <c r="D43" s="58"/>
      <c r="E43" s="42"/>
      <c r="F43" s="42"/>
      <c r="G43" s="42"/>
      <c r="H43" s="42"/>
      <c r="I43" s="42"/>
      <c r="J43" s="42"/>
      <c r="K43" s="20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2.75" customHeight="1">
      <c r="A44" s="42"/>
      <c r="B44" s="57"/>
      <c r="C44" s="57"/>
      <c r="D44" s="58"/>
      <c r="E44" s="42"/>
      <c r="F44" s="42"/>
      <c r="G44" s="42"/>
      <c r="H44" s="42"/>
      <c r="I44" s="42"/>
      <c r="J44" s="42"/>
      <c r="K44" s="20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2.75" customHeight="1">
      <c r="A45" s="42"/>
      <c r="B45" s="57"/>
      <c r="C45" s="57"/>
      <c r="D45" s="58"/>
      <c r="E45" s="42"/>
      <c r="F45" s="42"/>
      <c r="G45" s="42"/>
      <c r="H45" s="42"/>
      <c r="I45" s="42"/>
      <c r="J45" s="42"/>
      <c r="K45" s="20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2.75" customHeight="1">
      <c r="A46" s="42"/>
      <c r="B46" s="57"/>
      <c r="C46" s="57"/>
      <c r="D46" s="58"/>
      <c r="E46" s="42"/>
      <c r="F46" s="42"/>
      <c r="G46" s="42"/>
      <c r="H46" s="42"/>
      <c r="I46" s="42"/>
      <c r="J46" s="42"/>
      <c r="K46" s="20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2.75" customHeight="1">
      <c r="A47" s="42"/>
      <c r="B47" s="57"/>
      <c r="C47" s="57"/>
      <c r="D47" s="58"/>
      <c r="E47" s="42"/>
      <c r="F47" s="42"/>
      <c r="G47" s="42"/>
      <c r="H47" s="42"/>
      <c r="I47" s="42"/>
      <c r="J47" s="42"/>
      <c r="K47" s="20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2.75" customHeight="1">
      <c r="A48" s="42"/>
      <c r="B48" s="57"/>
      <c r="C48" s="57"/>
      <c r="D48" s="58"/>
      <c r="E48" s="42"/>
      <c r="F48" s="42"/>
      <c r="G48" s="42"/>
      <c r="H48" s="42"/>
      <c r="I48" s="42"/>
      <c r="J48" s="42"/>
      <c r="K48" s="20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2.75" customHeight="1">
      <c r="A49" s="42"/>
      <c r="B49" s="57"/>
      <c r="C49" s="57"/>
      <c r="D49" s="58"/>
      <c r="E49" s="42"/>
      <c r="F49" s="42"/>
      <c r="G49" s="42"/>
      <c r="H49" s="42"/>
      <c r="I49" s="42"/>
      <c r="J49" s="42"/>
      <c r="K49" s="20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2.75" customHeight="1">
      <c r="A50" s="42"/>
      <c r="B50" s="57"/>
      <c r="C50" s="57"/>
      <c r="D50" s="58"/>
      <c r="E50" s="42"/>
      <c r="F50" s="42"/>
      <c r="G50" s="42"/>
      <c r="H50" s="42"/>
      <c r="I50" s="42"/>
      <c r="J50" s="42"/>
      <c r="K50" s="20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2.75" customHeight="1">
      <c r="A51" s="42"/>
      <c r="B51" s="57"/>
      <c r="C51" s="57"/>
      <c r="D51" s="58"/>
      <c r="E51" s="42"/>
      <c r="F51" s="42"/>
      <c r="G51" s="42"/>
      <c r="H51" s="42"/>
      <c r="I51" s="42"/>
      <c r="J51" s="42"/>
      <c r="K51" s="20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2.75" customHeight="1">
      <c r="A52" s="42"/>
      <c r="B52" s="57"/>
      <c r="C52" s="57"/>
      <c r="D52" s="58"/>
      <c r="E52" s="42"/>
      <c r="F52" s="42"/>
      <c r="G52" s="42"/>
      <c r="H52" s="42"/>
      <c r="I52" s="42"/>
      <c r="J52" s="42"/>
      <c r="K52" s="20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2.75" customHeight="1">
      <c r="A53" s="42"/>
      <c r="B53" s="57"/>
      <c r="C53" s="57"/>
      <c r="D53" s="58"/>
      <c r="E53" s="42"/>
      <c r="F53" s="42"/>
      <c r="G53" s="42"/>
      <c r="H53" s="42"/>
      <c r="I53" s="42"/>
      <c r="J53" s="42"/>
      <c r="K53" s="20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2.75" customHeight="1">
      <c r="A54" s="42"/>
      <c r="B54" s="57"/>
      <c r="C54" s="57"/>
      <c r="D54" s="58"/>
      <c r="E54" s="42"/>
      <c r="F54" s="42"/>
      <c r="G54" s="42"/>
      <c r="H54" s="42"/>
      <c r="I54" s="42"/>
      <c r="J54" s="42"/>
      <c r="K54" s="20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2.75" customHeight="1">
      <c r="A55" s="42"/>
      <c r="B55" s="57"/>
      <c r="C55" s="57"/>
      <c r="D55" s="58"/>
      <c r="E55" s="42"/>
      <c r="F55" s="42"/>
      <c r="G55" s="42"/>
      <c r="H55" s="42"/>
      <c r="I55" s="42"/>
      <c r="J55" s="42"/>
      <c r="K55" s="20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2.75" customHeight="1">
      <c r="A56" s="42"/>
      <c r="B56" s="57"/>
      <c r="C56" s="57"/>
      <c r="D56" s="58"/>
      <c r="E56" s="42"/>
      <c r="F56" s="42"/>
      <c r="G56" s="42"/>
      <c r="H56" s="42"/>
      <c r="I56" s="42"/>
      <c r="J56" s="42"/>
      <c r="K56" s="20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2.75" customHeight="1">
      <c r="A57" s="42"/>
      <c r="B57" s="57"/>
      <c r="C57" s="57"/>
      <c r="D57" s="58"/>
      <c r="E57" s="42"/>
      <c r="F57" s="42"/>
      <c r="G57" s="42"/>
      <c r="H57" s="42"/>
      <c r="I57" s="42"/>
      <c r="J57" s="42"/>
      <c r="K57" s="20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2.75" customHeight="1">
      <c r="A58" s="42"/>
      <c r="B58" s="57"/>
      <c r="C58" s="57"/>
      <c r="D58" s="58"/>
      <c r="E58" s="42"/>
      <c r="F58" s="42"/>
      <c r="G58" s="42"/>
      <c r="H58" s="42"/>
      <c r="I58" s="42"/>
      <c r="J58" s="42"/>
      <c r="K58" s="20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2.75" customHeight="1">
      <c r="A59" s="42"/>
      <c r="B59" s="57"/>
      <c r="C59" s="57"/>
      <c r="D59" s="58"/>
      <c r="E59" s="42"/>
      <c r="F59" s="42"/>
      <c r="G59" s="42"/>
      <c r="H59" s="42"/>
      <c r="I59" s="42"/>
      <c r="J59" s="42"/>
      <c r="K59" s="20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2.75" customHeight="1">
      <c r="A60" s="42"/>
      <c r="B60" s="57"/>
      <c r="C60" s="57"/>
      <c r="D60" s="58"/>
      <c r="E60" s="42"/>
      <c r="F60" s="42"/>
      <c r="G60" s="42"/>
      <c r="H60" s="42"/>
      <c r="I60" s="42"/>
      <c r="J60" s="42"/>
      <c r="K60" s="20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2.75" customHeight="1">
      <c r="A61" s="42"/>
      <c r="B61" s="57"/>
      <c r="C61" s="57"/>
      <c r="D61" s="58"/>
      <c r="E61" s="42"/>
      <c r="F61" s="42"/>
      <c r="G61" s="42"/>
      <c r="H61" s="42"/>
      <c r="I61" s="42"/>
      <c r="J61" s="42"/>
      <c r="K61" s="20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2.75" customHeight="1">
      <c r="A62" s="42"/>
      <c r="B62" s="57"/>
      <c r="C62" s="57"/>
      <c r="D62" s="58"/>
      <c r="E62" s="42"/>
      <c r="F62" s="42"/>
      <c r="G62" s="42"/>
      <c r="H62" s="42"/>
      <c r="I62" s="42"/>
      <c r="J62" s="42"/>
      <c r="K62" s="20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2.75" customHeight="1">
      <c r="A63" s="42"/>
      <c r="B63" s="57"/>
      <c r="C63" s="57"/>
      <c r="D63" s="58"/>
      <c r="E63" s="42"/>
      <c r="F63" s="42"/>
      <c r="G63" s="42"/>
      <c r="H63" s="42"/>
      <c r="I63" s="42"/>
      <c r="J63" s="42"/>
      <c r="K63" s="20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2.75" customHeight="1">
      <c r="A64" s="42"/>
      <c r="B64" s="57"/>
      <c r="C64" s="57"/>
      <c r="D64" s="58"/>
      <c r="E64" s="42"/>
      <c r="F64" s="42"/>
      <c r="G64" s="42"/>
      <c r="H64" s="42"/>
      <c r="I64" s="42"/>
      <c r="J64" s="42"/>
      <c r="K64" s="20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2.75" customHeight="1">
      <c r="A65" s="42"/>
      <c r="B65" s="57"/>
      <c r="C65" s="57"/>
      <c r="D65" s="58"/>
      <c r="E65" s="42"/>
      <c r="F65" s="42"/>
      <c r="G65" s="42"/>
      <c r="H65" s="42"/>
      <c r="I65" s="42"/>
      <c r="J65" s="42"/>
      <c r="K65" s="20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2.75" customHeight="1">
      <c r="A66" s="42"/>
      <c r="B66" s="57"/>
      <c r="C66" s="57"/>
      <c r="D66" s="58"/>
      <c r="E66" s="42"/>
      <c r="F66" s="42"/>
      <c r="G66" s="42"/>
      <c r="H66" s="42"/>
      <c r="I66" s="42"/>
      <c r="J66" s="42"/>
      <c r="K66" s="20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2.75" customHeight="1">
      <c r="A67" s="42"/>
      <c r="B67" s="57"/>
      <c r="C67" s="57"/>
      <c r="D67" s="58"/>
      <c r="E67" s="42"/>
      <c r="F67" s="42"/>
      <c r="G67" s="42"/>
      <c r="H67" s="42"/>
      <c r="I67" s="42"/>
      <c r="J67" s="42"/>
      <c r="K67" s="20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2.75" customHeight="1">
      <c r="A68" s="42"/>
      <c r="B68" s="57"/>
      <c r="C68" s="57"/>
      <c r="D68" s="58"/>
      <c r="E68" s="42"/>
      <c r="F68" s="42"/>
      <c r="G68" s="42"/>
      <c r="H68" s="42"/>
      <c r="I68" s="42"/>
      <c r="J68" s="42"/>
      <c r="K68" s="20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2.75" customHeight="1">
      <c r="A69" s="42"/>
      <c r="B69" s="57"/>
      <c r="C69" s="57"/>
      <c r="D69" s="58"/>
      <c r="E69" s="42"/>
      <c r="F69" s="42"/>
      <c r="G69" s="42"/>
      <c r="H69" s="42"/>
      <c r="I69" s="42"/>
      <c r="J69" s="42"/>
      <c r="K69" s="20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2.75" customHeight="1">
      <c r="A70" s="42"/>
      <c r="B70" s="57"/>
      <c r="C70" s="57"/>
      <c r="D70" s="58"/>
      <c r="E70" s="42"/>
      <c r="F70" s="42"/>
      <c r="G70" s="42"/>
      <c r="H70" s="42"/>
      <c r="I70" s="42"/>
      <c r="J70" s="42"/>
      <c r="K70" s="20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2.75" customHeight="1">
      <c r="A71" s="42"/>
      <c r="B71" s="57"/>
      <c r="C71" s="57"/>
      <c r="D71" s="58"/>
      <c r="E71" s="42"/>
      <c r="F71" s="42"/>
      <c r="G71" s="42"/>
      <c r="H71" s="42"/>
      <c r="I71" s="42"/>
      <c r="J71" s="42"/>
      <c r="K71" s="20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2.75" customHeight="1">
      <c r="A72" s="42"/>
      <c r="B72" s="57"/>
      <c r="C72" s="57"/>
      <c r="D72" s="58"/>
      <c r="E72" s="42"/>
      <c r="F72" s="42"/>
      <c r="G72" s="42"/>
      <c r="H72" s="42"/>
      <c r="I72" s="42"/>
      <c r="J72" s="42"/>
      <c r="K72" s="20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2.75" customHeight="1">
      <c r="A73" s="42"/>
      <c r="B73" s="57"/>
      <c r="C73" s="57"/>
      <c r="D73" s="58"/>
      <c r="E73" s="42"/>
      <c r="F73" s="42"/>
      <c r="G73" s="42"/>
      <c r="H73" s="42"/>
      <c r="I73" s="42"/>
      <c r="J73" s="42"/>
      <c r="K73" s="20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2.75" customHeight="1">
      <c r="A74" s="42"/>
      <c r="B74" s="57"/>
      <c r="C74" s="57"/>
      <c r="D74" s="58"/>
      <c r="E74" s="42"/>
      <c r="F74" s="42"/>
      <c r="G74" s="42"/>
      <c r="H74" s="42"/>
      <c r="I74" s="42"/>
      <c r="J74" s="42"/>
      <c r="K74" s="20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2.75" customHeight="1">
      <c r="A75" s="42"/>
      <c r="B75" s="57"/>
      <c r="C75" s="57"/>
      <c r="D75" s="58"/>
      <c r="E75" s="42"/>
      <c r="F75" s="42"/>
      <c r="G75" s="42"/>
      <c r="H75" s="42"/>
      <c r="I75" s="42"/>
      <c r="J75" s="42"/>
      <c r="K75" s="20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2.75" customHeight="1">
      <c r="A76" s="42"/>
      <c r="B76" s="57"/>
      <c r="C76" s="57"/>
      <c r="D76" s="58"/>
      <c r="E76" s="42"/>
      <c r="F76" s="42"/>
      <c r="G76" s="42"/>
      <c r="H76" s="42"/>
      <c r="I76" s="42"/>
      <c r="J76" s="42"/>
      <c r="K76" s="20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2.75" customHeight="1">
      <c r="A77" s="42"/>
      <c r="B77" s="57"/>
      <c r="C77" s="57"/>
      <c r="D77" s="58"/>
      <c r="E77" s="42"/>
      <c r="F77" s="42"/>
      <c r="G77" s="42"/>
      <c r="H77" s="42"/>
      <c r="I77" s="42"/>
      <c r="J77" s="42"/>
      <c r="K77" s="20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2.75" customHeight="1">
      <c r="A78" s="42"/>
      <c r="B78" s="57"/>
      <c r="C78" s="57"/>
      <c r="D78" s="58"/>
      <c r="E78" s="42"/>
      <c r="F78" s="42"/>
      <c r="G78" s="42"/>
      <c r="H78" s="42"/>
      <c r="I78" s="42"/>
      <c r="J78" s="42"/>
      <c r="K78" s="20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2.75" customHeight="1">
      <c r="A79" s="42"/>
      <c r="B79" s="57"/>
      <c r="C79" s="57"/>
      <c r="D79" s="58"/>
      <c r="E79" s="42"/>
      <c r="F79" s="42"/>
      <c r="G79" s="42"/>
      <c r="H79" s="42"/>
      <c r="I79" s="42"/>
      <c r="J79" s="42"/>
      <c r="K79" s="20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2.75" customHeight="1">
      <c r="A80" s="42"/>
      <c r="B80" s="57"/>
      <c r="C80" s="57"/>
      <c r="D80" s="58"/>
      <c r="E80" s="42"/>
      <c r="F80" s="42"/>
      <c r="G80" s="42"/>
      <c r="H80" s="42"/>
      <c r="I80" s="42"/>
      <c r="J80" s="42"/>
      <c r="K80" s="20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2.75" customHeight="1">
      <c r="A81" s="42"/>
      <c r="B81" s="57"/>
      <c r="C81" s="57"/>
      <c r="D81" s="58"/>
      <c r="E81" s="42"/>
      <c r="F81" s="42"/>
      <c r="G81" s="42"/>
      <c r="H81" s="42"/>
      <c r="I81" s="42"/>
      <c r="J81" s="42"/>
      <c r="K81" s="20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2.75" customHeight="1">
      <c r="A82" s="42"/>
      <c r="B82" s="57"/>
      <c r="C82" s="57"/>
      <c r="D82" s="58"/>
      <c r="E82" s="42"/>
      <c r="F82" s="42"/>
      <c r="G82" s="42"/>
      <c r="H82" s="42"/>
      <c r="I82" s="42"/>
      <c r="J82" s="42"/>
      <c r="K82" s="20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2.75" customHeight="1">
      <c r="A83" s="42"/>
      <c r="B83" s="57"/>
      <c r="C83" s="57"/>
      <c r="D83" s="58"/>
      <c r="E83" s="42"/>
      <c r="F83" s="42"/>
      <c r="G83" s="42"/>
      <c r="H83" s="42"/>
      <c r="I83" s="42"/>
      <c r="J83" s="42"/>
      <c r="K83" s="20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2.75" customHeight="1">
      <c r="A84" s="42"/>
      <c r="B84" s="57"/>
      <c r="C84" s="57"/>
      <c r="D84" s="58"/>
      <c r="E84" s="42"/>
      <c r="F84" s="42"/>
      <c r="G84" s="42"/>
      <c r="H84" s="42"/>
      <c r="I84" s="42"/>
      <c r="J84" s="42"/>
      <c r="K84" s="20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2.75" customHeight="1">
      <c r="A85" s="42"/>
      <c r="B85" s="57"/>
      <c r="C85" s="57"/>
      <c r="D85" s="58"/>
      <c r="E85" s="42"/>
      <c r="F85" s="42"/>
      <c r="G85" s="42"/>
      <c r="H85" s="42"/>
      <c r="I85" s="42"/>
      <c r="J85" s="42"/>
      <c r="K85" s="20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2.75" customHeight="1">
      <c r="A86" s="42"/>
      <c r="B86" s="57"/>
      <c r="C86" s="57"/>
      <c r="D86" s="58"/>
      <c r="E86" s="42"/>
      <c r="F86" s="42"/>
      <c r="G86" s="42"/>
      <c r="H86" s="42"/>
      <c r="I86" s="42"/>
      <c r="J86" s="42"/>
      <c r="K86" s="20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2.75" customHeight="1">
      <c r="A87" s="42"/>
      <c r="B87" s="57"/>
      <c r="C87" s="57"/>
      <c r="D87" s="58"/>
      <c r="E87" s="42"/>
      <c r="F87" s="42"/>
      <c r="G87" s="42"/>
      <c r="H87" s="42"/>
      <c r="I87" s="42"/>
      <c r="J87" s="42"/>
      <c r="K87" s="20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2.75" customHeight="1">
      <c r="A88" s="42"/>
      <c r="B88" s="57"/>
      <c r="C88" s="57"/>
      <c r="D88" s="58"/>
      <c r="E88" s="42"/>
      <c r="F88" s="42"/>
      <c r="G88" s="42"/>
      <c r="H88" s="42"/>
      <c r="I88" s="42"/>
      <c r="J88" s="42"/>
      <c r="K88" s="20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2.75" customHeight="1">
      <c r="A89" s="42"/>
      <c r="B89" s="57"/>
      <c r="C89" s="57"/>
      <c r="D89" s="58"/>
      <c r="E89" s="42"/>
      <c r="F89" s="42"/>
      <c r="G89" s="42"/>
      <c r="H89" s="42"/>
      <c r="I89" s="42"/>
      <c r="J89" s="42"/>
      <c r="K89" s="20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2.75" customHeight="1">
      <c r="A90" s="42"/>
      <c r="B90" s="57"/>
      <c r="C90" s="57"/>
      <c r="D90" s="58"/>
      <c r="E90" s="42"/>
      <c r="F90" s="42"/>
      <c r="G90" s="42"/>
      <c r="H90" s="42"/>
      <c r="I90" s="42"/>
      <c r="J90" s="42"/>
      <c r="K90" s="20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2.75" customHeight="1">
      <c r="A91" s="42"/>
      <c r="B91" s="57"/>
      <c r="C91" s="57"/>
      <c r="D91" s="58"/>
      <c r="E91" s="42"/>
      <c r="F91" s="42"/>
      <c r="G91" s="42"/>
      <c r="H91" s="42"/>
      <c r="I91" s="42"/>
      <c r="J91" s="42"/>
      <c r="K91" s="20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2.75" customHeight="1">
      <c r="A92" s="42"/>
      <c r="B92" s="57"/>
      <c r="C92" s="57"/>
      <c r="D92" s="58"/>
      <c r="E92" s="42"/>
      <c r="F92" s="42"/>
      <c r="G92" s="42"/>
      <c r="H92" s="42"/>
      <c r="I92" s="42"/>
      <c r="J92" s="42"/>
      <c r="K92" s="20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2.75" customHeight="1">
      <c r="A93" s="42"/>
      <c r="B93" s="57"/>
      <c r="C93" s="57"/>
      <c r="D93" s="58"/>
      <c r="E93" s="42"/>
      <c r="F93" s="42"/>
      <c r="G93" s="42"/>
      <c r="H93" s="42"/>
      <c r="I93" s="42"/>
      <c r="J93" s="42"/>
      <c r="K93" s="20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2.75" customHeight="1">
      <c r="A94" s="42"/>
      <c r="B94" s="57"/>
      <c r="C94" s="57"/>
      <c r="D94" s="58"/>
      <c r="E94" s="42"/>
      <c r="F94" s="42"/>
      <c r="G94" s="42"/>
      <c r="H94" s="42"/>
      <c r="I94" s="42"/>
      <c r="J94" s="42"/>
      <c r="K94" s="20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2.75" customHeight="1">
      <c r="A95" s="42"/>
      <c r="B95" s="57"/>
      <c r="C95" s="57"/>
      <c r="D95" s="58"/>
      <c r="E95" s="42"/>
      <c r="F95" s="42"/>
      <c r="G95" s="42"/>
      <c r="H95" s="42"/>
      <c r="I95" s="42"/>
      <c r="J95" s="42"/>
      <c r="K95" s="20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2.75" customHeight="1">
      <c r="A96" s="42"/>
      <c r="B96" s="57"/>
      <c r="C96" s="57"/>
      <c r="D96" s="58"/>
      <c r="E96" s="42"/>
      <c r="F96" s="42"/>
      <c r="G96" s="42"/>
      <c r="H96" s="42"/>
      <c r="I96" s="42"/>
      <c r="J96" s="42"/>
      <c r="K96" s="20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2.75" customHeight="1">
      <c r="A97" s="42"/>
      <c r="B97" s="57"/>
      <c r="C97" s="57"/>
      <c r="D97" s="58"/>
      <c r="E97" s="42"/>
      <c r="F97" s="42"/>
      <c r="G97" s="42"/>
      <c r="H97" s="42"/>
      <c r="I97" s="42"/>
      <c r="J97" s="42"/>
      <c r="K97" s="20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2.75" customHeight="1">
      <c r="A98" s="42"/>
      <c r="B98" s="57"/>
      <c r="C98" s="57"/>
      <c r="D98" s="58"/>
      <c r="E98" s="42"/>
      <c r="F98" s="42"/>
      <c r="G98" s="42"/>
      <c r="H98" s="42"/>
      <c r="I98" s="42"/>
      <c r="J98" s="42"/>
      <c r="K98" s="20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2.75" customHeight="1">
      <c r="A99" s="42"/>
      <c r="B99" s="57"/>
      <c r="C99" s="57"/>
      <c r="D99" s="58"/>
      <c r="E99" s="42"/>
      <c r="F99" s="42"/>
      <c r="G99" s="42"/>
      <c r="H99" s="42"/>
      <c r="I99" s="42"/>
      <c r="J99" s="42"/>
      <c r="K99" s="20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2.75" customHeight="1">
      <c r="A100" s="42"/>
      <c r="B100" s="57"/>
      <c r="C100" s="57"/>
      <c r="D100" s="58"/>
      <c r="E100" s="42"/>
      <c r="F100" s="42"/>
      <c r="G100" s="42"/>
      <c r="H100" s="42"/>
      <c r="I100" s="42"/>
      <c r="J100" s="42"/>
      <c r="K100" s="20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2.75" customHeight="1">
      <c r="A101" s="42"/>
      <c r="B101" s="57"/>
      <c r="C101" s="57"/>
      <c r="D101" s="58"/>
      <c r="E101" s="42"/>
      <c r="F101" s="42"/>
      <c r="G101" s="42"/>
      <c r="H101" s="42"/>
      <c r="I101" s="42"/>
      <c r="J101" s="42"/>
      <c r="K101" s="20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2.75" customHeight="1">
      <c r="A102" s="42"/>
      <c r="B102" s="57"/>
      <c r="C102" s="57"/>
      <c r="D102" s="58"/>
      <c r="E102" s="42"/>
      <c r="F102" s="42"/>
      <c r="G102" s="42"/>
      <c r="H102" s="42"/>
      <c r="I102" s="42"/>
      <c r="J102" s="42"/>
      <c r="K102" s="20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2.75" customHeight="1">
      <c r="A103" s="42"/>
      <c r="B103" s="57"/>
      <c r="C103" s="57"/>
      <c r="D103" s="58"/>
      <c r="E103" s="42"/>
      <c r="F103" s="42"/>
      <c r="G103" s="42"/>
      <c r="H103" s="42"/>
      <c r="I103" s="42"/>
      <c r="J103" s="42"/>
      <c r="K103" s="20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2.75" customHeight="1">
      <c r="A104" s="42"/>
      <c r="B104" s="57"/>
      <c r="C104" s="57"/>
      <c r="D104" s="58"/>
      <c r="E104" s="42"/>
      <c r="F104" s="42"/>
      <c r="G104" s="42"/>
      <c r="H104" s="42"/>
      <c r="I104" s="42"/>
      <c r="J104" s="42"/>
      <c r="K104" s="20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2.75" customHeight="1">
      <c r="A105" s="42"/>
      <c r="B105" s="57"/>
      <c r="C105" s="57"/>
      <c r="D105" s="58"/>
      <c r="E105" s="42"/>
      <c r="F105" s="42"/>
      <c r="G105" s="42"/>
      <c r="H105" s="42"/>
      <c r="I105" s="42"/>
      <c r="J105" s="42"/>
      <c r="K105" s="20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2.75" customHeight="1">
      <c r="A106" s="42"/>
      <c r="B106" s="57"/>
      <c r="C106" s="57"/>
      <c r="D106" s="58"/>
      <c r="E106" s="42"/>
      <c r="F106" s="42"/>
      <c r="G106" s="42"/>
      <c r="H106" s="42"/>
      <c r="I106" s="42"/>
      <c r="J106" s="42"/>
      <c r="K106" s="20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2.75" customHeight="1">
      <c r="A107" s="42"/>
      <c r="B107" s="57"/>
      <c r="C107" s="57"/>
      <c r="D107" s="58"/>
      <c r="E107" s="42"/>
      <c r="F107" s="42"/>
      <c r="G107" s="42"/>
      <c r="H107" s="42"/>
      <c r="I107" s="42"/>
      <c r="J107" s="42"/>
      <c r="K107" s="20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2.75" customHeight="1">
      <c r="A108" s="42"/>
      <c r="B108" s="57"/>
      <c r="C108" s="57"/>
      <c r="D108" s="58"/>
      <c r="E108" s="42"/>
      <c r="F108" s="42"/>
      <c r="G108" s="42"/>
      <c r="H108" s="42"/>
      <c r="I108" s="42"/>
      <c r="J108" s="42"/>
      <c r="K108" s="20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2.75" customHeight="1">
      <c r="A109" s="42"/>
      <c r="B109" s="57"/>
      <c r="C109" s="57"/>
      <c r="D109" s="58"/>
      <c r="E109" s="42"/>
      <c r="F109" s="42"/>
      <c r="G109" s="42"/>
      <c r="H109" s="42"/>
      <c r="I109" s="42"/>
      <c r="J109" s="42"/>
      <c r="K109" s="20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2.75" customHeight="1">
      <c r="A110" s="42"/>
      <c r="B110" s="57"/>
      <c r="C110" s="57"/>
      <c r="D110" s="58"/>
      <c r="E110" s="42"/>
      <c r="F110" s="42"/>
      <c r="G110" s="42"/>
      <c r="H110" s="42"/>
      <c r="I110" s="42"/>
      <c r="J110" s="42"/>
      <c r="K110" s="20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2.75" customHeight="1">
      <c r="A111" s="42"/>
      <c r="B111" s="57"/>
      <c r="C111" s="57"/>
      <c r="D111" s="58"/>
      <c r="E111" s="42"/>
      <c r="F111" s="42"/>
      <c r="G111" s="42"/>
      <c r="H111" s="42"/>
      <c r="I111" s="42"/>
      <c r="J111" s="42"/>
      <c r="K111" s="20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2.75" customHeight="1">
      <c r="A112" s="42"/>
      <c r="B112" s="57"/>
      <c r="C112" s="57"/>
      <c r="D112" s="58"/>
      <c r="E112" s="42"/>
      <c r="F112" s="42"/>
      <c r="G112" s="42"/>
      <c r="H112" s="42"/>
      <c r="I112" s="42"/>
      <c r="J112" s="42"/>
      <c r="K112" s="20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2.75" customHeight="1">
      <c r="A113" s="42"/>
      <c r="B113" s="57"/>
      <c r="C113" s="57"/>
      <c r="D113" s="58"/>
      <c r="E113" s="42"/>
      <c r="F113" s="42"/>
      <c r="G113" s="42"/>
      <c r="H113" s="42"/>
      <c r="I113" s="42"/>
      <c r="J113" s="42"/>
      <c r="K113" s="20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2.75" customHeight="1">
      <c r="A114" s="42"/>
      <c r="B114" s="57"/>
      <c r="C114" s="57"/>
      <c r="D114" s="58"/>
      <c r="E114" s="42"/>
      <c r="F114" s="42"/>
      <c r="G114" s="42"/>
      <c r="H114" s="42"/>
      <c r="I114" s="42"/>
      <c r="J114" s="42"/>
      <c r="K114" s="20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2.75" customHeight="1">
      <c r="A115" s="42"/>
      <c r="B115" s="57"/>
      <c r="C115" s="57"/>
      <c r="D115" s="58"/>
      <c r="E115" s="42"/>
      <c r="F115" s="42"/>
      <c r="G115" s="42"/>
      <c r="H115" s="42"/>
      <c r="I115" s="42"/>
      <c r="J115" s="42"/>
      <c r="K115" s="20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2.75" customHeight="1">
      <c r="A116" s="42"/>
      <c r="B116" s="57"/>
      <c r="C116" s="57"/>
      <c r="D116" s="58"/>
      <c r="E116" s="42"/>
      <c r="F116" s="42"/>
      <c r="G116" s="42"/>
      <c r="H116" s="42"/>
      <c r="I116" s="42"/>
      <c r="J116" s="42"/>
      <c r="K116" s="20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2.75" customHeight="1">
      <c r="A117" s="42"/>
      <c r="B117" s="57"/>
      <c r="C117" s="57"/>
      <c r="D117" s="58"/>
      <c r="E117" s="42"/>
      <c r="F117" s="42"/>
      <c r="G117" s="42"/>
      <c r="H117" s="42"/>
      <c r="I117" s="42"/>
      <c r="J117" s="42"/>
      <c r="K117" s="20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2.75" customHeight="1">
      <c r="A118" s="42"/>
      <c r="B118" s="57"/>
      <c r="C118" s="57"/>
      <c r="D118" s="58"/>
      <c r="E118" s="42"/>
      <c r="F118" s="42"/>
      <c r="G118" s="42"/>
      <c r="H118" s="42"/>
      <c r="I118" s="42"/>
      <c r="J118" s="42"/>
      <c r="K118" s="20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2.75" customHeight="1">
      <c r="A119" s="42"/>
      <c r="B119" s="57"/>
      <c r="C119" s="57"/>
      <c r="D119" s="58"/>
      <c r="E119" s="42"/>
      <c r="F119" s="42"/>
      <c r="G119" s="42"/>
      <c r="H119" s="42"/>
      <c r="I119" s="42"/>
      <c r="J119" s="42"/>
      <c r="K119" s="20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2.75" customHeight="1">
      <c r="A120" s="42"/>
      <c r="B120" s="57"/>
      <c r="C120" s="57"/>
      <c r="D120" s="58"/>
      <c r="E120" s="42"/>
      <c r="F120" s="42"/>
      <c r="G120" s="42"/>
      <c r="H120" s="42"/>
      <c r="I120" s="42"/>
      <c r="J120" s="42"/>
      <c r="K120" s="20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2.75" customHeight="1">
      <c r="A121" s="42"/>
      <c r="B121" s="57"/>
      <c r="C121" s="57"/>
      <c r="D121" s="58"/>
      <c r="E121" s="42"/>
      <c r="F121" s="42"/>
      <c r="G121" s="42"/>
      <c r="H121" s="42"/>
      <c r="I121" s="42"/>
      <c r="J121" s="42"/>
      <c r="K121" s="20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2.75" customHeight="1">
      <c r="A122" s="42"/>
      <c r="B122" s="57"/>
      <c r="C122" s="57"/>
      <c r="D122" s="58"/>
      <c r="E122" s="42"/>
      <c r="F122" s="42"/>
      <c r="G122" s="42"/>
      <c r="H122" s="42"/>
      <c r="I122" s="42"/>
      <c r="J122" s="42"/>
      <c r="K122" s="20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2.75" customHeight="1">
      <c r="A123" s="42"/>
      <c r="B123" s="57"/>
      <c r="C123" s="57"/>
      <c r="D123" s="58"/>
      <c r="E123" s="42"/>
      <c r="F123" s="42"/>
      <c r="G123" s="42"/>
      <c r="H123" s="42"/>
      <c r="I123" s="42"/>
      <c r="J123" s="42"/>
      <c r="K123" s="20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2.75" customHeight="1">
      <c r="A124" s="42"/>
      <c r="B124" s="57"/>
      <c r="C124" s="57"/>
      <c r="D124" s="58"/>
      <c r="E124" s="42"/>
      <c r="F124" s="42"/>
      <c r="G124" s="42"/>
      <c r="H124" s="42"/>
      <c r="I124" s="42"/>
      <c r="J124" s="42"/>
      <c r="K124" s="20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2.75" customHeight="1">
      <c r="A125" s="42"/>
      <c r="B125" s="57"/>
      <c r="C125" s="57"/>
      <c r="D125" s="58"/>
      <c r="E125" s="42"/>
      <c r="F125" s="42"/>
      <c r="G125" s="42"/>
      <c r="H125" s="42"/>
      <c r="I125" s="42"/>
      <c r="J125" s="42"/>
      <c r="K125" s="20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2.75" customHeight="1">
      <c r="A126" s="42"/>
      <c r="B126" s="57"/>
      <c r="C126" s="57"/>
      <c r="D126" s="58"/>
      <c r="E126" s="42"/>
      <c r="F126" s="42"/>
      <c r="G126" s="42"/>
      <c r="H126" s="42"/>
      <c r="I126" s="42"/>
      <c r="J126" s="42"/>
      <c r="K126" s="20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2.75" customHeight="1">
      <c r="A127" s="42"/>
      <c r="B127" s="57"/>
      <c r="C127" s="57"/>
      <c r="D127" s="58"/>
      <c r="E127" s="42"/>
      <c r="F127" s="42"/>
      <c r="G127" s="42"/>
      <c r="H127" s="42"/>
      <c r="I127" s="42"/>
      <c r="J127" s="42"/>
      <c r="K127" s="20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2.75" customHeight="1">
      <c r="A128" s="42"/>
      <c r="B128" s="57"/>
      <c r="C128" s="57"/>
      <c r="D128" s="58"/>
      <c r="E128" s="42"/>
      <c r="F128" s="42"/>
      <c r="G128" s="42"/>
      <c r="H128" s="42"/>
      <c r="I128" s="42"/>
      <c r="J128" s="42"/>
      <c r="K128" s="20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2.75" customHeight="1">
      <c r="A129" s="42"/>
      <c r="B129" s="57"/>
      <c r="C129" s="57"/>
      <c r="D129" s="58"/>
      <c r="E129" s="42"/>
      <c r="F129" s="42"/>
      <c r="G129" s="42"/>
      <c r="H129" s="42"/>
      <c r="I129" s="42"/>
      <c r="J129" s="42"/>
      <c r="K129" s="20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2.75" customHeight="1">
      <c r="A130" s="42"/>
      <c r="B130" s="57"/>
      <c r="C130" s="57"/>
      <c r="D130" s="58"/>
      <c r="E130" s="42"/>
      <c r="F130" s="42"/>
      <c r="G130" s="42"/>
      <c r="H130" s="42"/>
      <c r="I130" s="42"/>
      <c r="J130" s="42"/>
      <c r="K130" s="20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2.75" customHeight="1">
      <c r="A131" s="42"/>
      <c r="B131" s="57"/>
      <c r="C131" s="57"/>
      <c r="D131" s="58"/>
      <c r="E131" s="42"/>
      <c r="F131" s="42"/>
      <c r="G131" s="42"/>
      <c r="H131" s="42"/>
      <c r="I131" s="42"/>
      <c r="J131" s="42"/>
      <c r="K131" s="20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2.75" customHeight="1">
      <c r="A132" s="42"/>
      <c r="B132" s="57"/>
      <c r="C132" s="57"/>
      <c r="D132" s="58"/>
      <c r="E132" s="42"/>
      <c r="F132" s="42"/>
      <c r="G132" s="42"/>
      <c r="H132" s="42"/>
      <c r="I132" s="42"/>
      <c r="J132" s="42"/>
      <c r="K132" s="20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2.75" customHeight="1">
      <c r="A133" s="42"/>
      <c r="B133" s="57"/>
      <c r="C133" s="57"/>
      <c r="D133" s="58"/>
      <c r="E133" s="42"/>
      <c r="F133" s="42"/>
      <c r="G133" s="42"/>
      <c r="H133" s="42"/>
      <c r="I133" s="42"/>
      <c r="J133" s="42"/>
      <c r="K133" s="20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2.75" customHeight="1">
      <c r="A134" s="42"/>
      <c r="B134" s="57"/>
      <c r="C134" s="57"/>
      <c r="D134" s="58"/>
      <c r="E134" s="42"/>
      <c r="F134" s="42"/>
      <c r="G134" s="42"/>
      <c r="H134" s="42"/>
      <c r="I134" s="42"/>
      <c r="J134" s="42"/>
      <c r="K134" s="20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2.75" customHeight="1">
      <c r="A135" s="42"/>
      <c r="B135" s="57"/>
      <c r="C135" s="57"/>
      <c r="D135" s="58"/>
      <c r="E135" s="42"/>
      <c r="F135" s="42"/>
      <c r="G135" s="42"/>
      <c r="H135" s="42"/>
      <c r="I135" s="42"/>
      <c r="J135" s="42"/>
      <c r="K135" s="20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2.75" customHeight="1">
      <c r="A136" s="42"/>
      <c r="B136" s="57"/>
      <c r="C136" s="57"/>
      <c r="D136" s="58"/>
      <c r="E136" s="42"/>
      <c r="F136" s="42"/>
      <c r="G136" s="42"/>
      <c r="H136" s="42"/>
      <c r="I136" s="42"/>
      <c r="J136" s="42"/>
      <c r="K136" s="20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2.75" customHeight="1">
      <c r="A137" s="42"/>
      <c r="B137" s="57"/>
      <c r="C137" s="57"/>
      <c r="D137" s="58"/>
      <c r="E137" s="42"/>
      <c r="F137" s="42"/>
      <c r="G137" s="42"/>
      <c r="H137" s="42"/>
      <c r="I137" s="42"/>
      <c r="J137" s="42"/>
      <c r="K137" s="20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2.75" customHeight="1">
      <c r="A138" s="42"/>
      <c r="B138" s="57"/>
      <c r="C138" s="57"/>
      <c r="D138" s="58"/>
      <c r="E138" s="42"/>
      <c r="F138" s="42"/>
      <c r="G138" s="42"/>
      <c r="H138" s="42"/>
      <c r="I138" s="42"/>
      <c r="J138" s="42"/>
      <c r="K138" s="20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2.75" customHeight="1">
      <c r="A139" s="42"/>
      <c r="B139" s="57"/>
      <c r="C139" s="57"/>
      <c r="D139" s="58"/>
      <c r="E139" s="42"/>
      <c r="F139" s="42"/>
      <c r="G139" s="42"/>
      <c r="H139" s="42"/>
      <c r="I139" s="42"/>
      <c r="J139" s="42"/>
      <c r="K139" s="20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2.75" customHeight="1">
      <c r="A140" s="42"/>
      <c r="B140" s="57"/>
      <c r="C140" s="57"/>
      <c r="D140" s="58"/>
      <c r="E140" s="42"/>
      <c r="F140" s="42"/>
      <c r="G140" s="42"/>
      <c r="H140" s="42"/>
      <c r="I140" s="42"/>
      <c r="J140" s="42"/>
      <c r="K140" s="20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2.75" customHeight="1">
      <c r="A141" s="42"/>
      <c r="B141" s="57"/>
      <c r="C141" s="57"/>
      <c r="D141" s="58"/>
      <c r="E141" s="42"/>
      <c r="F141" s="42"/>
      <c r="G141" s="42"/>
      <c r="H141" s="42"/>
      <c r="I141" s="42"/>
      <c r="J141" s="42"/>
      <c r="K141" s="20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2.75" customHeight="1">
      <c r="A142" s="42"/>
      <c r="B142" s="57"/>
      <c r="C142" s="57"/>
      <c r="D142" s="58"/>
      <c r="E142" s="42"/>
      <c r="F142" s="42"/>
      <c r="G142" s="42"/>
      <c r="H142" s="42"/>
      <c r="I142" s="42"/>
      <c r="J142" s="42"/>
      <c r="K142" s="20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2.75" customHeight="1">
      <c r="A143" s="42"/>
      <c r="B143" s="57"/>
      <c r="C143" s="57"/>
      <c r="D143" s="58"/>
      <c r="E143" s="42"/>
      <c r="F143" s="42"/>
      <c r="G143" s="42"/>
      <c r="H143" s="42"/>
      <c r="I143" s="42"/>
      <c r="J143" s="42"/>
      <c r="K143" s="20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2.75" customHeight="1">
      <c r="A144" s="42"/>
      <c r="B144" s="57"/>
      <c r="C144" s="57"/>
      <c r="D144" s="58"/>
      <c r="E144" s="42"/>
      <c r="F144" s="42"/>
      <c r="G144" s="42"/>
      <c r="H144" s="42"/>
      <c r="I144" s="42"/>
      <c r="J144" s="42"/>
      <c r="K144" s="20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2.75" customHeight="1">
      <c r="A145" s="42"/>
      <c r="B145" s="57"/>
      <c r="C145" s="57"/>
      <c r="D145" s="58"/>
      <c r="E145" s="42"/>
      <c r="F145" s="42"/>
      <c r="G145" s="42"/>
      <c r="H145" s="42"/>
      <c r="I145" s="42"/>
      <c r="J145" s="42"/>
      <c r="K145" s="20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2.75" customHeight="1">
      <c r="A146" s="42"/>
      <c r="B146" s="57"/>
      <c r="C146" s="57"/>
      <c r="D146" s="58"/>
      <c r="E146" s="42"/>
      <c r="F146" s="42"/>
      <c r="G146" s="42"/>
      <c r="H146" s="42"/>
      <c r="I146" s="42"/>
      <c r="J146" s="42"/>
      <c r="K146" s="20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2.75" customHeight="1">
      <c r="A147" s="42"/>
      <c r="B147" s="57"/>
      <c r="C147" s="57"/>
      <c r="D147" s="58"/>
      <c r="E147" s="42"/>
      <c r="F147" s="42"/>
      <c r="G147" s="42"/>
      <c r="H147" s="42"/>
      <c r="I147" s="42"/>
      <c r="J147" s="42"/>
      <c r="K147" s="20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2.75" customHeight="1">
      <c r="A148" s="42"/>
      <c r="B148" s="57"/>
      <c r="C148" s="57"/>
      <c r="D148" s="58"/>
      <c r="E148" s="42"/>
      <c r="F148" s="42"/>
      <c r="G148" s="42"/>
      <c r="H148" s="42"/>
      <c r="I148" s="42"/>
      <c r="J148" s="42"/>
      <c r="K148" s="20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2.75" customHeight="1">
      <c r="A149" s="42"/>
      <c r="B149" s="57"/>
      <c r="C149" s="57"/>
      <c r="D149" s="58"/>
      <c r="E149" s="42"/>
      <c r="F149" s="42"/>
      <c r="G149" s="42"/>
      <c r="H149" s="42"/>
      <c r="I149" s="42"/>
      <c r="J149" s="42"/>
      <c r="K149" s="20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2.75" customHeight="1">
      <c r="A150" s="42"/>
      <c r="B150" s="57"/>
      <c r="C150" s="57"/>
      <c r="D150" s="58"/>
      <c r="E150" s="42"/>
      <c r="F150" s="42"/>
      <c r="G150" s="42"/>
      <c r="H150" s="42"/>
      <c r="I150" s="42"/>
      <c r="J150" s="42"/>
      <c r="K150" s="20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2.75" customHeight="1">
      <c r="A151" s="42"/>
      <c r="B151" s="57"/>
      <c r="C151" s="57"/>
      <c r="D151" s="58"/>
      <c r="E151" s="42"/>
      <c r="F151" s="42"/>
      <c r="G151" s="42"/>
      <c r="H151" s="42"/>
      <c r="I151" s="42"/>
      <c r="J151" s="42"/>
      <c r="K151" s="20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2.75" customHeight="1">
      <c r="A152" s="42"/>
      <c r="B152" s="57"/>
      <c r="C152" s="57"/>
      <c r="D152" s="58"/>
      <c r="E152" s="42"/>
      <c r="F152" s="42"/>
      <c r="G152" s="42"/>
      <c r="H152" s="42"/>
      <c r="I152" s="42"/>
      <c r="J152" s="42"/>
      <c r="K152" s="20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2.75" customHeight="1">
      <c r="A153" s="42"/>
      <c r="B153" s="57"/>
      <c r="C153" s="57"/>
      <c r="D153" s="58"/>
      <c r="E153" s="42"/>
      <c r="F153" s="42"/>
      <c r="G153" s="42"/>
      <c r="H153" s="42"/>
      <c r="I153" s="42"/>
      <c r="J153" s="42"/>
      <c r="K153" s="20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2.75" customHeight="1">
      <c r="A154" s="42"/>
      <c r="B154" s="57"/>
      <c r="C154" s="57"/>
      <c r="D154" s="58"/>
      <c r="E154" s="42"/>
      <c r="F154" s="42"/>
      <c r="G154" s="42"/>
      <c r="H154" s="42"/>
      <c r="I154" s="42"/>
      <c r="J154" s="42"/>
      <c r="K154" s="20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2.75" customHeight="1">
      <c r="A155" s="42"/>
      <c r="B155" s="57"/>
      <c r="C155" s="57"/>
      <c r="D155" s="58"/>
      <c r="E155" s="42"/>
      <c r="F155" s="42"/>
      <c r="G155" s="42"/>
      <c r="H155" s="42"/>
      <c r="I155" s="42"/>
      <c r="J155" s="42"/>
      <c r="K155" s="20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2.75" customHeight="1">
      <c r="A156" s="42"/>
      <c r="B156" s="57"/>
      <c r="C156" s="57"/>
      <c r="D156" s="58"/>
      <c r="E156" s="42"/>
      <c r="F156" s="42"/>
      <c r="G156" s="42"/>
      <c r="H156" s="42"/>
      <c r="I156" s="42"/>
      <c r="J156" s="42"/>
      <c r="K156" s="20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2.75" customHeight="1">
      <c r="A157" s="42"/>
      <c r="B157" s="57"/>
      <c r="C157" s="57"/>
      <c r="D157" s="58"/>
      <c r="E157" s="42"/>
      <c r="F157" s="42"/>
      <c r="G157" s="42"/>
      <c r="H157" s="42"/>
      <c r="I157" s="42"/>
      <c r="J157" s="42"/>
      <c r="K157" s="20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2.75" customHeight="1">
      <c r="A158" s="42"/>
      <c r="B158" s="57"/>
      <c r="C158" s="57"/>
      <c r="D158" s="58"/>
      <c r="E158" s="42"/>
      <c r="F158" s="42"/>
      <c r="G158" s="42"/>
      <c r="H158" s="42"/>
      <c r="I158" s="42"/>
      <c r="J158" s="42"/>
      <c r="K158" s="20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2.75" customHeight="1">
      <c r="A159" s="42"/>
      <c r="B159" s="57"/>
      <c r="C159" s="57"/>
      <c r="D159" s="58"/>
      <c r="E159" s="42"/>
      <c r="F159" s="42"/>
      <c r="G159" s="42"/>
      <c r="H159" s="42"/>
      <c r="I159" s="42"/>
      <c r="J159" s="42"/>
      <c r="K159" s="20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2.75" customHeight="1">
      <c r="A160" s="42"/>
      <c r="B160" s="57"/>
      <c r="C160" s="57"/>
      <c r="D160" s="58"/>
      <c r="E160" s="42"/>
      <c r="F160" s="42"/>
      <c r="G160" s="42"/>
      <c r="H160" s="42"/>
      <c r="I160" s="42"/>
      <c r="J160" s="42"/>
      <c r="K160" s="20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2.75" customHeight="1">
      <c r="A161" s="42"/>
      <c r="B161" s="57"/>
      <c r="C161" s="57"/>
      <c r="D161" s="58"/>
      <c r="E161" s="42"/>
      <c r="F161" s="42"/>
      <c r="G161" s="42"/>
      <c r="H161" s="42"/>
      <c r="I161" s="42"/>
      <c r="J161" s="42"/>
      <c r="K161" s="20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2.75" customHeight="1">
      <c r="A162" s="42"/>
      <c r="B162" s="57"/>
      <c r="C162" s="57"/>
      <c r="D162" s="58"/>
      <c r="E162" s="42"/>
      <c r="F162" s="42"/>
      <c r="G162" s="42"/>
      <c r="H162" s="42"/>
      <c r="I162" s="42"/>
      <c r="J162" s="42"/>
      <c r="K162" s="20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2.75" customHeight="1">
      <c r="A163" s="42"/>
      <c r="B163" s="57"/>
      <c r="C163" s="57"/>
      <c r="D163" s="58"/>
      <c r="E163" s="42"/>
      <c r="F163" s="42"/>
      <c r="G163" s="42"/>
      <c r="H163" s="42"/>
      <c r="I163" s="42"/>
      <c r="J163" s="42"/>
      <c r="K163" s="20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2.75" customHeight="1">
      <c r="A164" s="42"/>
      <c r="B164" s="57"/>
      <c r="C164" s="57"/>
      <c r="D164" s="58"/>
      <c r="E164" s="42"/>
      <c r="F164" s="42"/>
      <c r="G164" s="42"/>
      <c r="H164" s="42"/>
      <c r="I164" s="42"/>
      <c r="J164" s="42"/>
      <c r="K164" s="20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2.75" customHeight="1">
      <c r="A165" s="42"/>
      <c r="B165" s="57"/>
      <c r="C165" s="57"/>
      <c r="D165" s="58"/>
      <c r="E165" s="42"/>
      <c r="F165" s="42"/>
      <c r="G165" s="42"/>
      <c r="H165" s="42"/>
      <c r="I165" s="42"/>
      <c r="J165" s="42"/>
      <c r="K165" s="20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2.75" customHeight="1">
      <c r="A166" s="42"/>
      <c r="B166" s="57"/>
      <c r="C166" s="57"/>
      <c r="D166" s="58"/>
      <c r="E166" s="42"/>
      <c r="F166" s="42"/>
      <c r="G166" s="42"/>
      <c r="H166" s="42"/>
      <c r="I166" s="42"/>
      <c r="J166" s="42"/>
      <c r="K166" s="20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2.75" customHeight="1">
      <c r="A167" s="42"/>
      <c r="B167" s="57"/>
      <c r="C167" s="57"/>
      <c r="D167" s="58"/>
      <c r="E167" s="42"/>
      <c r="F167" s="42"/>
      <c r="G167" s="42"/>
      <c r="H167" s="42"/>
      <c r="I167" s="42"/>
      <c r="J167" s="42"/>
      <c r="K167" s="20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2.75" customHeight="1">
      <c r="A168" s="42"/>
      <c r="B168" s="57"/>
      <c r="C168" s="57"/>
      <c r="D168" s="58"/>
      <c r="E168" s="42"/>
      <c r="F168" s="42"/>
      <c r="G168" s="42"/>
      <c r="H168" s="42"/>
      <c r="I168" s="42"/>
      <c r="J168" s="42"/>
      <c r="K168" s="20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2.75" customHeight="1">
      <c r="A169" s="42"/>
      <c r="B169" s="57"/>
      <c r="C169" s="57"/>
      <c r="D169" s="58"/>
      <c r="E169" s="42"/>
      <c r="F169" s="42"/>
      <c r="G169" s="42"/>
      <c r="H169" s="42"/>
      <c r="I169" s="42"/>
      <c r="J169" s="42"/>
      <c r="K169" s="20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2.75" customHeight="1">
      <c r="A170" s="42"/>
      <c r="B170" s="57"/>
      <c r="C170" s="57"/>
      <c r="D170" s="58"/>
      <c r="E170" s="42"/>
      <c r="F170" s="42"/>
      <c r="G170" s="42"/>
      <c r="H170" s="42"/>
      <c r="I170" s="42"/>
      <c r="J170" s="42"/>
      <c r="K170" s="20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2.75" customHeight="1">
      <c r="A171" s="42"/>
      <c r="B171" s="57"/>
      <c r="C171" s="57"/>
      <c r="D171" s="58"/>
      <c r="E171" s="42"/>
      <c r="F171" s="42"/>
      <c r="G171" s="42"/>
      <c r="H171" s="42"/>
      <c r="I171" s="42"/>
      <c r="J171" s="42"/>
      <c r="K171" s="20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2.75" customHeight="1">
      <c r="A172" s="42"/>
      <c r="B172" s="57"/>
      <c r="C172" s="57"/>
      <c r="D172" s="58"/>
      <c r="E172" s="42"/>
      <c r="F172" s="42"/>
      <c r="G172" s="42"/>
      <c r="H172" s="42"/>
      <c r="I172" s="42"/>
      <c r="J172" s="42"/>
      <c r="K172" s="20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2.75" customHeight="1">
      <c r="A173" s="42"/>
      <c r="B173" s="57"/>
      <c r="C173" s="57"/>
      <c r="D173" s="58"/>
      <c r="E173" s="42"/>
      <c r="F173" s="42"/>
      <c r="G173" s="42"/>
      <c r="H173" s="42"/>
      <c r="I173" s="42"/>
      <c r="J173" s="42"/>
      <c r="K173" s="20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2.75" customHeight="1">
      <c r="A174" s="42"/>
      <c r="B174" s="57"/>
      <c r="C174" s="57"/>
      <c r="D174" s="58"/>
      <c r="E174" s="42"/>
      <c r="F174" s="42"/>
      <c r="G174" s="42"/>
      <c r="H174" s="42"/>
      <c r="I174" s="42"/>
      <c r="J174" s="42"/>
      <c r="K174" s="20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2.75" customHeight="1">
      <c r="A175" s="42"/>
      <c r="B175" s="57"/>
      <c r="C175" s="57"/>
      <c r="D175" s="58"/>
      <c r="E175" s="42"/>
      <c r="F175" s="42"/>
      <c r="G175" s="42"/>
      <c r="H175" s="42"/>
      <c r="I175" s="42"/>
      <c r="J175" s="42"/>
      <c r="K175" s="20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2.75" customHeight="1">
      <c r="A176" s="42"/>
      <c r="B176" s="57"/>
      <c r="C176" s="57"/>
      <c r="D176" s="58"/>
      <c r="E176" s="42"/>
      <c r="F176" s="42"/>
      <c r="G176" s="42"/>
      <c r="H176" s="42"/>
      <c r="I176" s="42"/>
      <c r="J176" s="42"/>
      <c r="K176" s="20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2.75" customHeight="1">
      <c r="A177" s="42"/>
      <c r="B177" s="57"/>
      <c r="C177" s="57"/>
      <c r="D177" s="58"/>
      <c r="E177" s="42"/>
      <c r="F177" s="42"/>
      <c r="G177" s="42"/>
      <c r="H177" s="42"/>
      <c r="I177" s="42"/>
      <c r="J177" s="42"/>
      <c r="K177" s="20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2.75" customHeight="1">
      <c r="A178" s="42"/>
      <c r="B178" s="57"/>
      <c r="C178" s="57"/>
      <c r="D178" s="58"/>
      <c r="E178" s="42"/>
      <c r="F178" s="42"/>
      <c r="G178" s="42"/>
      <c r="H178" s="42"/>
      <c r="I178" s="42"/>
      <c r="J178" s="42"/>
      <c r="K178" s="20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2.75" customHeight="1">
      <c r="A179" s="42"/>
      <c r="B179" s="57"/>
      <c r="C179" s="57"/>
      <c r="D179" s="58"/>
      <c r="E179" s="42"/>
      <c r="F179" s="42"/>
      <c r="G179" s="42"/>
      <c r="H179" s="42"/>
      <c r="I179" s="42"/>
      <c r="J179" s="42"/>
      <c r="K179" s="20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2.75" customHeight="1">
      <c r="A180" s="42"/>
      <c r="B180" s="57"/>
      <c r="C180" s="57"/>
      <c r="D180" s="58"/>
      <c r="E180" s="42"/>
      <c r="F180" s="42"/>
      <c r="G180" s="42"/>
      <c r="H180" s="42"/>
      <c r="I180" s="42"/>
      <c r="J180" s="42"/>
      <c r="K180" s="20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2.75" customHeight="1">
      <c r="A181" s="42"/>
      <c r="B181" s="57"/>
      <c r="C181" s="57"/>
      <c r="D181" s="58"/>
      <c r="E181" s="42"/>
      <c r="F181" s="42"/>
      <c r="G181" s="42"/>
      <c r="H181" s="42"/>
      <c r="I181" s="42"/>
      <c r="J181" s="42"/>
      <c r="K181" s="20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2.75" customHeight="1">
      <c r="A182" s="42"/>
      <c r="B182" s="57"/>
      <c r="C182" s="57"/>
      <c r="D182" s="58"/>
      <c r="E182" s="42"/>
      <c r="F182" s="42"/>
      <c r="G182" s="42"/>
      <c r="H182" s="42"/>
      <c r="I182" s="42"/>
      <c r="J182" s="42"/>
      <c r="K182" s="20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2.75" customHeight="1">
      <c r="A183" s="42"/>
      <c r="B183" s="57"/>
      <c r="C183" s="57"/>
      <c r="D183" s="58"/>
      <c r="E183" s="42"/>
      <c r="F183" s="42"/>
      <c r="G183" s="42"/>
      <c r="H183" s="42"/>
      <c r="I183" s="42"/>
      <c r="J183" s="42"/>
      <c r="K183" s="20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2.75" customHeight="1">
      <c r="A184" s="42"/>
      <c r="B184" s="57"/>
      <c r="C184" s="57"/>
      <c r="D184" s="58"/>
      <c r="E184" s="42"/>
      <c r="F184" s="42"/>
      <c r="G184" s="42"/>
      <c r="H184" s="42"/>
      <c r="I184" s="42"/>
      <c r="J184" s="42"/>
      <c r="K184" s="20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2.75" customHeight="1">
      <c r="A185" s="42"/>
      <c r="B185" s="57"/>
      <c r="C185" s="57"/>
      <c r="D185" s="58"/>
      <c r="E185" s="42"/>
      <c r="F185" s="42"/>
      <c r="G185" s="42"/>
      <c r="H185" s="42"/>
      <c r="I185" s="42"/>
      <c r="J185" s="42"/>
      <c r="K185" s="20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2.75" customHeight="1">
      <c r="A186" s="42"/>
      <c r="B186" s="57"/>
      <c r="C186" s="57"/>
      <c r="D186" s="58"/>
      <c r="E186" s="42"/>
      <c r="F186" s="42"/>
      <c r="G186" s="42"/>
      <c r="H186" s="42"/>
      <c r="I186" s="42"/>
      <c r="J186" s="42"/>
      <c r="K186" s="20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2.75" customHeight="1">
      <c r="A187" s="42"/>
      <c r="B187" s="57"/>
      <c r="C187" s="57"/>
      <c r="D187" s="58"/>
      <c r="E187" s="42"/>
      <c r="F187" s="42"/>
      <c r="G187" s="42"/>
      <c r="H187" s="42"/>
      <c r="I187" s="42"/>
      <c r="J187" s="42"/>
      <c r="K187" s="20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2.75" customHeight="1">
      <c r="A188" s="42"/>
      <c r="B188" s="57"/>
      <c r="C188" s="57"/>
      <c r="D188" s="58"/>
      <c r="E188" s="42"/>
      <c r="F188" s="42"/>
      <c r="G188" s="42"/>
      <c r="H188" s="42"/>
      <c r="I188" s="42"/>
      <c r="J188" s="42"/>
      <c r="K188" s="20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2.75" customHeight="1">
      <c r="A189" s="42"/>
      <c r="B189" s="57"/>
      <c r="C189" s="57"/>
      <c r="D189" s="58"/>
      <c r="E189" s="42"/>
      <c r="F189" s="42"/>
      <c r="G189" s="42"/>
      <c r="H189" s="42"/>
      <c r="I189" s="42"/>
      <c r="J189" s="42"/>
      <c r="K189" s="20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2.75" customHeight="1">
      <c r="A190" s="42"/>
      <c r="B190" s="57"/>
      <c r="C190" s="57"/>
      <c r="D190" s="58"/>
      <c r="E190" s="42"/>
      <c r="F190" s="42"/>
      <c r="G190" s="42"/>
      <c r="H190" s="42"/>
      <c r="I190" s="42"/>
      <c r="J190" s="42"/>
      <c r="K190" s="20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2.75" customHeight="1">
      <c r="A191" s="42"/>
      <c r="B191" s="57"/>
      <c r="C191" s="57"/>
      <c r="D191" s="58"/>
      <c r="E191" s="42"/>
      <c r="F191" s="42"/>
      <c r="G191" s="42"/>
      <c r="H191" s="42"/>
      <c r="I191" s="42"/>
      <c r="J191" s="42"/>
      <c r="K191" s="20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2.75" customHeight="1">
      <c r="A192" s="42"/>
      <c r="B192" s="57"/>
      <c r="C192" s="57"/>
      <c r="D192" s="58"/>
      <c r="E192" s="42"/>
      <c r="F192" s="42"/>
      <c r="G192" s="42"/>
      <c r="H192" s="42"/>
      <c r="I192" s="42"/>
      <c r="J192" s="42"/>
      <c r="K192" s="20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2.75" customHeight="1">
      <c r="A193" s="42"/>
      <c r="B193" s="57"/>
      <c r="C193" s="57"/>
      <c r="D193" s="58"/>
      <c r="E193" s="42"/>
      <c r="F193" s="42"/>
      <c r="G193" s="42"/>
      <c r="H193" s="42"/>
      <c r="I193" s="42"/>
      <c r="J193" s="42"/>
      <c r="K193" s="20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2.75" customHeight="1">
      <c r="A194" s="42"/>
      <c r="B194" s="57"/>
      <c r="C194" s="57"/>
      <c r="D194" s="58"/>
      <c r="E194" s="42"/>
      <c r="F194" s="42"/>
      <c r="G194" s="42"/>
      <c r="H194" s="42"/>
      <c r="I194" s="42"/>
      <c r="J194" s="42"/>
      <c r="K194" s="20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2.75" customHeight="1">
      <c r="A195" s="42"/>
      <c r="B195" s="57"/>
      <c r="C195" s="57"/>
      <c r="D195" s="58"/>
      <c r="E195" s="42"/>
      <c r="F195" s="42"/>
      <c r="G195" s="42"/>
      <c r="H195" s="42"/>
      <c r="I195" s="42"/>
      <c r="J195" s="42"/>
      <c r="K195" s="20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2.75" customHeight="1">
      <c r="A196" s="42"/>
      <c r="B196" s="57"/>
      <c r="C196" s="57"/>
      <c r="D196" s="58"/>
      <c r="E196" s="42"/>
      <c r="F196" s="42"/>
      <c r="G196" s="42"/>
      <c r="H196" s="42"/>
      <c r="I196" s="42"/>
      <c r="J196" s="42"/>
      <c r="K196" s="20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2.75" customHeight="1">
      <c r="A197" s="42"/>
      <c r="B197" s="57"/>
      <c r="C197" s="57"/>
      <c r="D197" s="58"/>
      <c r="E197" s="42"/>
      <c r="F197" s="42"/>
      <c r="G197" s="42"/>
      <c r="H197" s="42"/>
      <c r="I197" s="42"/>
      <c r="J197" s="42"/>
      <c r="K197" s="20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2.75" customHeight="1">
      <c r="A198" s="42"/>
      <c r="B198" s="57"/>
      <c r="C198" s="57"/>
      <c r="D198" s="58"/>
      <c r="E198" s="42"/>
      <c r="F198" s="42"/>
      <c r="G198" s="42"/>
      <c r="H198" s="42"/>
      <c r="I198" s="42"/>
      <c r="J198" s="42"/>
      <c r="K198" s="20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2.75" customHeight="1">
      <c r="A199" s="42"/>
      <c r="B199" s="57"/>
      <c r="C199" s="57"/>
      <c r="D199" s="58"/>
      <c r="E199" s="42"/>
      <c r="F199" s="42"/>
      <c r="G199" s="42"/>
      <c r="H199" s="42"/>
      <c r="I199" s="42"/>
      <c r="J199" s="42"/>
      <c r="K199" s="20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2.75" customHeight="1">
      <c r="A200" s="42"/>
      <c r="B200" s="57"/>
      <c r="C200" s="57"/>
      <c r="D200" s="58"/>
      <c r="E200" s="42"/>
      <c r="F200" s="42"/>
      <c r="G200" s="42"/>
      <c r="H200" s="42"/>
      <c r="I200" s="42"/>
      <c r="J200" s="42"/>
      <c r="K200" s="20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2.75" customHeight="1">
      <c r="A201" s="42"/>
      <c r="B201" s="57"/>
      <c r="C201" s="57"/>
      <c r="D201" s="58"/>
      <c r="E201" s="42"/>
      <c r="F201" s="42"/>
      <c r="G201" s="42"/>
      <c r="H201" s="42"/>
      <c r="I201" s="42"/>
      <c r="J201" s="42"/>
      <c r="K201" s="20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2.75" customHeight="1">
      <c r="A202" s="42"/>
      <c r="B202" s="57"/>
      <c r="C202" s="57"/>
      <c r="D202" s="58"/>
      <c r="E202" s="42"/>
      <c r="F202" s="42"/>
      <c r="G202" s="42"/>
      <c r="H202" s="42"/>
      <c r="I202" s="42"/>
      <c r="J202" s="42"/>
      <c r="K202" s="20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2.75" customHeight="1">
      <c r="A203" s="42"/>
      <c r="B203" s="57"/>
      <c r="C203" s="57"/>
      <c r="D203" s="58"/>
      <c r="E203" s="42"/>
      <c r="F203" s="42"/>
      <c r="G203" s="42"/>
      <c r="H203" s="42"/>
      <c r="I203" s="42"/>
      <c r="J203" s="42"/>
      <c r="K203" s="20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2.75" customHeight="1">
      <c r="A204" s="42"/>
      <c r="B204" s="57"/>
      <c r="C204" s="57"/>
      <c r="D204" s="58"/>
      <c r="E204" s="42"/>
      <c r="F204" s="42"/>
      <c r="G204" s="42"/>
      <c r="H204" s="42"/>
      <c r="I204" s="42"/>
      <c r="J204" s="42"/>
      <c r="K204" s="20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2.75" customHeight="1">
      <c r="A205" s="42"/>
      <c r="B205" s="57"/>
      <c r="C205" s="57"/>
      <c r="D205" s="58"/>
      <c r="E205" s="42"/>
      <c r="F205" s="42"/>
      <c r="G205" s="42"/>
      <c r="H205" s="42"/>
      <c r="I205" s="42"/>
      <c r="J205" s="42"/>
      <c r="K205" s="20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2.75" customHeight="1">
      <c r="A206" s="42"/>
      <c r="B206" s="57"/>
      <c r="C206" s="57"/>
      <c r="D206" s="58"/>
      <c r="E206" s="42"/>
      <c r="F206" s="42"/>
      <c r="G206" s="42"/>
      <c r="H206" s="42"/>
      <c r="I206" s="42"/>
      <c r="J206" s="42"/>
      <c r="K206" s="20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2.75" customHeight="1">
      <c r="A207" s="42"/>
      <c r="B207" s="57"/>
      <c r="C207" s="57"/>
      <c r="D207" s="58"/>
      <c r="E207" s="42"/>
      <c r="F207" s="42"/>
      <c r="G207" s="42"/>
      <c r="H207" s="42"/>
      <c r="I207" s="42"/>
      <c r="J207" s="42"/>
      <c r="K207" s="20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2.75" customHeight="1">
      <c r="A208" s="42"/>
      <c r="B208" s="57"/>
      <c r="C208" s="57"/>
      <c r="D208" s="58"/>
      <c r="E208" s="42"/>
      <c r="F208" s="42"/>
      <c r="G208" s="42"/>
      <c r="H208" s="42"/>
      <c r="I208" s="42"/>
      <c r="J208" s="42"/>
      <c r="K208" s="20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2.75" customHeight="1">
      <c r="A209" s="42"/>
      <c r="B209" s="57"/>
      <c r="C209" s="57"/>
      <c r="D209" s="58"/>
      <c r="E209" s="42"/>
      <c r="F209" s="42"/>
      <c r="G209" s="42"/>
      <c r="H209" s="42"/>
      <c r="I209" s="42"/>
      <c r="J209" s="42"/>
      <c r="K209" s="20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2.75" customHeight="1">
      <c r="A210" s="42"/>
      <c r="B210" s="57"/>
      <c r="C210" s="57"/>
      <c r="D210" s="58"/>
      <c r="E210" s="42"/>
      <c r="F210" s="42"/>
      <c r="G210" s="42"/>
      <c r="H210" s="42"/>
      <c r="I210" s="42"/>
      <c r="J210" s="42"/>
      <c r="K210" s="20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2.75" customHeight="1">
      <c r="A211" s="42"/>
      <c r="B211" s="57"/>
      <c r="C211" s="57"/>
      <c r="D211" s="58"/>
      <c r="E211" s="42"/>
      <c r="F211" s="42"/>
      <c r="G211" s="42"/>
      <c r="H211" s="42"/>
      <c r="I211" s="42"/>
      <c r="J211" s="42"/>
      <c r="K211" s="20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2.75" customHeight="1">
      <c r="A212" s="42"/>
      <c r="B212" s="57"/>
      <c r="C212" s="57"/>
      <c r="D212" s="58"/>
      <c r="E212" s="42"/>
      <c r="F212" s="42"/>
      <c r="G212" s="42"/>
      <c r="H212" s="42"/>
      <c r="I212" s="42"/>
      <c r="J212" s="42"/>
      <c r="K212" s="20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2.75" customHeight="1">
      <c r="A213" s="42"/>
      <c r="B213" s="57"/>
      <c r="C213" s="57"/>
      <c r="D213" s="58"/>
      <c r="E213" s="42"/>
      <c r="F213" s="42"/>
      <c r="G213" s="42"/>
      <c r="H213" s="42"/>
      <c r="I213" s="42"/>
      <c r="J213" s="42"/>
      <c r="K213" s="20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2.75" customHeight="1">
      <c r="A214" s="42"/>
      <c r="B214" s="57"/>
      <c r="C214" s="57"/>
      <c r="D214" s="58"/>
      <c r="E214" s="42"/>
      <c r="F214" s="42"/>
      <c r="G214" s="42"/>
      <c r="H214" s="42"/>
      <c r="I214" s="42"/>
      <c r="J214" s="42"/>
      <c r="K214" s="20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2.75" customHeight="1">
      <c r="A215" s="42"/>
      <c r="B215" s="57"/>
      <c r="C215" s="57"/>
      <c r="D215" s="58"/>
      <c r="E215" s="42"/>
      <c r="F215" s="42"/>
      <c r="G215" s="42"/>
      <c r="H215" s="42"/>
      <c r="I215" s="42"/>
      <c r="J215" s="42"/>
      <c r="K215" s="20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2.75" customHeight="1">
      <c r="A216" s="42"/>
      <c r="B216" s="57"/>
      <c r="C216" s="57"/>
      <c r="D216" s="58"/>
      <c r="E216" s="42"/>
      <c r="F216" s="42"/>
      <c r="G216" s="42"/>
      <c r="H216" s="42"/>
      <c r="I216" s="42"/>
      <c r="J216" s="42"/>
      <c r="K216" s="20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2.75" customHeight="1">
      <c r="A217" s="42"/>
      <c r="B217" s="57"/>
      <c r="C217" s="57"/>
      <c r="D217" s="58"/>
      <c r="E217" s="42"/>
      <c r="F217" s="42"/>
      <c r="G217" s="42"/>
      <c r="H217" s="42"/>
      <c r="I217" s="42"/>
      <c r="J217" s="42"/>
      <c r="K217" s="20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2.75" customHeight="1">
      <c r="A218" s="42"/>
      <c r="B218" s="57"/>
      <c r="C218" s="57"/>
      <c r="D218" s="58"/>
      <c r="E218" s="42"/>
      <c r="F218" s="42"/>
      <c r="G218" s="42"/>
      <c r="H218" s="42"/>
      <c r="I218" s="42"/>
      <c r="J218" s="42"/>
      <c r="K218" s="20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2.75" customHeight="1">
      <c r="A219" s="42"/>
      <c r="B219" s="57"/>
      <c r="C219" s="57"/>
      <c r="D219" s="58"/>
      <c r="E219" s="42"/>
      <c r="F219" s="42"/>
      <c r="G219" s="42"/>
      <c r="H219" s="42"/>
      <c r="I219" s="42"/>
      <c r="J219" s="42"/>
      <c r="K219" s="20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2.75" customHeight="1">
      <c r="A220" s="42"/>
      <c r="B220" s="57"/>
      <c r="C220" s="57"/>
      <c r="D220" s="58"/>
      <c r="E220" s="42"/>
      <c r="F220" s="42"/>
      <c r="G220" s="42"/>
      <c r="H220" s="42"/>
      <c r="I220" s="42"/>
      <c r="J220" s="42"/>
      <c r="K220" s="20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2.75" customHeight="1">
      <c r="A221" s="42"/>
      <c r="B221" s="57"/>
      <c r="C221" s="57"/>
      <c r="D221" s="58"/>
      <c r="E221" s="42"/>
      <c r="F221" s="42"/>
      <c r="G221" s="42"/>
      <c r="H221" s="42"/>
      <c r="I221" s="42"/>
      <c r="J221" s="42"/>
      <c r="K221" s="20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2.75" customHeight="1">
      <c r="A222" s="42"/>
      <c r="B222" s="57"/>
      <c r="C222" s="57"/>
      <c r="D222" s="58"/>
      <c r="E222" s="42"/>
      <c r="F222" s="42"/>
      <c r="G222" s="42"/>
      <c r="H222" s="42"/>
      <c r="I222" s="42"/>
      <c r="J222" s="42"/>
      <c r="K222" s="20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2.75" customHeight="1">
      <c r="A223" s="42"/>
      <c r="B223" s="57"/>
      <c r="C223" s="57"/>
      <c r="D223" s="58"/>
      <c r="E223" s="42"/>
      <c r="F223" s="42"/>
      <c r="G223" s="42"/>
      <c r="H223" s="42"/>
      <c r="I223" s="42"/>
      <c r="J223" s="42"/>
      <c r="K223" s="20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2.75" customHeight="1">
      <c r="A224" s="42"/>
      <c r="B224" s="57"/>
      <c r="C224" s="57"/>
      <c r="D224" s="58"/>
      <c r="E224" s="42"/>
      <c r="F224" s="42"/>
      <c r="G224" s="42"/>
      <c r="H224" s="42"/>
      <c r="I224" s="42"/>
      <c r="J224" s="42"/>
      <c r="K224" s="20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2.75" customHeight="1">
      <c r="A225" s="42"/>
      <c r="B225" s="57"/>
      <c r="C225" s="57"/>
      <c r="D225" s="58"/>
      <c r="E225" s="42"/>
      <c r="F225" s="42"/>
      <c r="G225" s="42"/>
      <c r="H225" s="42"/>
      <c r="I225" s="42"/>
      <c r="J225" s="42"/>
      <c r="K225" s="20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2.75" customHeight="1">
      <c r="A226" s="42"/>
      <c r="B226" s="57"/>
      <c r="C226" s="57"/>
      <c r="D226" s="58"/>
      <c r="E226" s="42"/>
      <c r="F226" s="42"/>
      <c r="G226" s="42"/>
      <c r="H226" s="42"/>
      <c r="I226" s="42"/>
      <c r="J226" s="42"/>
      <c r="K226" s="20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2.75" customHeight="1">
      <c r="A227" s="42"/>
      <c r="B227" s="57"/>
      <c r="C227" s="57"/>
      <c r="D227" s="58"/>
      <c r="E227" s="42"/>
      <c r="F227" s="42"/>
      <c r="G227" s="42"/>
      <c r="H227" s="42"/>
      <c r="I227" s="42"/>
      <c r="J227" s="42"/>
      <c r="K227" s="20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2.75" customHeight="1">
      <c r="A228" s="42"/>
      <c r="B228" s="57"/>
      <c r="C228" s="57"/>
      <c r="D228" s="58"/>
      <c r="E228" s="42"/>
      <c r="F228" s="42"/>
      <c r="G228" s="42"/>
      <c r="H228" s="42"/>
      <c r="I228" s="42"/>
      <c r="J228" s="42"/>
      <c r="K228" s="20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2.75" customHeight="1">
      <c r="A229" s="42"/>
      <c r="B229" s="57"/>
      <c r="C229" s="57"/>
      <c r="D229" s="58"/>
      <c r="E229" s="42"/>
      <c r="F229" s="42"/>
      <c r="G229" s="42"/>
      <c r="H229" s="42"/>
      <c r="I229" s="42"/>
      <c r="J229" s="42"/>
      <c r="K229" s="20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2.75" customHeight="1">
      <c r="A230" s="42"/>
      <c r="B230" s="57"/>
      <c r="C230" s="57"/>
      <c r="D230" s="58"/>
      <c r="E230" s="42"/>
      <c r="F230" s="42"/>
      <c r="G230" s="42"/>
      <c r="H230" s="42"/>
      <c r="I230" s="42"/>
      <c r="J230" s="42"/>
      <c r="K230" s="20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2.75" customHeight="1">
      <c r="A231" s="42"/>
      <c r="B231" s="57"/>
      <c r="C231" s="57"/>
      <c r="D231" s="58"/>
      <c r="E231" s="42"/>
      <c r="F231" s="42"/>
      <c r="G231" s="42"/>
      <c r="H231" s="42"/>
      <c r="I231" s="42"/>
      <c r="J231" s="42"/>
      <c r="K231" s="20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2.75" customHeight="1">
      <c r="A232" s="42"/>
      <c r="B232" s="57"/>
      <c r="C232" s="57"/>
      <c r="D232" s="58"/>
      <c r="E232" s="42"/>
      <c r="F232" s="42"/>
      <c r="G232" s="42"/>
      <c r="H232" s="42"/>
      <c r="I232" s="42"/>
      <c r="J232" s="42"/>
      <c r="K232" s="20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2.75" customHeight="1">
      <c r="A233" s="42"/>
      <c r="B233" s="57"/>
      <c r="C233" s="57"/>
      <c r="D233" s="58"/>
      <c r="E233" s="42"/>
      <c r="F233" s="42"/>
      <c r="G233" s="42"/>
      <c r="H233" s="42"/>
      <c r="I233" s="42"/>
      <c r="J233" s="42"/>
      <c r="K233" s="20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2.75" customHeight="1">
      <c r="A234" s="42"/>
      <c r="B234" s="57"/>
      <c r="C234" s="57"/>
      <c r="D234" s="58"/>
      <c r="E234" s="42"/>
      <c r="F234" s="42"/>
      <c r="G234" s="42"/>
      <c r="H234" s="42"/>
      <c r="I234" s="42"/>
      <c r="J234" s="42"/>
      <c r="K234" s="20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2.75" customHeight="1">
      <c r="A235" s="42"/>
      <c r="B235" s="57"/>
      <c r="C235" s="57"/>
      <c r="D235" s="58"/>
      <c r="E235" s="42"/>
      <c r="F235" s="42"/>
      <c r="G235" s="42"/>
      <c r="H235" s="42"/>
      <c r="I235" s="42"/>
      <c r="J235" s="42"/>
      <c r="K235" s="20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2.75" customHeight="1">
      <c r="A236" s="42"/>
      <c r="B236" s="57"/>
      <c r="C236" s="57"/>
      <c r="D236" s="58"/>
      <c r="E236" s="42"/>
      <c r="F236" s="42"/>
      <c r="G236" s="42"/>
      <c r="H236" s="42"/>
      <c r="I236" s="42"/>
      <c r="J236" s="42"/>
      <c r="K236" s="20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2.75" customHeight="1">
      <c r="A237" s="42"/>
      <c r="B237" s="57"/>
      <c r="C237" s="57"/>
      <c r="D237" s="58"/>
      <c r="E237" s="42"/>
      <c r="F237" s="42"/>
      <c r="G237" s="42"/>
      <c r="H237" s="42"/>
      <c r="I237" s="42"/>
      <c r="J237" s="42"/>
      <c r="K237" s="20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2.75" customHeight="1">
      <c r="A238" s="42"/>
      <c r="B238" s="57"/>
      <c r="C238" s="57"/>
      <c r="D238" s="58"/>
      <c r="E238" s="42"/>
      <c r="F238" s="42"/>
      <c r="G238" s="42"/>
      <c r="H238" s="42"/>
      <c r="I238" s="42"/>
      <c r="J238" s="42"/>
      <c r="K238" s="20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2.75" customHeight="1">
      <c r="A239" s="42"/>
      <c r="B239" s="57"/>
      <c r="C239" s="57"/>
      <c r="D239" s="58"/>
      <c r="E239" s="42"/>
      <c r="F239" s="42"/>
      <c r="G239" s="42"/>
      <c r="H239" s="42"/>
      <c r="I239" s="42"/>
      <c r="J239" s="42"/>
      <c r="K239" s="20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2.75" customHeight="1">
      <c r="A240" s="42"/>
      <c r="B240" s="57"/>
      <c r="C240" s="57"/>
      <c r="D240" s="58"/>
      <c r="E240" s="42"/>
      <c r="F240" s="42"/>
      <c r="G240" s="42"/>
      <c r="H240" s="42"/>
      <c r="I240" s="42"/>
      <c r="J240" s="42"/>
      <c r="K240" s="20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2.75" customHeight="1">
      <c r="A241" s="42"/>
      <c r="B241" s="57"/>
      <c r="C241" s="57"/>
      <c r="D241" s="58"/>
      <c r="E241" s="42"/>
      <c r="F241" s="42"/>
      <c r="G241" s="42"/>
      <c r="H241" s="42"/>
      <c r="I241" s="42"/>
      <c r="J241" s="42"/>
      <c r="K241" s="20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2.75" customHeight="1">
      <c r="A242" s="42"/>
      <c r="B242" s="57"/>
      <c r="C242" s="57"/>
      <c r="D242" s="58"/>
      <c r="E242" s="42"/>
      <c r="F242" s="42"/>
      <c r="G242" s="42"/>
      <c r="H242" s="42"/>
      <c r="I242" s="42"/>
      <c r="J242" s="42"/>
      <c r="K242" s="20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2.75" customHeight="1">
      <c r="A243" s="42"/>
      <c r="B243" s="57"/>
      <c r="C243" s="57"/>
      <c r="D243" s="58"/>
      <c r="E243" s="42"/>
      <c r="F243" s="42"/>
      <c r="G243" s="42"/>
      <c r="H243" s="42"/>
      <c r="I243" s="42"/>
      <c r="J243" s="42"/>
      <c r="K243" s="20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2.75" customHeight="1">
      <c r="A244" s="42"/>
      <c r="B244" s="57"/>
      <c r="C244" s="57"/>
      <c r="D244" s="58"/>
      <c r="E244" s="42"/>
      <c r="F244" s="42"/>
      <c r="G244" s="42"/>
      <c r="H244" s="42"/>
      <c r="I244" s="42"/>
      <c r="J244" s="42"/>
      <c r="K244" s="20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2.75" customHeight="1">
      <c r="A245" s="42"/>
      <c r="B245" s="57"/>
      <c r="C245" s="57"/>
      <c r="D245" s="58"/>
      <c r="E245" s="42"/>
      <c r="F245" s="42"/>
      <c r="G245" s="42"/>
      <c r="H245" s="42"/>
      <c r="I245" s="42"/>
      <c r="J245" s="42"/>
      <c r="K245" s="20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2.75" customHeight="1">
      <c r="A246" s="42"/>
      <c r="B246" s="57"/>
      <c r="C246" s="57"/>
      <c r="D246" s="58"/>
      <c r="E246" s="42"/>
      <c r="F246" s="42"/>
      <c r="G246" s="42"/>
      <c r="H246" s="42"/>
      <c r="I246" s="42"/>
      <c r="J246" s="42"/>
      <c r="K246" s="20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2.75" customHeight="1">
      <c r="A247" s="42"/>
      <c r="B247" s="57"/>
      <c r="C247" s="57"/>
      <c r="D247" s="58"/>
      <c r="E247" s="42"/>
      <c r="F247" s="42"/>
      <c r="G247" s="42"/>
      <c r="H247" s="42"/>
      <c r="I247" s="42"/>
      <c r="J247" s="42"/>
      <c r="K247" s="20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2.75" customHeight="1">
      <c r="A248" s="42"/>
      <c r="B248" s="57"/>
      <c r="C248" s="57"/>
      <c r="D248" s="58"/>
      <c r="E248" s="42"/>
      <c r="F248" s="42"/>
      <c r="G248" s="42"/>
      <c r="H248" s="42"/>
      <c r="I248" s="42"/>
      <c r="J248" s="42"/>
      <c r="K248" s="20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2.75" customHeight="1">
      <c r="A249" s="42"/>
      <c r="B249" s="57"/>
      <c r="C249" s="57"/>
      <c r="D249" s="58"/>
      <c r="E249" s="42"/>
      <c r="F249" s="42"/>
      <c r="G249" s="42"/>
      <c r="H249" s="42"/>
      <c r="I249" s="42"/>
      <c r="J249" s="42"/>
      <c r="K249" s="20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2.75" customHeight="1">
      <c r="A250" s="42"/>
      <c r="B250" s="57"/>
      <c r="C250" s="57"/>
      <c r="D250" s="58"/>
      <c r="E250" s="42"/>
      <c r="F250" s="42"/>
      <c r="G250" s="42"/>
      <c r="H250" s="42"/>
      <c r="I250" s="42"/>
      <c r="J250" s="42"/>
      <c r="K250" s="20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2.75" customHeight="1">
      <c r="A251" s="42"/>
      <c r="B251" s="57"/>
      <c r="C251" s="57"/>
      <c r="D251" s="58"/>
      <c r="E251" s="42"/>
      <c r="F251" s="42"/>
      <c r="G251" s="42"/>
      <c r="H251" s="42"/>
      <c r="I251" s="42"/>
      <c r="J251" s="42"/>
      <c r="K251" s="20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2.75" customHeight="1">
      <c r="A252" s="42"/>
      <c r="B252" s="57"/>
      <c r="C252" s="57"/>
      <c r="D252" s="58"/>
      <c r="E252" s="42"/>
      <c r="F252" s="42"/>
      <c r="G252" s="42"/>
      <c r="H252" s="42"/>
      <c r="I252" s="42"/>
      <c r="J252" s="42"/>
      <c r="K252" s="20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2.75" customHeight="1">
      <c r="A253" s="42"/>
      <c r="B253" s="57"/>
      <c r="C253" s="57"/>
      <c r="D253" s="58"/>
      <c r="E253" s="42"/>
      <c r="F253" s="42"/>
      <c r="G253" s="42"/>
      <c r="H253" s="42"/>
      <c r="I253" s="42"/>
      <c r="J253" s="42"/>
      <c r="K253" s="20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2.75" customHeight="1">
      <c r="A254" s="42"/>
      <c r="B254" s="57"/>
      <c r="C254" s="57"/>
      <c r="D254" s="58"/>
      <c r="E254" s="42"/>
      <c r="F254" s="42"/>
      <c r="G254" s="42"/>
      <c r="H254" s="42"/>
      <c r="I254" s="42"/>
      <c r="J254" s="42"/>
      <c r="K254" s="20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2.75" customHeight="1">
      <c r="A255" s="42"/>
      <c r="B255" s="57"/>
      <c r="C255" s="57"/>
      <c r="D255" s="58"/>
      <c r="E255" s="42"/>
      <c r="F255" s="42"/>
      <c r="G255" s="42"/>
      <c r="H255" s="42"/>
      <c r="I255" s="42"/>
      <c r="J255" s="42"/>
      <c r="K255" s="20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2.75" customHeight="1">
      <c r="A256" s="42"/>
      <c r="B256" s="57"/>
      <c r="C256" s="57"/>
      <c r="D256" s="58"/>
      <c r="E256" s="42"/>
      <c r="F256" s="42"/>
      <c r="G256" s="42"/>
      <c r="H256" s="42"/>
      <c r="I256" s="42"/>
      <c r="J256" s="42"/>
      <c r="K256" s="20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2.75" customHeight="1">
      <c r="A257" s="42"/>
      <c r="B257" s="57"/>
      <c r="C257" s="57"/>
      <c r="D257" s="58"/>
      <c r="E257" s="42"/>
      <c r="F257" s="42"/>
      <c r="G257" s="42"/>
      <c r="H257" s="42"/>
      <c r="I257" s="42"/>
      <c r="J257" s="42"/>
      <c r="K257" s="20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2.75" customHeight="1">
      <c r="A258" s="42"/>
      <c r="B258" s="57"/>
      <c r="C258" s="57"/>
      <c r="D258" s="58"/>
      <c r="E258" s="42"/>
      <c r="F258" s="42"/>
      <c r="G258" s="42"/>
      <c r="H258" s="42"/>
      <c r="I258" s="42"/>
      <c r="J258" s="42"/>
      <c r="K258" s="20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2.75" customHeight="1">
      <c r="A259" s="42"/>
      <c r="B259" s="57"/>
      <c r="C259" s="57"/>
      <c r="D259" s="58"/>
      <c r="E259" s="42"/>
      <c r="F259" s="42"/>
      <c r="G259" s="42"/>
      <c r="H259" s="42"/>
      <c r="I259" s="42"/>
      <c r="J259" s="42"/>
      <c r="K259" s="20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2.75" customHeight="1">
      <c r="A260" s="42"/>
      <c r="B260" s="57"/>
      <c r="C260" s="57"/>
      <c r="D260" s="58"/>
      <c r="E260" s="42"/>
      <c r="F260" s="42"/>
      <c r="G260" s="42"/>
      <c r="H260" s="42"/>
      <c r="I260" s="42"/>
      <c r="J260" s="42"/>
      <c r="K260" s="20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2.75" customHeight="1">
      <c r="A261" s="42"/>
      <c r="B261" s="57"/>
      <c r="C261" s="57"/>
      <c r="D261" s="58"/>
      <c r="E261" s="42"/>
      <c r="F261" s="42"/>
      <c r="G261" s="42"/>
      <c r="H261" s="42"/>
      <c r="I261" s="42"/>
      <c r="J261" s="42"/>
      <c r="K261" s="20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2.75" customHeight="1">
      <c r="A262" s="42"/>
      <c r="B262" s="57"/>
      <c r="C262" s="57"/>
      <c r="D262" s="58"/>
      <c r="E262" s="42"/>
      <c r="F262" s="42"/>
      <c r="G262" s="42"/>
      <c r="H262" s="42"/>
      <c r="I262" s="42"/>
      <c r="J262" s="42"/>
      <c r="K262" s="20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2.75" customHeight="1">
      <c r="A263" s="42"/>
      <c r="B263" s="57"/>
      <c r="C263" s="57"/>
      <c r="D263" s="58"/>
      <c r="E263" s="42"/>
      <c r="F263" s="42"/>
      <c r="G263" s="42"/>
      <c r="H263" s="42"/>
      <c r="I263" s="42"/>
      <c r="J263" s="42"/>
      <c r="K263" s="20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2.75" customHeight="1">
      <c r="A264" s="42"/>
      <c r="B264" s="57"/>
      <c r="C264" s="57"/>
      <c r="D264" s="58"/>
      <c r="E264" s="42"/>
      <c r="F264" s="42"/>
      <c r="G264" s="42"/>
      <c r="H264" s="42"/>
      <c r="I264" s="42"/>
      <c r="J264" s="42"/>
      <c r="K264" s="20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2.75" customHeight="1">
      <c r="A265" s="42"/>
      <c r="B265" s="57"/>
      <c r="C265" s="57"/>
      <c r="D265" s="58"/>
      <c r="E265" s="42"/>
      <c r="F265" s="42"/>
      <c r="G265" s="42"/>
      <c r="H265" s="42"/>
      <c r="I265" s="42"/>
      <c r="J265" s="42"/>
      <c r="K265" s="20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2.75" customHeight="1">
      <c r="A266" s="42"/>
      <c r="B266" s="57"/>
      <c r="C266" s="57"/>
      <c r="D266" s="58"/>
      <c r="E266" s="42"/>
      <c r="F266" s="42"/>
      <c r="G266" s="42"/>
      <c r="H266" s="42"/>
      <c r="I266" s="42"/>
      <c r="J266" s="42"/>
      <c r="K266" s="20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2.75" customHeight="1">
      <c r="A267" s="42"/>
      <c r="B267" s="57"/>
      <c r="C267" s="57"/>
      <c r="D267" s="58"/>
      <c r="E267" s="42"/>
      <c r="F267" s="42"/>
      <c r="G267" s="42"/>
      <c r="H267" s="42"/>
      <c r="I267" s="42"/>
      <c r="J267" s="42"/>
      <c r="K267" s="20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2.75" customHeight="1">
      <c r="A268" s="42"/>
      <c r="B268" s="57"/>
      <c r="C268" s="57"/>
      <c r="D268" s="58"/>
      <c r="E268" s="42"/>
      <c r="F268" s="42"/>
      <c r="G268" s="42"/>
      <c r="H268" s="42"/>
      <c r="I268" s="42"/>
      <c r="J268" s="42"/>
      <c r="K268" s="20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2.75" customHeight="1">
      <c r="A269" s="42"/>
      <c r="B269" s="57"/>
      <c r="C269" s="57"/>
      <c r="D269" s="58"/>
      <c r="E269" s="42"/>
      <c r="F269" s="42"/>
      <c r="G269" s="42"/>
      <c r="H269" s="42"/>
      <c r="I269" s="42"/>
      <c r="J269" s="42"/>
      <c r="K269" s="20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2.75" customHeight="1">
      <c r="A270" s="42"/>
      <c r="B270" s="57"/>
      <c r="C270" s="57"/>
      <c r="D270" s="58"/>
      <c r="E270" s="42"/>
      <c r="F270" s="42"/>
      <c r="G270" s="42"/>
      <c r="H270" s="42"/>
      <c r="I270" s="42"/>
      <c r="J270" s="42"/>
      <c r="K270" s="20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2.75" customHeight="1">
      <c r="A271" s="42"/>
      <c r="B271" s="57"/>
      <c r="C271" s="57"/>
      <c r="D271" s="58"/>
      <c r="E271" s="42"/>
      <c r="F271" s="42"/>
      <c r="G271" s="42"/>
      <c r="H271" s="42"/>
      <c r="I271" s="42"/>
      <c r="J271" s="42"/>
      <c r="K271" s="20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2.75" customHeight="1">
      <c r="A272" s="42"/>
      <c r="B272" s="57"/>
      <c r="C272" s="57"/>
      <c r="D272" s="58"/>
      <c r="E272" s="42"/>
      <c r="F272" s="42"/>
      <c r="G272" s="42"/>
      <c r="H272" s="42"/>
      <c r="I272" s="42"/>
      <c r="J272" s="42"/>
      <c r="K272" s="20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2.75" customHeight="1">
      <c r="A273" s="42"/>
      <c r="B273" s="57"/>
      <c r="C273" s="57"/>
      <c r="D273" s="58"/>
      <c r="E273" s="42"/>
      <c r="F273" s="42"/>
      <c r="G273" s="42"/>
      <c r="H273" s="42"/>
      <c r="I273" s="42"/>
      <c r="J273" s="42"/>
      <c r="K273" s="20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2.75" customHeight="1">
      <c r="A274" s="42"/>
      <c r="B274" s="57"/>
      <c r="C274" s="57"/>
      <c r="D274" s="58"/>
      <c r="E274" s="42"/>
      <c r="F274" s="42"/>
      <c r="G274" s="42"/>
      <c r="H274" s="42"/>
      <c r="I274" s="42"/>
      <c r="J274" s="42"/>
      <c r="K274" s="20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2.75" customHeight="1">
      <c r="A275" s="42"/>
      <c r="B275" s="57"/>
      <c r="C275" s="57"/>
      <c r="D275" s="58"/>
      <c r="E275" s="42"/>
      <c r="F275" s="42"/>
      <c r="G275" s="42"/>
      <c r="H275" s="42"/>
      <c r="I275" s="42"/>
      <c r="J275" s="42"/>
      <c r="K275" s="20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2.75" customHeight="1">
      <c r="A276" s="42"/>
      <c r="B276" s="57"/>
      <c r="C276" s="57"/>
      <c r="D276" s="58"/>
      <c r="E276" s="42"/>
      <c r="F276" s="42"/>
      <c r="G276" s="42"/>
      <c r="H276" s="42"/>
      <c r="I276" s="42"/>
      <c r="J276" s="42"/>
      <c r="K276" s="20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2.75" customHeight="1">
      <c r="A277" s="42"/>
      <c r="B277" s="57"/>
      <c r="C277" s="57"/>
      <c r="D277" s="58"/>
      <c r="E277" s="42"/>
      <c r="F277" s="42"/>
      <c r="G277" s="42"/>
      <c r="H277" s="42"/>
      <c r="I277" s="42"/>
      <c r="J277" s="42"/>
      <c r="K277" s="20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2.75" customHeight="1">
      <c r="A278" s="42"/>
      <c r="B278" s="57"/>
      <c r="C278" s="57"/>
      <c r="D278" s="58"/>
      <c r="E278" s="42"/>
      <c r="F278" s="42"/>
      <c r="G278" s="42"/>
      <c r="H278" s="42"/>
      <c r="I278" s="42"/>
      <c r="J278" s="42"/>
      <c r="K278" s="20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2.75" customHeight="1">
      <c r="A279" s="42"/>
      <c r="B279" s="57"/>
      <c r="C279" s="57"/>
      <c r="D279" s="58"/>
      <c r="E279" s="42"/>
      <c r="F279" s="42"/>
      <c r="G279" s="42"/>
      <c r="H279" s="42"/>
      <c r="I279" s="42"/>
      <c r="J279" s="42"/>
      <c r="K279" s="20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2.75" customHeight="1">
      <c r="A280" s="42"/>
      <c r="B280" s="57"/>
      <c r="C280" s="57"/>
      <c r="D280" s="58"/>
      <c r="E280" s="42"/>
      <c r="F280" s="42"/>
      <c r="G280" s="42"/>
      <c r="H280" s="42"/>
      <c r="I280" s="42"/>
      <c r="J280" s="42"/>
      <c r="K280" s="20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2.75" customHeight="1">
      <c r="A281" s="42"/>
      <c r="B281" s="57"/>
      <c r="C281" s="57"/>
      <c r="D281" s="58"/>
      <c r="E281" s="42"/>
      <c r="F281" s="42"/>
      <c r="G281" s="42"/>
      <c r="H281" s="42"/>
      <c r="I281" s="42"/>
      <c r="J281" s="42"/>
      <c r="K281" s="20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2.75" customHeight="1">
      <c r="A282" s="42"/>
      <c r="B282" s="57"/>
      <c r="C282" s="57"/>
      <c r="D282" s="58"/>
      <c r="E282" s="42"/>
      <c r="F282" s="42"/>
      <c r="G282" s="42"/>
      <c r="H282" s="42"/>
      <c r="I282" s="42"/>
      <c r="J282" s="42"/>
      <c r="K282" s="20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2.75" customHeight="1">
      <c r="A283" s="42"/>
      <c r="B283" s="57"/>
      <c r="C283" s="57"/>
      <c r="D283" s="58"/>
      <c r="E283" s="42"/>
      <c r="F283" s="42"/>
      <c r="G283" s="42"/>
      <c r="H283" s="42"/>
      <c r="I283" s="42"/>
      <c r="J283" s="42"/>
      <c r="K283" s="20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2.75" customHeight="1">
      <c r="A284" s="42"/>
      <c r="B284" s="57"/>
      <c r="C284" s="57"/>
      <c r="D284" s="58"/>
      <c r="E284" s="42"/>
      <c r="F284" s="42"/>
      <c r="G284" s="42"/>
      <c r="H284" s="42"/>
      <c r="I284" s="42"/>
      <c r="J284" s="42"/>
      <c r="K284" s="20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2.75" customHeight="1">
      <c r="A285" s="42"/>
      <c r="B285" s="57"/>
      <c r="C285" s="57"/>
      <c r="D285" s="58"/>
      <c r="E285" s="42"/>
      <c r="F285" s="42"/>
      <c r="G285" s="42"/>
      <c r="H285" s="42"/>
      <c r="I285" s="42"/>
      <c r="J285" s="42"/>
      <c r="K285" s="20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2.75" customHeight="1">
      <c r="A286" s="42"/>
      <c r="B286" s="57"/>
      <c r="C286" s="57"/>
      <c r="D286" s="58"/>
      <c r="E286" s="42"/>
      <c r="F286" s="42"/>
      <c r="G286" s="42"/>
      <c r="H286" s="42"/>
      <c r="I286" s="42"/>
      <c r="J286" s="42"/>
      <c r="K286" s="20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2.75" customHeight="1">
      <c r="A287" s="42"/>
      <c r="B287" s="57"/>
      <c r="C287" s="57"/>
      <c r="D287" s="58"/>
      <c r="E287" s="42"/>
      <c r="F287" s="42"/>
      <c r="G287" s="42"/>
      <c r="H287" s="42"/>
      <c r="I287" s="42"/>
      <c r="J287" s="42"/>
      <c r="K287" s="20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2.75" customHeight="1">
      <c r="A288" s="42"/>
      <c r="B288" s="57"/>
      <c r="C288" s="57"/>
      <c r="D288" s="58"/>
      <c r="E288" s="42"/>
      <c r="F288" s="42"/>
      <c r="G288" s="42"/>
      <c r="H288" s="42"/>
      <c r="I288" s="42"/>
      <c r="J288" s="42"/>
      <c r="K288" s="20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2.75" customHeight="1">
      <c r="A289" s="42"/>
      <c r="B289" s="57"/>
      <c r="C289" s="57"/>
      <c r="D289" s="58"/>
      <c r="E289" s="42"/>
      <c r="F289" s="42"/>
      <c r="G289" s="42"/>
      <c r="H289" s="42"/>
      <c r="I289" s="42"/>
      <c r="J289" s="42"/>
      <c r="K289" s="20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2.75" customHeight="1">
      <c r="A290" s="42"/>
      <c r="B290" s="57"/>
      <c r="C290" s="57"/>
      <c r="D290" s="58"/>
      <c r="E290" s="42"/>
      <c r="F290" s="42"/>
      <c r="G290" s="42"/>
      <c r="H290" s="42"/>
      <c r="I290" s="42"/>
      <c r="J290" s="42"/>
      <c r="K290" s="20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2.75" customHeight="1">
      <c r="A291" s="42"/>
      <c r="B291" s="57"/>
      <c r="C291" s="57"/>
      <c r="D291" s="58"/>
      <c r="E291" s="42"/>
      <c r="F291" s="42"/>
      <c r="G291" s="42"/>
      <c r="H291" s="42"/>
      <c r="I291" s="42"/>
      <c r="J291" s="42"/>
      <c r="K291" s="20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2.75" customHeight="1">
      <c r="A292" s="42"/>
      <c r="B292" s="57"/>
      <c r="C292" s="57"/>
      <c r="D292" s="58"/>
      <c r="E292" s="42"/>
      <c r="F292" s="42"/>
      <c r="G292" s="42"/>
      <c r="H292" s="42"/>
      <c r="I292" s="42"/>
      <c r="J292" s="42"/>
      <c r="K292" s="20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2.75" customHeight="1">
      <c r="A293" s="42"/>
      <c r="B293" s="57"/>
      <c r="C293" s="57"/>
      <c r="D293" s="58"/>
      <c r="E293" s="42"/>
      <c r="F293" s="42"/>
      <c r="G293" s="42"/>
      <c r="H293" s="42"/>
      <c r="I293" s="42"/>
      <c r="J293" s="42"/>
      <c r="K293" s="20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2.75" customHeight="1">
      <c r="A294" s="42"/>
      <c r="B294" s="57"/>
      <c r="C294" s="57"/>
      <c r="D294" s="58"/>
      <c r="E294" s="42"/>
      <c r="F294" s="42"/>
      <c r="G294" s="42"/>
      <c r="H294" s="42"/>
      <c r="I294" s="42"/>
      <c r="J294" s="42"/>
      <c r="K294" s="20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2.75" customHeight="1">
      <c r="A295" s="42"/>
      <c r="B295" s="57"/>
      <c r="C295" s="57"/>
      <c r="D295" s="58"/>
      <c r="E295" s="42"/>
      <c r="F295" s="42"/>
      <c r="G295" s="42"/>
      <c r="H295" s="42"/>
      <c r="I295" s="42"/>
      <c r="J295" s="42"/>
      <c r="K295" s="20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2.75" customHeight="1">
      <c r="A296" s="42"/>
      <c r="B296" s="57"/>
      <c r="C296" s="57"/>
      <c r="D296" s="58"/>
      <c r="E296" s="42"/>
      <c r="F296" s="42"/>
      <c r="G296" s="42"/>
      <c r="H296" s="42"/>
      <c r="I296" s="42"/>
      <c r="J296" s="42"/>
      <c r="K296" s="20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2.75" customHeight="1">
      <c r="A297" s="42"/>
      <c r="B297" s="57"/>
      <c r="C297" s="57"/>
      <c r="D297" s="58"/>
      <c r="E297" s="42"/>
      <c r="F297" s="42"/>
      <c r="G297" s="42"/>
      <c r="H297" s="42"/>
      <c r="I297" s="42"/>
      <c r="J297" s="42"/>
      <c r="K297" s="20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2.75" customHeight="1">
      <c r="A298" s="42"/>
      <c r="B298" s="57"/>
      <c r="C298" s="57"/>
      <c r="D298" s="58"/>
      <c r="E298" s="42"/>
      <c r="F298" s="42"/>
      <c r="G298" s="42"/>
      <c r="H298" s="42"/>
      <c r="I298" s="42"/>
      <c r="J298" s="42"/>
      <c r="K298" s="20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2.75" customHeight="1">
      <c r="A299" s="42"/>
      <c r="B299" s="57"/>
      <c r="C299" s="57"/>
      <c r="D299" s="58"/>
      <c r="E299" s="42"/>
      <c r="F299" s="42"/>
      <c r="G299" s="42"/>
      <c r="H299" s="42"/>
      <c r="I299" s="42"/>
      <c r="J299" s="42"/>
      <c r="K299" s="20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2.75" customHeight="1">
      <c r="A300" s="42"/>
      <c r="B300" s="57"/>
      <c r="C300" s="57"/>
      <c r="D300" s="58"/>
      <c r="E300" s="42"/>
      <c r="F300" s="42"/>
      <c r="G300" s="42"/>
      <c r="H300" s="42"/>
      <c r="I300" s="42"/>
      <c r="J300" s="42"/>
      <c r="K300" s="20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2.75" customHeight="1">
      <c r="A301" s="42"/>
      <c r="B301" s="57"/>
      <c r="C301" s="57"/>
      <c r="D301" s="58"/>
      <c r="E301" s="42"/>
      <c r="F301" s="42"/>
      <c r="G301" s="42"/>
      <c r="H301" s="42"/>
      <c r="I301" s="42"/>
      <c r="J301" s="42"/>
      <c r="K301" s="20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2.75" customHeight="1">
      <c r="A302" s="42"/>
      <c r="B302" s="57"/>
      <c r="C302" s="57"/>
      <c r="D302" s="58"/>
      <c r="E302" s="42"/>
      <c r="F302" s="42"/>
      <c r="G302" s="42"/>
      <c r="H302" s="42"/>
      <c r="I302" s="42"/>
      <c r="J302" s="42"/>
      <c r="K302" s="20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2.75" customHeight="1">
      <c r="A303" s="42"/>
      <c r="B303" s="57"/>
      <c r="C303" s="57"/>
      <c r="D303" s="58"/>
      <c r="E303" s="42"/>
      <c r="F303" s="42"/>
      <c r="G303" s="42"/>
      <c r="H303" s="42"/>
      <c r="I303" s="42"/>
      <c r="J303" s="42"/>
      <c r="K303" s="20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2.75" customHeight="1">
      <c r="A304" s="42"/>
      <c r="B304" s="57"/>
      <c r="C304" s="57"/>
      <c r="D304" s="58"/>
      <c r="E304" s="42"/>
      <c r="F304" s="42"/>
      <c r="G304" s="42"/>
      <c r="H304" s="42"/>
      <c r="I304" s="42"/>
      <c r="J304" s="42"/>
      <c r="K304" s="20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2.75" customHeight="1">
      <c r="A305" s="42"/>
      <c r="B305" s="57"/>
      <c r="C305" s="57"/>
      <c r="D305" s="58"/>
      <c r="E305" s="42"/>
      <c r="F305" s="42"/>
      <c r="G305" s="42"/>
      <c r="H305" s="42"/>
      <c r="I305" s="42"/>
      <c r="J305" s="42"/>
      <c r="K305" s="20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2.75" customHeight="1">
      <c r="A306" s="42"/>
      <c r="B306" s="57"/>
      <c r="C306" s="57"/>
      <c r="D306" s="58"/>
      <c r="E306" s="42"/>
      <c r="F306" s="42"/>
      <c r="G306" s="42"/>
      <c r="H306" s="42"/>
      <c r="I306" s="42"/>
      <c r="J306" s="42"/>
      <c r="K306" s="20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2.75" customHeight="1">
      <c r="A307" s="42"/>
      <c r="B307" s="57"/>
      <c r="C307" s="57"/>
      <c r="D307" s="58"/>
      <c r="E307" s="42"/>
      <c r="F307" s="42"/>
      <c r="G307" s="42"/>
      <c r="H307" s="42"/>
      <c r="I307" s="42"/>
      <c r="J307" s="42"/>
      <c r="K307" s="20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2.75" customHeight="1">
      <c r="A308" s="42"/>
      <c r="B308" s="57"/>
      <c r="C308" s="57"/>
      <c r="D308" s="58"/>
      <c r="E308" s="42"/>
      <c r="F308" s="42"/>
      <c r="G308" s="42"/>
      <c r="H308" s="42"/>
      <c r="I308" s="42"/>
      <c r="J308" s="42"/>
      <c r="K308" s="20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2.75" customHeight="1">
      <c r="A309" s="42"/>
      <c r="B309" s="57"/>
      <c r="C309" s="57"/>
      <c r="D309" s="58"/>
      <c r="E309" s="42"/>
      <c r="F309" s="42"/>
      <c r="G309" s="42"/>
      <c r="H309" s="42"/>
      <c r="I309" s="42"/>
      <c r="J309" s="42"/>
      <c r="K309" s="20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2.75" customHeight="1">
      <c r="A310" s="42"/>
      <c r="B310" s="57"/>
      <c r="C310" s="57"/>
      <c r="D310" s="58"/>
      <c r="E310" s="42"/>
      <c r="F310" s="42"/>
      <c r="G310" s="42"/>
      <c r="H310" s="42"/>
      <c r="I310" s="42"/>
      <c r="J310" s="42"/>
      <c r="K310" s="20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2.75" customHeight="1">
      <c r="A311" s="42"/>
      <c r="B311" s="57"/>
      <c r="C311" s="57"/>
      <c r="D311" s="58"/>
      <c r="E311" s="42"/>
      <c r="F311" s="42"/>
      <c r="G311" s="42"/>
      <c r="H311" s="42"/>
      <c r="I311" s="42"/>
      <c r="J311" s="42"/>
      <c r="K311" s="20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2.75" customHeight="1">
      <c r="A312" s="42"/>
      <c r="B312" s="57"/>
      <c r="C312" s="57"/>
      <c r="D312" s="58"/>
      <c r="E312" s="42"/>
      <c r="F312" s="42"/>
      <c r="G312" s="42"/>
      <c r="H312" s="42"/>
      <c r="I312" s="42"/>
      <c r="J312" s="42"/>
      <c r="K312" s="20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2.75" customHeight="1">
      <c r="A313" s="42"/>
      <c r="B313" s="57"/>
      <c r="C313" s="57"/>
      <c r="D313" s="58"/>
      <c r="E313" s="42"/>
      <c r="F313" s="42"/>
      <c r="G313" s="42"/>
      <c r="H313" s="42"/>
      <c r="I313" s="42"/>
      <c r="J313" s="42"/>
      <c r="K313" s="20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2.75" customHeight="1">
      <c r="A314" s="42"/>
      <c r="B314" s="57"/>
      <c r="C314" s="57"/>
      <c r="D314" s="58"/>
      <c r="E314" s="42"/>
      <c r="F314" s="42"/>
      <c r="G314" s="42"/>
      <c r="H314" s="42"/>
      <c r="I314" s="42"/>
      <c r="J314" s="42"/>
      <c r="K314" s="20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2.75" customHeight="1">
      <c r="A315" s="42"/>
      <c r="B315" s="57"/>
      <c r="C315" s="57"/>
      <c r="D315" s="58"/>
      <c r="E315" s="42"/>
      <c r="F315" s="42"/>
      <c r="G315" s="42"/>
      <c r="H315" s="42"/>
      <c r="I315" s="42"/>
      <c r="J315" s="42"/>
      <c r="K315" s="20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2.75" customHeight="1">
      <c r="A316" s="42"/>
      <c r="B316" s="57"/>
      <c r="C316" s="57"/>
      <c r="D316" s="58"/>
      <c r="E316" s="42"/>
      <c r="F316" s="42"/>
      <c r="G316" s="42"/>
      <c r="H316" s="42"/>
      <c r="I316" s="42"/>
      <c r="J316" s="42"/>
      <c r="K316" s="20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2.75" customHeight="1">
      <c r="A317" s="42"/>
      <c r="B317" s="57"/>
      <c r="C317" s="57"/>
      <c r="D317" s="58"/>
      <c r="E317" s="42"/>
      <c r="F317" s="42"/>
      <c r="G317" s="42"/>
      <c r="H317" s="42"/>
      <c r="I317" s="42"/>
      <c r="J317" s="42"/>
      <c r="K317" s="20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2.75" customHeight="1">
      <c r="A318" s="42"/>
      <c r="B318" s="57"/>
      <c r="C318" s="57"/>
      <c r="D318" s="58"/>
      <c r="E318" s="42"/>
      <c r="F318" s="42"/>
      <c r="G318" s="42"/>
      <c r="H318" s="42"/>
      <c r="I318" s="42"/>
      <c r="J318" s="42"/>
      <c r="K318" s="20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2.75" customHeight="1">
      <c r="A319" s="42"/>
      <c r="B319" s="57"/>
      <c r="C319" s="57"/>
      <c r="D319" s="58"/>
      <c r="E319" s="42"/>
      <c r="F319" s="42"/>
      <c r="G319" s="42"/>
      <c r="H319" s="42"/>
      <c r="I319" s="42"/>
      <c r="J319" s="42"/>
      <c r="K319" s="20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2.75" customHeight="1">
      <c r="A320" s="42"/>
      <c r="B320" s="57"/>
      <c r="C320" s="57"/>
      <c r="D320" s="58"/>
      <c r="E320" s="42"/>
      <c r="F320" s="42"/>
      <c r="G320" s="42"/>
      <c r="H320" s="42"/>
      <c r="I320" s="42"/>
      <c r="J320" s="42"/>
      <c r="K320" s="20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2.75" customHeight="1">
      <c r="A321" s="42"/>
      <c r="B321" s="57"/>
      <c r="C321" s="57"/>
      <c r="D321" s="58"/>
      <c r="E321" s="42"/>
      <c r="F321" s="42"/>
      <c r="G321" s="42"/>
      <c r="H321" s="42"/>
      <c r="I321" s="42"/>
      <c r="J321" s="42"/>
      <c r="K321" s="20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2.75" customHeight="1">
      <c r="A322" s="42"/>
      <c r="B322" s="57"/>
      <c r="C322" s="57"/>
      <c r="D322" s="58"/>
      <c r="E322" s="42"/>
      <c r="F322" s="42"/>
      <c r="G322" s="42"/>
      <c r="H322" s="42"/>
      <c r="I322" s="42"/>
      <c r="J322" s="42"/>
      <c r="K322" s="20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2.75" customHeight="1">
      <c r="A323" s="42"/>
      <c r="B323" s="57"/>
      <c r="C323" s="57"/>
      <c r="D323" s="58"/>
      <c r="E323" s="42"/>
      <c r="F323" s="42"/>
      <c r="G323" s="42"/>
      <c r="H323" s="42"/>
      <c r="I323" s="42"/>
      <c r="J323" s="42"/>
      <c r="K323" s="20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2.75" customHeight="1">
      <c r="A324" s="42"/>
      <c r="B324" s="57"/>
      <c r="C324" s="57"/>
      <c r="D324" s="58"/>
      <c r="E324" s="42"/>
      <c r="F324" s="42"/>
      <c r="G324" s="42"/>
      <c r="H324" s="42"/>
      <c r="I324" s="42"/>
      <c r="J324" s="42"/>
      <c r="K324" s="20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2.75" customHeight="1">
      <c r="A325" s="42"/>
      <c r="B325" s="57"/>
      <c r="C325" s="57"/>
      <c r="D325" s="58"/>
      <c r="E325" s="42"/>
      <c r="F325" s="42"/>
      <c r="G325" s="42"/>
      <c r="H325" s="42"/>
      <c r="I325" s="42"/>
      <c r="J325" s="42"/>
      <c r="K325" s="20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2.75" customHeight="1">
      <c r="A326" s="42"/>
      <c r="B326" s="57"/>
      <c r="C326" s="57"/>
      <c r="D326" s="58"/>
      <c r="E326" s="42"/>
      <c r="F326" s="42"/>
      <c r="G326" s="42"/>
      <c r="H326" s="42"/>
      <c r="I326" s="42"/>
      <c r="J326" s="42"/>
      <c r="K326" s="20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2.75" customHeight="1">
      <c r="A327" s="42"/>
      <c r="B327" s="57"/>
      <c r="C327" s="57"/>
      <c r="D327" s="58"/>
      <c r="E327" s="42"/>
      <c r="F327" s="42"/>
      <c r="G327" s="42"/>
      <c r="H327" s="42"/>
      <c r="I327" s="42"/>
      <c r="J327" s="42"/>
      <c r="K327" s="20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2.75" customHeight="1">
      <c r="A328" s="42"/>
      <c r="B328" s="57"/>
      <c r="C328" s="57"/>
      <c r="D328" s="58"/>
      <c r="E328" s="42"/>
      <c r="F328" s="42"/>
      <c r="G328" s="42"/>
      <c r="H328" s="42"/>
      <c r="I328" s="42"/>
      <c r="J328" s="42"/>
      <c r="K328" s="20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2.75" customHeight="1">
      <c r="A329" s="42"/>
      <c r="B329" s="57"/>
      <c r="C329" s="57"/>
      <c r="D329" s="58"/>
      <c r="E329" s="42"/>
      <c r="F329" s="42"/>
      <c r="G329" s="42"/>
      <c r="H329" s="42"/>
      <c r="I329" s="42"/>
      <c r="J329" s="42"/>
      <c r="K329" s="20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2.75" customHeight="1">
      <c r="A330" s="42"/>
      <c r="B330" s="57"/>
      <c r="C330" s="57"/>
      <c r="D330" s="58"/>
      <c r="E330" s="42"/>
      <c r="F330" s="42"/>
      <c r="G330" s="42"/>
      <c r="H330" s="42"/>
      <c r="I330" s="42"/>
      <c r="J330" s="42"/>
      <c r="K330" s="20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2.75" customHeight="1">
      <c r="A331" s="42"/>
      <c r="B331" s="57"/>
      <c r="C331" s="57"/>
      <c r="D331" s="58"/>
      <c r="E331" s="42"/>
      <c r="F331" s="42"/>
      <c r="G331" s="42"/>
      <c r="H331" s="42"/>
      <c r="I331" s="42"/>
      <c r="J331" s="42"/>
      <c r="K331" s="20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2.75" customHeight="1">
      <c r="A332" s="42"/>
      <c r="B332" s="57"/>
      <c r="C332" s="57"/>
      <c r="D332" s="58"/>
      <c r="E332" s="42"/>
      <c r="F332" s="42"/>
      <c r="G332" s="42"/>
      <c r="H332" s="42"/>
      <c r="I332" s="42"/>
      <c r="J332" s="42"/>
      <c r="K332" s="20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2.75" customHeight="1">
      <c r="A333" s="42"/>
      <c r="B333" s="57"/>
      <c r="C333" s="57"/>
      <c r="D333" s="58"/>
      <c r="E333" s="42"/>
      <c r="F333" s="42"/>
      <c r="G333" s="42"/>
      <c r="H333" s="42"/>
      <c r="I333" s="42"/>
      <c r="J333" s="42"/>
      <c r="K333" s="20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2.75" customHeight="1">
      <c r="A334" s="42"/>
      <c r="B334" s="57"/>
      <c r="C334" s="57"/>
      <c r="D334" s="58"/>
      <c r="E334" s="42"/>
      <c r="F334" s="42"/>
      <c r="G334" s="42"/>
      <c r="H334" s="42"/>
      <c r="I334" s="42"/>
      <c r="J334" s="42"/>
      <c r="K334" s="20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2.75" customHeight="1">
      <c r="A335" s="42"/>
      <c r="B335" s="57"/>
      <c r="C335" s="57"/>
      <c r="D335" s="58"/>
      <c r="E335" s="42"/>
      <c r="F335" s="42"/>
      <c r="G335" s="42"/>
      <c r="H335" s="42"/>
      <c r="I335" s="42"/>
      <c r="J335" s="42"/>
      <c r="K335" s="20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2.75" customHeight="1">
      <c r="A336" s="42"/>
      <c r="B336" s="57"/>
      <c r="C336" s="57"/>
      <c r="D336" s="58"/>
      <c r="E336" s="42"/>
      <c r="F336" s="42"/>
      <c r="G336" s="42"/>
      <c r="H336" s="42"/>
      <c r="I336" s="42"/>
      <c r="J336" s="42"/>
      <c r="K336" s="20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2.75" customHeight="1">
      <c r="A337" s="42"/>
      <c r="B337" s="57"/>
      <c r="C337" s="57"/>
      <c r="D337" s="58"/>
      <c r="E337" s="42"/>
      <c r="F337" s="42"/>
      <c r="G337" s="42"/>
      <c r="H337" s="42"/>
      <c r="I337" s="42"/>
      <c r="J337" s="42"/>
      <c r="K337" s="20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2.75" customHeight="1">
      <c r="A338" s="42"/>
      <c r="B338" s="57"/>
      <c r="C338" s="57"/>
      <c r="D338" s="58"/>
      <c r="E338" s="42"/>
      <c r="F338" s="42"/>
      <c r="G338" s="42"/>
      <c r="H338" s="42"/>
      <c r="I338" s="42"/>
      <c r="J338" s="42"/>
      <c r="K338" s="20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2.75" customHeight="1">
      <c r="A339" s="42"/>
      <c r="B339" s="57"/>
      <c r="C339" s="57"/>
      <c r="D339" s="58"/>
      <c r="E339" s="42"/>
      <c r="F339" s="42"/>
      <c r="G339" s="42"/>
      <c r="H339" s="42"/>
      <c r="I339" s="42"/>
      <c r="J339" s="42"/>
      <c r="K339" s="20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2.75" customHeight="1">
      <c r="A340" s="42"/>
      <c r="B340" s="57"/>
      <c r="C340" s="57"/>
      <c r="D340" s="58"/>
      <c r="E340" s="42"/>
      <c r="F340" s="42"/>
      <c r="G340" s="42"/>
      <c r="H340" s="42"/>
      <c r="I340" s="42"/>
      <c r="J340" s="42"/>
      <c r="K340" s="20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2.75" customHeight="1">
      <c r="A341" s="42"/>
      <c r="B341" s="57"/>
      <c r="C341" s="57"/>
      <c r="D341" s="58"/>
      <c r="E341" s="42"/>
      <c r="F341" s="42"/>
      <c r="G341" s="42"/>
      <c r="H341" s="42"/>
      <c r="I341" s="42"/>
      <c r="J341" s="42"/>
      <c r="K341" s="20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2.75" customHeight="1">
      <c r="A342" s="42"/>
      <c r="B342" s="57"/>
      <c r="C342" s="57"/>
      <c r="D342" s="58"/>
      <c r="E342" s="42"/>
      <c r="F342" s="42"/>
      <c r="G342" s="42"/>
      <c r="H342" s="42"/>
      <c r="I342" s="42"/>
      <c r="J342" s="42"/>
      <c r="K342" s="20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2.75" customHeight="1">
      <c r="A343" s="42"/>
      <c r="B343" s="57"/>
      <c r="C343" s="57"/>
      <c r="D343" s="58"/>
      <c r="E343" s="42"/>
      <c r="F343" s="42"/>
      <c r="G343" s="42"/>
      <c r="H343" s="42"/>
      <c r="I343" s="42"/>
      <c r="J343" s="42"/>
      <c r="K343" s="20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2.75" customHeight="1">
      <c r="A344" s="42"/>
      <c r="B344" s="57"/>
      <c r="C344" s="57"/>
      <c r="D344" s="58"/>
      <c r="E344" s="42"/>
      <c r="F344" s="42"/>
      <c r="G344" s="42"/>
      <c r="H344" s="42"/>
      <c r="I344" s="42"/>
      <c r="J344" s="42"/>
      <c r="K344" s="20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2.75" customHeight="1">
      <c r="A345" s="42"/>
      <c r="B345" s="57"/>
      <c r="C345" s="57"/>
      <c r="D345" s="58"/>
      <c r="E345" s="42"/>
      <c r="F345" s="42"/>
      <c r="G345" s="42"/>
      <c r="H345" s="42"/>
      <c r="I345" s="42"/>
      <c r="J345" s="42"/>
      <c r="K345" s="20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2.75" customHeight="1">
      <c r="A346" s="42"/>
      <c r="B346" s="57"/>
      <c r="C346" s="57"/>
      <c r="D346" s="58"/>
      <c r="E346" s="42"/>
      <c r="F346" s="42"/>
      <c r="G346" s="42"/>
      <c r="H346" s="42"/>
      <c r="I346" s="42"/>
      <c r="J346" s="42"/>
      <c r="K346" s="20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2.75" customHeight="1">
      <c r="A347" s="42"/>
      <c r="B347" s="57"/>
      <c r="C347" s="57"/>
      <c r="D347" s="58"/>
      <c r="E347" s="42"/>
      <c r="F347" s="42"/>
      <c r="G347" s="42"/>
      <c r="H347" s="42"/>
      <c r="I347" s="42"/>
      <c r="J347" s="42"/>
      <c r="K347" s="20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2.75" customHeight="1">
      <c r="A348" s="42"/>
      <c r="B348" s="57"/>
      <c r="C348" s="57"/>
      <c r="D348" s="58"/>
      <c r="E348" s="42"/>
      <c r="F348" s="42"/>
      <c r="G348" s="42"/>
      <c r="H348" s="42"/>
      <c r="I348" s="42"/>
      <c r="J348" s="42"/>
      <c r="K348" s="20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2.75" customHeight="1">
      <c r="A349" s="42"/>
      <c r="B349" s="57"/>
      <c r="C349" s="57"/>
      <c r="D349" s="58"/>
      <c r="E349" s="42"/>
      <c r="F349" s="42"/>
      <c r="G349" s="42"/>
      <c r="H349" s="42"/>
      <c r="I349" s="42"/>
      <c r="J349" s="42"/>
      <c r="K349" s="20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2.75" customHeight="1">
      <c r="A350" s="42"/>
      <c r="B350" s="57"/>
      <c r="C350" s="57"/>
      <c r="D350" s="58"/>
      <c r="E350" s="42"/>
      <c r="F350" s="42"/>
      <c r="G350" s="42"/>
      <c r="H350" s="42"/>
      <c r="I350" s="42"/>
      <c r="J350" s="42"/>
      <c r="K350" s="20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2.75" customHeight="1">
      <c r="A351" s="42"/>
      <c r="B351" s="57"/>
      <c r="C351" s="57"/>
      <c r="D351" s="58"/>
      <c r="E351" s="42"/>
      <c r="F351" s="42"/>
      <c r="G351" s="42"/>
      <c r="H351" s="42"/>
      <c r="I351" s="42"/>
      <c r="J351" s="42"/>
      <c r="K351" s="20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2.75" customHeight="1">
      <c r="A352" s="42"/>
      <c r="B352" s="57"/>
      <c r="C352" s="57"/>
      <c r="D352" s="58"/>
      <c r="E352" s="42"/>
      <c r="F352" s="42"/>
      <c r="G352" s="42"/>
      <c r="H352" s="42"/>
      <c r="I352" s="42"/>
      <c r="J352" s="42"/>
      <c r="K352" s="20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2.75" customHeight="1">
      <c r="A353" s="42"/>
      <c r="B353" s="57"/>
      <c r="C353" s="57"/>
      <c r="D353" s="58"/>
      <c r="E353" s="42"/>
      <c r="F353" s="42"/>
      <c r="G353" s="42"/>
      <c r="H353" s="42"/>
      <c r="I353" s="42"/>
      <c r="J353" s="42"/>
      <c r="K353" s="20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2.75" customHeight="1">
      <c r="A354" s="42"/>
      <c r="B354" s="57"/>
      <c r="C354" s="57"/>
      <c r="D354" s="58"/>
      <c r="E354" s="42"/>
      <c r="F354" s="42"/>
      <c r="G354" s="42"/>
      <c r="H354" s="42"/>
      <c r="I354" s="42"/>
      <c r="J354" s="42"/>
      <c r="K354" s="20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2.75" customHeight="1">
      <c r="A355" s="42"/>
      <c r="B355" s="57"/>
      <c r="C355" s="57"/>
      <c r="D355" s="58"/>
      <c r="E355" s="42"/>
      <c r="F355" s="42"/>
      <c r="G355" s="42"/>
      <c r="H355" s="42"/>
      <c r="I355" s="42"/>
      <c r="J355" s="42"/>
      <c r="K355" s="20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2.75" customHeight="1">
      <c r="A356" s="42"/>
      <c r="B356" s="57"/>
      <c r="C356" s="57"/>
      <c r="D356" s="58"/>
      <c r="E356" s="42"/>
      <c r="F356" s="42"/>
      <c r="G356" s="42"/>
      <c r="H356" s="42"/>
      <c r="I356" s="42"/>
      <c r="J356" s="42"/>
      <c r="K356" s="20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2.75" customHeight="1">
      <c r="A357" s="42"/>
      <c r="B357" s="57"/>
      <c r="C357" s="57"/>
      <c r="D357" s="58"/>
      <c r="E357" s="42"/>
      <c r="F357" s="42"/>
      <c r="G357" s="42"/>
      <c r="H357" s="42"/>
      <c r="I357" s="42"/>
      <c r="J357" s="42"/>
      <c r="K357" s="20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2.75" customHeight="1">
      <c r="A358" s="42"/>
      <c r="B358" s="57"/>
      <c r="C358" s="57"/>
      <c r="D358" s="58"/>
      <c r="E358" s="42"/>
      <c r="F358" s="42"/>
      <c r="G358" s="42"/>
      <c r="H358" s="42"/>
      <c r="I358" s="42"/>
      <c r="J358" s="42"/>
      <c r="K358" s="20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2.75" customHeight="1">
      <c r="A359" s="42"/>
      <c r="B359" s="57"/>
      <c r="C359" s="57"/>
      <c r="D359" s="58"/>
      <c r="E359" s="42"/>
      <c r="F359" s="42"/>
      <c r="G359" s="42"/>
      <c r="H359" s="42"/>
      <c r="I359" s="42"/>
      <c r="J359" s="42"/>
      <c r="K359" s="20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2.75" customHeight="1">
      <c r="A360" s="42"/>
      <c r="B360" s="57"/>
      <c r="C360" s="57"/>
      <c r="D360" s="58"/>
      <c r="E360" s="42"/>
      <c r="F360" s="42"/>
      <c r="G360" s="42"/>
      <c r="H360" s="42"/>
      <c r="I360" s="42"/>
      <c r="J360" s="42"/>
      <c r="K360" s="20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2.75" customHeight="1">
      <c r="A361" s="42"/>
      <c r="B361" s="57"/>
      <c r="C361" s="57"/>
      <c r="D361" s="58"/>
      <c r="E361" s="42"/>
      <c r="F361" s="42"/>
      <c r="G361" s="42"/>
      <c r="H361" s="42"/>
      <c r="I361" s="42"/>
      <c r="J361" s="42"/>
      <c r="K361" s="20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2.75" customHeight="1">
      <c r="A362" s="42"/>
      <c r="B362" s="57"/>
      <c r="C362" s="57"/>
      <c r="D362" s="58"/>
      <c r="E362" s="42"/>
      <c r="F362" s="42"/>
      <c r="G362" s="42"/>
      <c r="H362" s="42"/>
      <c r="I362" s="42"/>
      <c r="J362" s="42"/>
      <c r="K362" s="20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2.75" customHeight="1">
      <c r="A363" s="42"/>
      <c r="B363" s="57"/>
      <c r="C363" s="57"/>
      <c r="D363" s="58"/>
      <c r="E363" s="42"/>
      <c r="F363" s="42"/>
      <c r="G363" s="42"/>
      <c r="H363" s="42"/>
      <c r="I363" s="42"/>
      <c r="J363" s="42"/>
      <c r="K363" s="20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2.75" customHeight="1">
      <c r="A364" s="42"/>
      <c r="B364" s="57"/>
      <c r="C364" s="57"/>
      <c r="D364" s="58"/>
      <c r="E364" s="42"/>
      <c r="F364" s="42"/>
      <c r="G364" s="42"/>
      <c r="H364" s="42"/>
      <c r="I364" s="42"/>
      <c r="J364" s="42"/>
      <c r="K364" s="20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2.75" customHeight="1">
      <c r="A365" s="42"/>
      <c r="B365" s="57"/>
      <c r="C365" s="57"/>
      <c r="D365" s="58"/>
      <c r="E365" s="42"/>
      <c r="F365" s="42"/>
      <c r="G365" s="42"/>
      <c r="H365" s="42"/>
      <c r="I365" s="42"/>
      <c r="J365" s="42"/>
      <c r="K365" s="20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2.75" customHeight="1">
      <c r="A366" s="42"/>
      <c r="B366" s="57"/>
      <c r="C366" s="57"/>
      <c r="D366" s="58"/>
      <c r="E366" s="42"/>
      <c r="F366" s="42"/>
      <c r="G366" s="42"/>
      <c r="H366" s="42"/>
      <c r="I366" s="42"/>
      <c r="J366" s="42"/>
      <c r="K366" s="20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2.75" customHeight="1">
      <c r="A367" s="42"/>
      <c r="B367" s="57"/>
      <c r="C367" s="57"/>
      <c r="D367" s="58"/>
      <c r="E367" s="42"/>
      <c r="F367" s="42"/>
      <c r="G367" s="42"/>
      <c r="H367" s="42"/>
      <c r="I367" s="42"/>
      <c r="J367" s="42"/>
      <c r="K367" s="20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2.75" customHeight="1">
      <c r="A368" s="42"/>
      <c r="B368" s="57"/>
      <c r="C368" s="57"/>
      <c r="D368" s="58"/>
      <c r="E368" s="42"/>
      <c r="F368" s="42"/>
      <c r="G368" s="42"/>
      <c r="H368" s="42"/>
      <c r="I368" s="42"/>
      <c r="J368" s="42"/>
      <c r="K368" s="20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2.75" customHeight="1">
      <c r="A369" s="42"/>
      <c r="B369" s="57"/>
      <c r="C369" s="57"/>
      <c r="D369" s="58"/>
      <c r="E369" s="42"/>
      <c r="F369" s="42"/>
      <c r="G369" s="42"/>
      <c r="H369" s="42"/>
      <c r="I369" s="42"/>
      <c r="J369" s="42"/>
      <c r="K369" s="20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2.75" customHeight="1">
      <c r="A370" s="42"/>
      <c r="B370" s="57"/>
      <c r="C370" s="57"/>
      <c r="D370" s="58"/>
      <c r="E370" s="42"/>
      <c r="F370" s="42"/>
      <c r="G370" s="42"/>
      <c r="H370" s="42"/>
      <c r="I370" s="42"/>
      <c r="J370" s="42"/>
      <c r="K370" s="20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2.75" customHeight="1">
      <c r="A371" s="42"/>
      <c r="B371" s="57"/>
      <c r="C371" s="57"/>
      <c r="D371" s="58"/>
      <c r="E371" s="42"/>
      <c r="F371" s="42"/>
      <c r="G371" s="42"/>
      <c r="H371" s="42"/>
      <c r="I371" s="42"/>
      <c r="J371" s="42"/>
      <c r="K371" s="20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2.75" customHeight="1">
      <c r="A372" s="42"/>
      <c r="B372" s="57"/>
      <c r="C372" s="57"/>
      <c r="D372" s="58"/>
      <c r="E372" s="42"/>
      <c r="F372" s="42"/>
      <c r="G372" s="42"/>
      <c r="H372" s="42"/>
      <c r="I372" s="42"/>
      <c r="J372" s="42"/>
      <c r="K372" s="20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2.75" customHeight="1">
      <c r="A373" s="42"/>
      <c r="B373" s="57"/>
      <c r="C373" s="57"/>
      <c r="D373" s="58"/>
      <c r="E373" s="42"/>
      <c r="F373" s="42"/>
      <c r="G373" s="42"/>
      <c r="H373" s="42"/>
      <c r="I373" s="42"/>
      <c r="J373" s="42"/>
      <c r="K373" s="20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2.75" customHeight="1">
      <c r="A374" s="42"/>
      <c r="B374" s="57"/>
      <c r="C374" s="57"/>
      <c r="D374" s="58"/>
      <c r="E374" s="42"/>
      <c r="F374" s="42"/>
      <c r="G374" s="42"/>
      <c r="H374" s="42"/>
      <c r="I374" s="42"/>
      <c r="J374" s="42"/>
      <c r="K374" s="20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2.75" customHeight="1">
      <c r="A375" s="42"/>
      <c r="B375" s="57"/>
      <c r="C375" s="57"/>
      <c r="D375" s="58"/>
      <c r="E375" s="42"/>
      <c r="F375" s="42"/>
      <c r="G375" s="42"/>
      <c r="H375" s="42"/>
      <c r="I375" s="42"/>
      <c r="J375" s="42"/>
      <c r="K375" s="20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2.75" customHeight="1">
      <c r="A376" s="42"/>
      <c r="B376" s="57"/>
      <c r="C376" s="57"/>
      <c r="D376" s="58"/>
      <c r="E376" s="42"/>
      <c r="F376" s="42"/>
      <c r="G376" s="42"/>
      <c r="H376" s="42"/>
      <c r="I376" s="42"/>
      <c r="J376" s="42"/>
      <c r="K376" s="20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2.75" customHeight="1">
      <c r="A377" s="42"/>
      <c r="B377" s="57"/>
      <c r="C377" s="57"/>
      <c r="D377" s="58"/>
      <c r="E377" s="42"/>
      <c r="F377" s="42"/>
      <c r="G377" s="42"/>
      <c r="H377" s="42"/>
      <c r="I377" s="42"/>
      <c r="J377" s="42"/>
      <c r="K377" s="20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2.75" customHeight="1">
      <c r="A378" s="42"/>
      <c r="B378" s="57"/>
      <c r="C378" s="57"/>
      <c r="D378" s="58"/>
      <c r="E378" s="42"/>
      <c r="F378" s="42"/>
      <c r="G378" s="42"/>
      <c r="H378" s="42"/>
      <c r="I378" s="42"/>
      <c r="J378" s="42"/>
      <c r="K378" s="20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2.75" customHeight="1">
      <c r="A379" s="42"/>
      <c r="B379" s="57"/>
      <c r="C379" s="57"/>
      <c r="D379" s="58"/>
      <c r="E379" s="42"/>
      <c r="F379" s="42"/>
      <c r="G379" s="42"/>
      <c r="H379" s="42"/>
      <c r="I379" s="42"/>
      <c r="J379" s="42"/>
      <c r="K379" s="20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2.75" customHeight="1">
      <c r="A380" s="42"/>
      <c r="B380" s="57"/>
      <c r="C380" s="57"/>
      <c r="D380" s="58"/>
      <c r="E380" s="42"/>
      <c r="F380" s="42"/>
      <c r="G380" s="42"/>
      <c r="H380" s="42"/>
      <c r="I380" s="42"/>
      <c r="J380" s="42"/>
      <c r="K380" s="20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2.75" customHeight="1">
      <c r="A381" s="42"/>
      <c r="B381" s="57"/>
      <c r="C381" s="57"/>
      <c r="D381" s="58"/>
      <c r="E381" s="42"/>
      <c r="F381" s="42"/>
      <c r="G381" s="42"/>
      <c r="H381" s="42"/>
      <c r="I381" s="42"/>
      <c r="J381" s="42"/>
      <c r="K381" s="20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2.75" customHeight="1">
      <c r="A382" s="42"/>
      <c r="B382" s="57"/>
      <c r="C382" s="57"/>
      <c r="D382" s="58"/>
      <c r="E382" s="42"/>
      <c r="F382" s="42"/>
      <c r="G382" s="42"/>
      <c r="H382" s="42"/>
      <c r="I382" s="42"/>
      <c r="J382" s="42"/>
      <c r="K382" s="20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2.75" customHeight="1">
      <c r="A383" s="42"/>
      <c r="B383" s="57"/>
      <c r="C383" s="57"/>
      <c r="D383" s="58"/>
      <c r="E383" s="42"/>
      <c r="F383" s="42"/>
      <c r="G383" s="42"/>
      <c r="H383" s="42"/>
      <c r="I383" s="42"/>
      <c r="J383" s="42"/>
      <c r="K383" s="20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2.75" customHeight="1">
      <c r="A384" s="42"/>
      <c r="B384" s="57"/>
      <c r="C384" s="57"/>
      <c r="D384" s="58"/>
      <c r="E384" s="42"/>
      <c r="F384" s="42"/>
      <c r="G384" s="42"/>
      <c r="H384" s="42"/>
      <c r="I384" s="42"/>
      <c r="J384" s="42"/>
      <c r="K384" s="20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2.75" customHeight="1">
      <c r="A385" s="42"/>
      <c r="B385" s="57"/>
      <c r="C385" s="57"/>
      <c r="D385" s="58"/>
      <c r="E385" s="42"/>
      <c r="F385" s="42"/>
      <c r="G385" s="42"/>
      <c r="H385" s="42"/>
      <c r="I385" s="42"/>
      <c r="J385" s="42"/>
      <c r="K385" s="20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2.75" customHeight="1">
      <c r="A386" s="42"/>
      <c r="B386" s="57"/>
      <c r="C386" s="57"/>
      <c r="D386" s="58"/>
      <c r="E386" s="42"/>
      <c r="F386" s="42"/>
      <c r="G386" s="42"/>
      <c r="H386" s="42"/>
      <c r="I386" s="42"/>
      <c r="J386" s="42"/>
      <c r="K386" s="20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2.75" customHeight="1">
      <c r="A387" s="42"/>
      <c r="B387" s="57"/>
      <c r="C387" s="57"/>
      <c r="D387" s="58"/>
      <c r="E387" s="42"/>
      <c r="F387" s="42"/>
      <c r="G387" s="42"/>
      <c r="H387" s="42"/>
      <c r="I387" s="42"/>
      <c r="J387" s="42"/>
      <c r="K387" s="20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2.75" customHeight="1">
      <c r="A388" s="42"/>
      <c r="B388" s="57"/>
      <c r="C388" s="57"/>
      <c r="D388" s="58"/>
      <c r="E388" s="42"/>
      <c r="F388" s="42"/>
      <c r="G388" s="42"/>
      <c r="H388" s="42"/>
      <c r="I388" s="42"/>
      <c r="J388" s="42"/>
      <c r="K388" s="20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2.75" customHeight="1">
      <c r="A389" s="42"/>
      <c r="B389" s="57"/>
      <c r="C389" s="57"/>
      <c r="D389" s="58"/>
      <c r="E389" s="42"/>
      <c r="F389" s="42"/>
      <c r="G389" s="42"/>
      <c r="H389" s="42"/>
      <c r="I389" s="42"/>
      <c r="J389" s="42"/>
      <c r="K389" s="20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2.75" customHeight="1">
      <c r="A390" s="42"/>
      <c r="B390" s="57"/>
      <c r="C390" s="57"/>
      <c r="D390" s="58"/>
      <c r="E390" s="42"/>
      <c r="F390" s="42"/>
      <c r="G390" s="42"/>
      <c r="H390" s="42"/>
      <c r="I390" s="42"/>
      <c r="J390" s="42"/>
      <c r="K390" s="20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2.75" customHeight="1">
      <c r="A391" s="42"/>
      <c r="B391" s="57"/>
      <c r="C391" s="57"/>
      <c r="D391" s="58"/>
      <c r="E391" s="42"/>
      <c r="F391" s="42"/>
      <c r="G391" s="42"/>
      <c r="H391" s="42"/>
      <c r="I391" s="42"/>
      <c r="J391" s="42"/>
      <c r="K391" s="20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2.75" customHeight="1">
      <c r="A392" s="42"/>
      <c r="B392" s="57"/>
      <c r="C392" s="57"/>
      <c r="D392" s="58"/>
      <c r="E392" s="42"/>
      <c r="F392" s="42"/>
      <c r="G392" s="42"/>
      <c r="H392" s="42"/>
      <c r="I392" s="42"/>
      <c r="J392" s="42"/>
      <c r="K392" s="20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2.75" customHeight="1">
      <c r="A393" s="42"/>
      <c r="B393" s="57"/>
      <c r="C393" s="57"/>
      <c r="D393" s="58"/>
      <c r="E393" s="42"/>
      <c r="F393" s="42"/>
      <c r="G393" s="42"/>
      <c r="H393" s="42"/>
      <c r="I393" s="42"/>
      <c r="J393" s="42"/>
      <c r="K393" s="20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2.75" customHeight="1">
      <c r="A394" s="42"/>
      <c r="B394" s="57"/>
      <c r="C394" s="57"/>
      <c r="D394" s="58"/>
      <c r="E394" s="42"/>
      <c r="F394" s="42"/>
      <c r="G394" s="42"/>
      <c r="H394" s="42"/>
      <c r="I394" s="42"/>
      <c r="J394" s="42"/>
      <c r="K394" s="20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2.75" customHeight="1">
      <c r="A395" s="42"/>
      <c r="B395" s="57"/>
      <c r="C395" s="57"/>
      <c r="D395" s="58"/>
      <c r="E395" s="42"/>
      <c r="F395" s="42"/>
      <c r="G395" s="42"/>
      <c r="H395" s="42"/>
      <c r="I395" s="42"/>
      <c r="J395" s="42"/>
      <c r="K395" s="20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2.75" customHeight="1">
      <c r="A396" s="42"/>
      <c r="B396" s="57"/>
      <c r="C396" s="57"/>
      <c r="D396" s="58"/>
      <c r="E396" s="42"/>
      <c r="F396" s="42"/>
      <c r="G396" s="42"/>
      <c r="H396" s="42"/>
      <c r="I396" s="42"/>
      <c r="J396" s="42"/>
      <c r="K396" s="20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2.75" customHeight="1">
      <c r="A397" s="42"/>
      <c r="B397" s="57"/>
      <c r="C397" s="57"/>
      <c r="D397" s="58"/>
      <c r="E397" s="42"/>
      <c r="F397" s="42"/>
      <c r="G397" s="42"/>
      <c r="H397" s="42"/>
      <c r="I397" s="42"/>
      <c r="J397" s="42"/>
      <c r="K397" s="20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2.75" customHeight="1">
      <c r="A398" s="42"/>
      <c r="B398" s="57"/>
      <c r="C398" s="57"/>
      <c r="D398" s="58"/>
      <c r="E398" s="42"/>
      <c r="F398" s="42"/>
      <c r="G398" s="42"/>
      <c r="H398" s="42"/>
      <c r="I398" s="42"/>
      <c r="J398" s="42"/>
      <c r="K398" s="20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2.75" customHeight="1">
      <c r="A399" s="42"/>
      <c r="B399" s="57"/>
      <c r="C399" s="57"/>
      <c r="D399" s="58"/>
      <c r="E399" s="42"/>
      <c r="F399" s="42"/>
      <c r="G399" s="42"/>
      <c r="H399" s="42"/>
      <c r="I399" s="42"/>
      <c r="J399" s="42"/>
      <c r="K399" s="20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2.75" customHeight="1">
      <c r="A400" s="42"/>
      <c r="B400" s="57"/>
      <c r="C400" s="57"/>
      <c r="D400" s="58"/>
      <c r="E400" s="42"/>
      <c r="F400" s="42"/>
      <c r="G400" s="42"/>
      <c r="H400" s="42"/>
      <c r="I400" s="42"/>
      <c r="J400" s="42"/>
      <c r="K400" s="20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2.75" customHeight="1">
      <c r="A401" s="42"/>
      <c r="B401" s="57"/>
      <c r="C401" s="57"/>
      <c r="D401" s="58"/>
      <c r="E401" s="42"/>
      <c r="F401" s="42"/>
      <c r="G401" s="42"/>
      <c r="H401" s="42"/>
      <c r="I401" s="42"/>
      <c r="J401" s="42"/>
      <c r="K401" s="20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2.75" customHeight="1">
      <c r="A402" s="42"/>
      <c r="B402" s="57"/>
      <c r="C402" s="57"/>
      <c r="D402" s="58"/>
      <c r="E402" s="42"/>
      <c r="F402" s="42"/>
      <c r="G402" s="42"/>
      <c r="H402" s="42"/>
      <c r="I402" s="42"/>
      <c r="J402" s="42"/>
      <c r="K402" s="20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2.75" customHeight="1">
      <c r="A403" s="42"/>
      <c r="B403" s="57"/>
      <c r="C403" s="57"/>
      <c r="D403" s="58"/>
      <c r="E403" s="42"/>
      <c r="F403" s="42"/>
      <c r="G403" s="42"/>
      <c r="H403" s="42"/>
      <c r="I403" s="42"/>
      <c r="J403" s="42"/>
      <c r="K403" s="20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2.75" customHeight="1">
      <c r="A404" s="42"/>
      <c r="B404" s="57"/>
      <c r="C404" s="57"/>
      <c r="D404" s="58"/>
      <c r="E404" s="42"/>
      <c r="F404" s="42"/>
      <c r="G404" s="42"/>
      <c r="H404" s="42"/>
      <c r="I404" s="42"/>
      <c r="J404" s="42"/>
      <c r="K404" s="20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2.75" customHeight="1">
      <c r="A405" s="42"/>
      <c r="B405" s="57"/>
      <c r="C405" s="57"/>
      <c r="D405" s="58"/>
      <c r="E405" s="42"/>
      <c r="F405" s="42"/>
      <c r="G405" s="42"/>
      <c r="H405" s="42"/>
      <c r="I405" s="42"/>
      <c r="J405" s="42"/>
      <c r="K405" s="20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2.75" customHeight="1">
      <c r="A406" s="42"/>
      <c r="B406" s="57"/>
      <c r="C406" s="57"/>
      <c r="D406" s="58"/>
      <c r="E406" s="42"/>
      <c r="F406" s="42"/>
      <c r="G406" s="42"/>
      <c r="H406" s="42"/>
      <c r="I406" s="42"/>
      <c r="J406" s="42"/>
      <c r="K406" s="20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2.75" customHeight="1">
      <c r="A407" s="42"/>
      <c r="B407" s="57"/>
      <c r="C407" s="57"/>
      <c r="D407" s="58"/>
      <c r="E407" s="42"/>
      <c r="F407" s="42"/>
      <c r="G407" s="42"/>
      <c r="H407" s="42"/>
      <c r="I407" s="42"/>
      <c r="J407" s="42"/>
      <c r="K407" s="20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2.75" customHeight="1">
      <c r="A408" s="42"/>
      <c r="B408" s="57"/>
      <c r="C408" s="57"/>
      <c r="D408" s="58"/>
      <c r="E408" s="42"/>
      <c r="F408" s="42"/>
      <c r="G408" s="42"/>
      <c r="H408" s="42"/>
      <c r="I408" s="42"/>
      <c r="J408" s="42"/>
      <c r="K408" s="20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2.75" customHeight="1">
      <c r="A409" s="42"/>
      <c r="B409" s="57"/>
      <c r="C409" s="57"/>
      <c r="D409" s="58"/>
      <c r="E409" s="42"/>
      <c r="F409" s="42"/>
      <c r="G409" s="42"/>
      <c r="H409" s="42"/>
      <c r="I409" s="42"/>
      <c r="J409" s="42"/>
      <c r="K409" s="20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2.75" customHeight="1">
      <c r="A410" s="42"/>
      <c r="B410" s="57"/>
      <c r="C410" s="57"/>
      <c r="D410" s="58"/>
      <c r="E410" s="42"/>
      <c r="F410" s="42"/>
      <c r="G410" s="42"/>
      <c r="H410" s="42"/>
      <c r="I410" s="42"/>
      <c r="J410" s="42"/>
      <c r="K410" s="20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2.75" customHeight="1">
      <c r="A411" s="42"/>
      <c r="B411" s="57"/>
      <c r="C411" s="57"/>
      <c r="D411" s="58"/>
      <c r="E411" s="42"/>
      <c r="F411" s="42"/>
      <c r="G411" s="42"/>
      <c r="H411" s="42"/>
      <c r="I411" s="42"/>
      <c r="J411" s="42"/>
      <c r="K411" s="20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2.75" customHeight="1">
      <c r="A412" s="42"/>
      <c r="B412" s="57"/>
      <c r="C412" s="57"/>
      <c r="D412" s="58"/>
      <c r="E412" s="42"/>
      <c r="F412" s="42"/>
      <c r="G412" s="42"/>
      <c r="H412" s="42"/>
      <c r="I412" s="42"/>
      <c r="J412" s="42"/>
      <c r="K412" s="20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2.75" customHeight="1">
      <c r="A413" s="42"/>
      <c r="B413" s="57"/>
      <c r="C413" s="57"/>
      <c r="D413" s="58"/>
      <c r="E413" s="42"/>
      <c r="F413" s="42"/>
      <c r="G413" s="42"/>
      <c r="H413" s="42"/>
      <c r="I413" s="42"/>
      <c r="J413" s="42"/>
      <c r="K413" s="20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2.75" customHeight="1">
      <c r="A414" s="42"/>
      <c r="B414" s="57"/>
      <c r="C414" s="57"/>
      <c r="D414" s="58"/>
      <c r="E414" s="42"/>
      <c r="F414" s="42"/>
      <c r="G414" s="42"/>
      <c r="H414" s="42"/>
      <c r="I414" s="42"/>
      <c r="J414" s="42"/>
      <c r="K414" s="20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2.75" customHeight="1">
      <c r="A415" s="42"/>
      <c r="B415" s="57"/>
      <c r="C415" s="57"/>
      <c r="D415" s="58"/>
      <c r="E415" s="42"/>
      <c r="F415" s="42"/>
      <c r="G415" s="42"/>
      <c r="H415" s="42"/>
      <c r="I415" s="42"/>
      <c r="J415" s="42"/>
      <c r="K415" s="20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2.75" customHeight="1">
      <c r="A416" s="42"/>
      <c r="B416" s="57"/>
      <c r="C416" s="57"/>
      <c r="D416" s="58"/>
      <c r="E416" s="42"/>
      <c r="F416" s="42"/>
      <c r="G416" s="42"/>
      <c r="H416" s="42"/>
      <c r="I416" s="42"/>
      <c r="J416" s="42"/>
      <c r="K416" s="20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2.75" customHeight="1">
      <c r="A417" s="42"/>
      <c r="B417" s="57"/>
      <c r="C417" s="57"/>
      <c r="D417" s="58"/>
      <c r="E417" s="42"/>
      <c r="F417" s="42"/>
      <c r="G417" s="42"/>
      <c r="H417" s="42"/>
      <c r="I417" s="42"/>
      <c r="J417" s="42"/>
      <c r="K417" s="20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2.75" customHeight="1">
      <c r="A418" s="42"/>
      <c r="B418" s="57"/>
      <c r="C418" s="57"/>
      <c r="D418" s="58"/>
      <c r="E418" s="42"/>
      <c r="F418" s="42"/>
      <c r="G418" s="42"/>
      <c r="H418" s="42"/>
      <c r="I418" s="42"/>
      <c r="J418" s="42"/>
      <c r="K418" s="20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2.75" customHeight="1">
      <c r="A419" s="42"/>
      <c r="B419" s="57"/>
      <c r="C419" s="57"/>
      <c r="D419" s="58"/>
      <c r="E419" s="42"/>
      <c r="F419" s="42"/>
      <c r="G419" s="42"/>
      <c r="H419" s="42"/>
      <c r="I419" s="42"/>
      <c r="J419" s="42"/>
      <c r="K419" s="20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2.75" customHeight="1">
      <c r="A420" s="42"/>
      <c r="B420" s="57"/>
      <c r="C420" s="57"/>
      <c r="D420" s="58"/>
      <c r="E420" s="42"/>
      <c r="F420" s="42"/>
      <c r="G420" s="42"/>
      <c r="H420" s="42"/>
      <c r="I420" s="42"/>
      <c r="J420" s="42"/>
      <c r="K420" s="20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2.75" customHeight="1">
      <c r="A421" s="42"/>
      <c r="B421" s="57"/>
      <c r="C421" s="57"/>
      <c r="D421" s="58"/>
      <c r="E421" s="42"/>
      <c r="F421" s="42"/>
      <c r="G421" s="42"/>
      <c r="H421" s="42"/>
      <c r="I421" s="42"/>
      <c r="J421" s="42"/>
      <c r="K421" s="20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2.75" customHeight="1">
      <c r="A422" s="42"/>
      <c r="B422" s="57"/>
      <c r="C422" s="57"/>
      <c r="D422" s="58"/>
      <c r="E422" s="42"/>
      <c r="F422" s="42"/>
      <c r="G422" s="42"/>
      <c r="H422" s="42"/>
      <c r="I422" s="42"/>
      <c r="J422" s="42"/>
      <c r="K422" s="20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2.75" customHeight="1">
      <c r="A423" s="42"/>
      <c r="B423" s="57"/>
      <c r="C423" s="57"/>
      <c r="D423" s="58"/>
      <c r="E423" s="42"/>
      <c r="F423" s="42"/>
      <c r="G423" s="42"/>
      <c r="H423" s="42"/>
      <c r="I423" s="42"/>
      <c r="J423" s="42"/>
      <c r="K423" s="20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2.75" customHeight="1">
      <c r="A424" s="42"/>
      <c r="B424" s="57"/>
      <c r="C424" s="57"/>
      <c r="D424" s="58"/>
      <c r="E424" s="42"/>
      <c r="F424" s="42"/>
      <c r="G424" s="42"/>
      <c r="H424" s="42"/>
      <c r="I424" s="42"/>
      <c r="J424" s="42"/>
      <c r="K424" s="20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2.75" customHeight="1">
      <c r="A425" s="42"/>
      <c r="B425" s="57"/>
      <c r="C425" s="57"/>
      <c r="D425" s="58"/>
      <c r="E425" s="42"/>
      <c r="F425" s="42"/>
      <c r="G425" s="42"/>
      <c r="H425" s="42"/>
      <c r="I425" s="42"/>
      <c r="J425" s="42"/>
      <c r="K425" s="20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2.75" customHeight="1">
      <c r="A426" s="42"/>
      <c r="B426" s="57"/>
      <c r="C426" s="57"/>
      <c r="D426" s="58"/>
      <c r="E426" s="42"/>
      <c r="F426" s="42"/>
      <c r="G426" s="42"/>
      <c r="H426" s="42"/>
      <c r="I426" s="42"/>
      <c r="J426" s="42"/>
      <c r="K426" s="20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2.75" customHeight="1">
      <c r="A427" s="42"/>
      <c r="B427" s="57"/>
      <c r="C427" s="57"/>
      <c r="D427" s="58"/>
      <c r="E427" s="42"/>
      <c r="F427" s="42"/>
      <c r="G427" s="42"/>
      <c r="H427" s="42"/>
      <c r="I427" s="42"/>
      <c r="J427" s="42"/>
      <c r="K427" s="20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2.75" customHeight="1">
      <c r="A428" s="42"/>
      <c r="B428" s="57"/>
      <c r="C428" s="57"/>
      <c r="D428" s="58"/>
      <c r="E428" s="42"/>
      <c r="F428" s="42"/>
      <c r="G428" s="42"/>
      <c r="H428" s="42"/>
      <c r="I428" s="42"/>
      <c r="J428" s="42"/>
      <c r="K428" s="20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2.75" customHeight="1">
      <c r="A429" s="42"/>
      <c r="B429" s="57"/>
      <c r="C429" s="57"/>
      <c r="D429" s="58"/>
      <c r="E429" s="42"/>
      <c r="F429" s="42"/>
      <c r="G429" s="42"/>
      <c r="H429" s="42"/>
      <c r="I429" s="42"/>
      <c r="J429" s="42"/>
      <c r="K429" s="20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2.75" customHeight="1">
      <c r="A430" s="42"/>
      <c r="B430" s="57"/>
      <c r="C430" s="57"/>
      <c r="D430" s="58"/>
      <c r="E430" s="42"/>
      <c r="F430" s="42"/>
      <c r="G430" s="42"/>
      <c r="H430" s="42"/>
      <c r="I430" s="42"/>
      <c r="J430" s="42"/>
      <c r="K430" s="20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2.75" customHeight="1">
      <c r="A431" s="42"/>
      <c r="B431" s="57"/>
      <c r="C431" s="57"/>
      <c r="D431" s="58"/>
      <c r="E431" s="42"/>
      <c r="F431" s="42"/>
      <c r="G431" s="42"/>
      <c r="H431" s="42"/>
      <c r="I431" s="42"/>
      <c r="J431" s="42"/>
      <c r="K431" s="20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2.75" customHeight="1">
      <c r="A432" s="42"/>
      <c r="B432" s="57"/>
      <c r="C432" s="57"/>
      <c r="D432" s="58"/>
      <c r="E432" s="42"/>
      <c r="F432" s="42"/>
      <c r="G432" s="42"/>
      <c r="H432" s="42"/>
      <c r="I432" s="42"/>
      <c r="J432" s="42"/>
      <c r="K432" s="20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2.75" customHeight="1">
      <c r="A433" s="42"/>
      <c r="B433" s="57"/>
      <c r="C433" s="57"/>
      <c r="D433" s="58"/>
      <c r="E433" s="42"/>
      <c r="F433" s="42"/>
      <c r="G433" s="42"/>
      <c r="H433" s="42"/>
      <c r="I433" s="42"/>
      <c r="J433" s="42"/>
      <c r="K433" s="20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2.75" customHeight="1">
      <c r="A434" s="42"/>
      <c r="B434" s="57"/>
      <c r="C434" s="57"/>
      <c r="D434" s="58"/>
      <c r="E434" s="42"/>
      <c r="F434" s="42"/>
      <c r="G434" s="42"/>
      <c r="H434" s="42"/>
      <c r="I434" s="42"/>
      <c r="J434" s="42"/>
      <c r="K434" s="20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2.75" customHeight="1">
      <c r="A435" s="42"/>
      <c r="B435" s="57"/>
      <c r="C435" s="57"/>
      <c r="D435" s="58"/>
      <c r="E435" s="42"/>
      <c r="F435" s="42"/>
      <c r="G435" s="42"/>
      <c r="H435" s="42"/>
      <c r="I435" s="42"/>
      <c r="J435" s="42"/>
      <c r="K435" s="20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2.75" customHeight="1">
      <c r="A436" s="42"/>
      <c r="B436" s="57"/>
      <c r="C436" s="57"/>
      <c r="D436" s="58"/>
      <c r="E436" s="42"/>
      <c r="F436" s="42"/>
      <c r="G436" s="42"/>
      <c r="H436" s="42"/>
      <c r="I436" s="42"/>
      <c r="J436" s="42"/>
      <c r="K436" s="20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2.75" customHeight="1">
      <c r="A437" s="42"/>
      <c r="B437" s="57"/>
      <c r="C437" s="57"/>
      <c r="D437" s="58"/>
      <c r="E437" s="42"/>
      <c r="F437" s="42"/>
      <c r="G437" s="42"/>
      <c r="H437" s="42"/>
      <c r="I437" s="42"/>
      <c r="J437" s="42"/>
      <c r="K437" s="20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2.75" customHeight="1">
      <c r="A438" s="42"/>
      <c r="B438" s="57"/>
      <c r="C438" s="57"/>
      <c r="D438" s="58"/>
      <c r="E438" s="42"/>
      <c r="F438" s="42"/>
      <c r="G438" s="42"/>
      <c r="H438" s="42"/>
      <c r="I438" s="42"/>
      <c r="J438" s="42"/>
      <c r="K438" s="20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2.75" customHeight="1">
      <c r="A439" s="42"/>
      <c r="B439" s="57"/>
      <c r="C439" s="57"/>
      <c r="D439" s="58"/>
      <c r="E439" s="42"/>
      <c r="F439" s="42"/>
      <c r="G439" s="42"/>
      <c r="H439" s="42"/>
      <c r="I439" s="42"/>
      <c r="J439" s="42"/>
      <c r="K439" s="20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2.75" customHeight="1">
      <c r="A440" s="42"/>
      <c r="B440" s="57"/>
      <c r="C440" s="57"/>
      <c r="D440" s="58"/>
      <c r="E440" s="42"/>
      <c r="F440" s="42"/>
      <c r="G440" s="42"/>
      <c r="H440" s="42"/>
      <c r="I440" s="42"/>
      <c r="J440" s="42"/>
      <c r="K440" s="20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2.75" customHeight="1">
      <c r="A441" s="42"/>
      <c r="B441" s="57"/>
      <c r="C441" s="57"/>
      <c r="D441" s="58"/>
      <c r="E441" s="42"/>
      <c r="F441" s="42"/>
      <c r="G441" s="42"/>
      <c r="H441" s="42"/>
      <c r="I441" s="42"/>
      <c r="J441" s="42"/>
      <c r="K441" s="20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2.75" customHeight="1">
      <c r="A442" s="42"/>
      <c r="B442" s="57"/>
      <c r="C442" s="57"/>
      <c r="D442" s="58"/>
      <c r="E442" s="42"/>
      <c r="F442" s="42"/>
      <c r="G442" s="42"/>
      <c r="H442" s="42"/>
      <c r="I442" s="42"/>
      <c r="J442" s="42"/>
      <c r="K442" s="20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2.75" customHeight="1">
      <c r="A443" s="42"/>
      <c r="B443" s="57"/>
      <c r="C443" s="57"/>
      <c r="D443" s="58"/>
      <c r="E443" s="42"/>
      <c r="F443" s="42"/>
      <c r="G443" s="42"/>
      <c r="H443" s="42"/>
      <c r="I443" s="42"/>
      <c r="J443" s="42"/>
      <c r="K443" s="20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2.75" customHeight="1">
      <c r="A444" s="42"/>
      <c r="B444" s="57"/>
      <c r="C444" s="57"/>
      <c r="D444" s="58"/>
      <c r="E444" s="42"/>
      <c r="F444" s="42"/>
      <c r="G444" s="42"/>
      <c r="H444" s="42"/>
      <c r="I444" s="42"/>
      <c r="J444" s="42"/>
      <c r="K444" s="20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2.75" customHeight="1">
      <c r="A445" s="42"/>
      <c r="B445" s="57"/>
      <c r="C445" s="57"/>
      <c r="D445" s="58"/>
      <c r="E445" s="42"/>
      <c r="F445" s="42"/>
      <c r="G445" s="42"/>
      <c r="H445" s="42"/>
      <c r="I445" s="42"/>
      <c r="J445" s="42"/>
      <c r="K445" s="20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2.75" customHeight="1">
      <c r="A446" s="42"/>
      <c r="B446" s="57"/>
      <c r="C446" s="57"/>
      <c r="D446" s="58"/>
      <c r="E446" s="42"/>
      <c r="F446" s="42"/>
      <c r="G446" s="42"/>
      <c r="H446" s="42"/>
      <c r="I446" s="42"/>
      <c r="J446" s="42"/>
      <c r="K446" s="20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2.75" customHeight="1">
      <c r="A447" s="42"/>
      <c r="B447" s="57"/>
      <c r="C447" s="57"/>
      <c r="D447" s="58"/>
      <c r="E447" s="42"/>
      <c r="F447" s="42"/>
      <c r="G447" s="42"/>
      <c r="H447" s="42"/>
      <c r="I447" s="42"/>
      <c r="J447" s="42"/>
      <c r="K447" s="20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2.75" customHeight="1">
      <c r="A448" s="42"/>
      <c r="B448" s="57"/>
      <c r="C448" s="57"/>
      <c r="D448" s="58"/>
      <c r="E448" s="42"/>
      <c r="F448" s="42"/>
      <c r="G448" s="42"/>
      <c r="H448" s="42"/>
      <c r="I448" s="42"/>
      <c r="J448" s="42"/>
      <c r="K448" s="20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2.75" customHeight="1">
      <c r="A449" s="42"/>
      <c r="B449" s="57"/>
      <c r="C449" s="57"/>
      <c r="D449" s="58"/>
      <c r="E449" s="42"/>
      <c r="F449" s="42"/>
      <c r="G449" s="42"/>
      <c r="H449" s="42"/>
      <c r="I449" s="42"/>
      <c r="J449" s="42"/>
      <c r="K449" s="20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2.75" customHeight="1">
      <c r="A450" s="42"/>
      <c r="B450" s="57"/>
      <c r="C450" s="57"/>
      <c r="D450" s="58"/>
      <c r="E450" s="42"/>
      <c r="F450" s="42"/>
      <c r="G450" s="42"/>
      <c r="H450" s="42"/>
      <c r="I450" s="42"/>
      <c r="J450" s="42"/>
      <c r="K450" s="20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2.75" customHeight="1">
      <c r="A451" s="42"/>
      <c r="B451" s="57"/>
      <c r="C451" s="57"/>
      <c r="D451" s="58"/>
      <c r="E451" s="42"/>
      <c r="F451" s="42"/>
      <c r="G451" s="42"/>
      <c r="H451" s="42"/>
      <c r="I451" s="42"/>
      <c r="J451" s="42"/>
      <c r="K451" s="20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2.75" customHeight="1">
      <c r="A452" s="42"/>
      <c r="B452" s="57"/>
      <c r="C452" s="57"/>
      <c r="D452" s="58"/>
      <c r="E452" s="42"/>
      <c r="F452" s="42"/>
      <c r="G452" s="42"/>
      <c r="H452" s="42"/>
      <c r="I452" s="42"/>
      <c r="J452" s="42"/>
      <c r="K452" s="20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2.75" customHeight="1">
      <c r="A453" s="42"/>
      <c r="B453" s="57"/>
      <c r="C453" s="57"/>
      <c r="D453" s="58"/>
      <c r="E453" s="42"/>
      <c r="F453" s="42"/>
      <c r="G453" s="42"/>
      <c r="H453" s="42"/>
      <c r="I453" s="42"/>
      <c r="J453" s="42"/>
      <c r="K453" s="20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2.75" customHeight="1">
      <c r="A454" s="42"/>
      <c r="B454" s="57"/>
      <c r="C454" s="57"/>
      <c r="D454" s="58"/>
      <c r="E454" s="42"/>
      <c r="F454" s="42"/>
      <c r="G454" s="42"/>
      <c r="H454" s="42"/>
      <c r="I454" s="42"/>
      <c r="J454" s="42"/>
      <c r="K454" s="20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2.75" customHeight="1">
      <c r="A455" s="42"/>
      <c r="B455" s="57"/>
      <c r="C455" s="57"/>
      <c r="D455" s="58"/>
      <c r="E455" s="42"/>
      <c r="F455" s="42"/>
      <c r="G455" s="42"/>
      <c r="H455" s="42"/>
      <c r="I455" s="42"/>
      <c r="J455" s="42"/>
      <c r="K455" s="20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2.75" customHeight="1">
      <c r="A456" s="42"/>
      <c r="B456" s="57"/>
      <c r="C456" s="57"/>
      <c r="D456" s="58"/>
      <c r="E456" s="42"/>
      <c r="F456" s="42"/>
      <c r="G456" s="42"/>
      <c r="H456" s="42"/>
      <c r="I456" s="42"/>
      <c r="J456" s="42"/>
      <c r="K456" s="20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2.75" customHeight="1">
      <c r="A457" s="42"/>
      <c r="B457" s="57"/>
      <c r="C457" s="57"/>
      <c r="D457" s="58"/>
      <c r="E457" s="42"/>
      <c r="F457" s="42"/>
      <c r="G457" s="42"/>
      <c r="H457" s="42"/>
      <c r="I457" s="42"/>
      <c r="J457" s="42"/>
      <c r="K457" s="20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2.75" customHeight="1">
      <c r="A458" s="42"/>
      <c r="B458" s="57"/>
      <c r="C458" s="57"/>
      <c r="D458" s="58"/>
      <c r="E458" s="42"/>
      <c r="F458" s="42"/>
      <c r="G458" s="42"/>
      <c r="H458" s="42"/>
      <c r="I458" s="42"/>
      <c r="J458" s="42"/>
      <c r="K458" s="20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2.75" customHeight="1">
      <c r="A459" s="42"/>
      <c r="B459" s="57"/>
      <c r="C459" s="57"/>
      <c r="D459" s="58"/>
      <c r="E459" s="42"/>
      <c r="F459" s="42"/>
      <c r="G459" s="42"/>
      <c r="H459" s="42"/>
      <c r="I459" s="42"/>
      <c r="J459" s="42"/>
      <c r="K459" s="20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2.75" customHeight="1">
      <c r="A460" s="42"/>
      <c r="B460" s="57"/>
      <c r="C460" s="57"/>
      <c r="D460" s="58"/>
      <c r="E460" s="42"/>
      <c r="F460" s="42"/>
      <c r="G460" s="42"/>
      <c r="H460" s="42"/>
      <c r="I460" s="42"/>
      <c r="J460" s="42"/>
      <c r="K460" s="20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2.75" customHeight="1">
      <c r="A461" s="42"/>
      <c r="B461" s="57"/>
      <c r="C461" s="57"/>
      <c r="D461" s="58"/>
      <c r="E461" s="42"/>
      <c r="F461" s="42"/>
      <c r="G461" s="42"/>
      <c r="H461" s="42"/>
      <c r="I461" s="42"/>
      <c r="J461" s="42"/>
      <c r="K461" s="20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2.75" customHeight="1">
      <c r="A462" s="42"/>
      <c r="B462" s="57"/>
      <c r="C462" s="57"/>
      <c r="D462" s="58"/>
      <c r="E462" s="42"/>
      <c r="F462" s="42"/>
      <c r="G462" s="42"/>
      <c r="H462" s="42"/>
      <c r="I462" s="42"/>
      <c r="J462" s="42"/>
      <c r="K462" s="20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2.75" customHeight="1">
      <c r="A463" s="42"/>
      <c r="B463" s="57"/>
      <c r="C463" s="57"/>
      <c r="D463" s="58"/>
      <c r="E463" s="42"/>
      <c r="F463" s="42"/>
      <c r="G463" s="42"/>
      <c r="H463" s="42"/>
      <c r="I463" s="42"/>
      <c r="J463" s="42"/>
      <c r="K463" s="20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2.75" customHeight="1">
      <c r="A464" s="42"/>
      <c r="B464" s="57"/>
      <c r="C464" s="57"/>
      <c r="D464" s="58"/>
      <c r="E464" s="42"/>
      <c r="F464" s="42"/>
      <c r="G464" s="42"/>
      <c r="H464" s="42"/>
      <c r="I464" s="42"/>
      <c r="J464" s="42"/>
      <c r="K464" s="20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2.75" customHeight="1">
      <c r="A465" s="42"/>
      <c r="B465" s="57"/>
      <c r="C465" s="57"/>
      <c r="D465" s="58"/>
      <c r="E465" s="42"/>
      <c r="F465" s="42"/>
      <c r="G465" s="42"/>
      <c r="H465" s="42"/>
      <c r="I465" s="42"/>
      <c r="J465" s="42"/>
      <c r="K465" s="20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2.75" customHeight="1">
      <c r="A466" s="42"/>
      <c r="B466" s="57"/>
      <c r="C466" s="57"/>
      <c r="D466" s="58"/>
      <c r="E466" s="42"/>
      <c r="F466" s="42"/>
      <c r="G466" s="42"/>
      <c r="H466" s="42"/>
      <c r="I466" s="42"/>
      <c r="J466" s="42"/>
      <c r="K466" s="20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2.75" customHeight="1">
      <c r="A467" s="42"/>
      <c r="B467" s="57"/>
      <c r="C467" s="57"/>
      <c r="D467" s="58"/>
      <c r="E467" s="42"/>
      <c r="F467" s="42"/>
      <c r="G467" s="42"/>
      <c r="H467" s="42"/>
      <c r="I467" s="42"/>
      <c r="J467" s="42"/>
      <c r="K467" s="20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2.75" customHeight="1">
      <c r="A468" s="42"/>
      <c r="B468" s="57"/>
      <c r="C468" s="57"/>
      <c r="D468" s="58"/>
      <c r="E468" s="42"/>
      <c r="F468" s="42"/>
      <c r="G468" s="42"/>
      <c r="H468" s="42"/>
      <c r="I468" s="42"/>
      <c r="J468" s="42"/>
      <c r="K468" s="20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2.75" customHeight="1">
      <c r="A469" s="42"/>
      <c r="B469" s="57"/>
      <c r="C469" s="57"/>
      <c r="D469" s="58"/>
      <c r="E469" s="42"/>
      <c r="F469" s="42"/>
      <c r="G469" s="42"/>
      <c r="H469" s="42"/>
      <c r="I469" s="42"/>
      <c r="J469" s="42"/>
      <c r="K469" s="20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2.75" customHeight="1">
      <c r="A470" s="42"/>
      <c r="B470" s="57"/>
      <c r="C470" s="57"/>
      <c r="D470" s="58"/>
      <c r="E470" s="42"/>
      <c r="F470" s="42"/>
      <c r="G470" s="42"/>
      <c r="H470" s="42"/>
      <c r="I470" s="42"/>
      <c r="J470" s="42"/>
      <c r="K470" s="20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2.75" customHeight="1">
      <c r="A471" s="42"/>
      <c r="B471" s="57"/>
      <c r="C471" s="57"/>
      <c r="D471" s="58"/>
      <c r="E471" s="42"/>
      <c r="F471" s="42"/>
      <c r="G471" s="42"/>
      <c r="H471" s="42"/>
      <c r="I471" s="42"/>
      <c r="J471" s="42"/>
      <c r="K471" s="20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2.75" customHeight="1">
      <c r="A472" s="42"/>
      <c r="B472" s="57"/>
      <c r="C472" s="57"/>
      <c r="D472" s="58"/>
      <c r="E472" s="42"/>
      <c r="F472" s="42"/>
      <c r="G472" s="42"/>
      <c r="H472" s="42"/>
      <c r="I472" s="42"/>
      <c r="J472" s="42"/>
      <c r="K472" s="20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2.75" customHeight="1">
      <c r="A473" s="42"/>
      <c r="B473" s="57"/>
      <c r="C473" s="57"/>
      <c r="D473" s="58"/>
      <c r="E473" s="42"/>
      <c r="F473" s="42"/>
      <c r="G473" s="42"/>
      <c r="H473" s="42"/>
      <c r="I473" s="42"/>
      <c r="J473" s="42"/>
      <c r="K473" s="20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2.75" customHeight="1">
      <c r="A474" s="42"/>
      <c r="B474" s="57"/>
      <c r="C474" s="57"/>
      <c r="D474" s="58"/>
      <c r="E474" s="42"/>
      <c r="F474" s="42"/>
      <c r="G474" s="42"/>
      <c r="H474" s="42"/>
      <c r="I474" s="42"/>
      <c r="J474" s="42"/>
      <c r="K474" s="20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2.75" customHeight="1">
      <c r="A475" s="42"/>
      <c r="B475" s="57"/>
      <c r="C475" s="57"/>
      <c r="D475" s="58"/>
      <c r="E475" s="42"/>
      <c r="F475" s="42"/>
      <c r="G475" s="42"/>
      <c r="H475" s="42"/>
      <c r="I475" s="42"/>
      <c r="J475" s="42"/>
      <c r="K475" s="20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2.75" customHeight="1">
      <c r="A476" s="42"/>
      <c r="B476" s="57"/>
      <c r="C476" s="57"/>
      <c r="D476" s="58"/>
      <c r="E476" s="42"/>
      <c r="F476" s="42"/>
      <c r="G476" s="42"/>
      <c r="H476" s="42"/>
      <c r="I476" s="42"/>
      <c r="J476" s="42"/>
      <c r="K476" s="20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2.75" customHeight="1">
      <c r="A477" s="42"/>
      <c r="B477" s="57"/>
      <c r="C477" s="57"/>
      <c r="D477" s="58"/>
      <c r="E477" s="42"/>
      <c r="F477" s="42"/>
      <c r="G477" s="42"/>
      <c r="H477" s="42"/>
      <c r="I477" s="42"/>
      <c r="J477" s="42"/>
      <c r="K477" s="20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2.75" customHeight="1">
      <c r="A478" s="42"/>
      <c r="B478" s="57"/>
      <c r="C478" s="57"/>
      <c r="D478" s="58"/>
      <c r="E478" s="42"/>
      <c r="F478" s="42"/>
      <c r="G478" s="42"/>
      <c r="H478" s="42"/>
      <c r="I478" s="42"/>
      <c r="J478" s="42"/>
      <c r="K478" s="20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2.75" customHeight="1">
      <c r="A479" s="42"/>
      <c r="B479" s="57"/>
      <c r="C479" s="57"/>
      <c r="D479" s="58"/>
      <c r="E479" s="42"/>
      <c r="F479" s="42"/>
      <c r="G479" s="42"/>
      <c r="H479" s="42"/>
      <c r="I479" s="42"/>
      <c r="J479" s="42"/>
      <c r="K479" s="20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2.75" customHeight="1">
      <c r="A480" s="42"/>
      <c r="B480" s="57"/>
      <c r="C480" s="57"/>
      <c r="D480" s="58"/>
      <c r="E480" s="42"/>
      <c r="F480" s="42"/>
      <c r="G480" s="42"/>
      <c r="H480" s="42"/>
      <c r="I480" s="42"/>
      <c r="J480" s="42"/>
      <c r="K480" s="20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2.75" customHeight="1">
      <c r="A481" s="42"/>
      <c r="B481" s="57"/>
      <c r="C481" s="57"/>
      <c r="D481" s="58"/>
      <c r="E481" s="42"/>
      <c r="F481" s="42"/>
      <c r="G481" s="42"/>
      <c r="H481" s="42"/>
      <c r="I481" s="42"/>
      <c r="J481" s="42"/>
      <c r="K481" s="20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2.75" customHeight="1">
      <c r="A482" s="42"/>
      <c r="B482" s="57"/>
      <c r="C482" s="57"/>
      <c r="D482" s="58"/>
      <c r="E482" s="42"/>
      <c r="F482" s="42"/>
      <c r="G482" s="42"/>
      <c r="H482" s="42"/>
      <c r="I482" s="42"/>
      <c r="J482" s="42"/>
      <c r="K482" s="20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2.75" customHeight="1">
      <c r="A483" s="42"/>
      <c r="B483" s="57"/>
      <c r="C483" s="57"/>
      <c r="D483" s="58"/>
      <c r="E483" s="42"/>
      <c r="F483" s="42"/>
      <c r="G483" s="42"/>
      <c r="H483" s="42"/>
      <c r="I483" s="42"/>
      <c r="J483" s="42"/>
      <c r="K483" s="20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2.75" customHeight="1">
      <c r="A484" s="42"/>
      <c r="B484" s="57"/>
      <c r="C484" s="57"/>
      <c r="D484" s="58"/>
      <c r="E484" s="42"/>
      <c r="F484" s="42"/>
      <c r="G484" s="42"/>
      <c r="H484" s="42"/>
      <c r="I484" s="42"/>
      <c r="J484" s="42"/>
      <c r="K484" s="20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2.75" customHeight="1">
      <c r="A485" s="42"/>
      <c r="B485" s="57"/>
      <c r="C485" s="57"/>
      <c r="D485" s="58"/>
      <c r="E485" s="42"/>
      <c r="F485" s="42"/>
      <c r="G485" s="42"/>
      <c r="H485" s="42"/>
      <c r="I485" s="42"/>
      <c r="J485" s="42"/>
      <c r="K485" s="20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2.75" customHeight="1">
      <c r="A486" s="42"/>
      <c r="B486" s="57"/>
      <c r="C486" s="57"/>
      <c r="D486" s="58"/>
      <c r="E486" s="42"/>
      <c r="F486" s="42"/>
      <c r="G486" s="42"/>
      <c r="H486" s="42"/>
      <c r="I486" s="42"/>
      <c r="J486" s="42"/>
      <c r="K486" s="20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2.75" customHeight="1">
      <c r="A487" s="42"/>
      <c r="B487" s="57"/>
      <c r="C487" s="57"/>
      <c r="D487" s="58"/>
      <c r="E487" s="42"/>
      <c r="F487" s="42"/>
      <c r="G487" s="42"/>
      <c r="H487" s="42"/>
      <c r="I487" s="42"/>
      <c r="J487" s="42"/>
      <c r="K487" s="20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2.75" customHeight="1">
      <c r="A488" s="42"/>
      <c r="B488" s="57"/>
      <c r="C488" s="57"/>
      <c r="D488" s="58"/>
      <c r="E488" s="42"/>
      <c r="F488" s="42"/>
      <c r="G488" s="42"/>
      <c r="H488" s="42"/>
      <c r="I488" s="42"/>
      <c r="J488" s="42"/>
      <c r="K488" s="20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2.75" customHeight="1">
      <c r="A489" s="42"/>
      <c r="B489" s="57"/>
      <c r="C489" s="57"/>
      <c r="D489" s="58"/>
      <c r="E489" s="42"/>
      <c r="F489" s="42"/>
      <c r="G489" s="42"/>
      <c r="H489" s="42"/>
      <c r="I489" s="42"/>
      <c r="J489" s="42"/>
      <c r="K489" s="20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2.75" customHeight="1">
      <c r="A490" s="42"/>
      <c r="B490" s="57"/>
      <c r="C490" s="57"/>
      <c r="D490" s="58"/>
      <c r="E490" s="42"/>
      <c r="F490" s="42"/>
      <c r="G490" s="42"/>
      <c r="H490" s="42"/>
      <c r="I490" s="42"/>
      <c r="J490" s="42"/>
      <c r="K490" s="20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2.75" customHeight="1">
      <c r="A491" s="42"/>
      <c r="B491" s="57"/>
      <c r="C491" s="57"/>
      <c r="D491" s="58"/>
      <c r="E491" s="42"/>
      <c r="F491" s="42"/>
      <c r="G491" s="42"/>
      <c r="H491" s="42"/>
      <c r="I491" s="42"/>
      <c r="J491" s="42"/>
      <c r="K491" s="20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2.75" customHeight="1">
      <c r="A492" s="42"/>
      <c r="B492" s="57"/>
      <c r="C492" s="57"/>
      <c r="D492" s="58"/>
      <c r="E492" s="42"/>
      <c r="F492" s="42"/>
      <c r="G492" s="42"/>
      <c r="H492" s="42"/>
      <c r="I492" s="42"/>
      <c r="J492" s="42"/>
      <c r="K492" s="20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2.75" customHeight="1">
      <c r="A493" s="42"/>
      <c r="B493" s="57"/>
      <c r="C493" s="57"/>
      <c r="D493" s="58"/>
      <c r="E493" s="42"/>
      <c r="F493" s="42"/>
      <c r="G493" s="42"/>
      <c r="H493" s="42"/>
      <c r="I493" s="42"/>
      <c r="J493" s="42"/>
      <c r="K493" s="20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2.75" customHeight="1">
      <c r="A494" s="42"/>
      <c r="B494" s="57"/>
      <c r="C494" s="57"/>
      <c r="D494" s="58"/>
      <c r="E494" s="42"/>
      <c r="F494" s="42"/>
      <c r="G494" s="42"/>
      <c r="H494" s="42"/>
      <c r="I494" s="42"/>
      <c r="J494" s="42"/>
      <c r="K494" s="20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2.75" customHeight="1">
      <c r="A495" s="42"/>
      <c r="B495" s="57"/>
      <c r="C495" s="57"/>
      <c r="D495" s="58"/>
      <c r="E495" s="42"/>
      <c r="F495" s="42"/>
      <c r="G495" s="42"/>
      <c r="H495" s="42"/>
      <c r="I495" s="42"/>
      <c r="J495" s="42"/>
      <c r="K495" s="20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2.75" customHeight="1">
      <c r="A496" s="42"/>
      <c r="B496" s="57"/>
      <c r="C496" s="57"/>
      <c r="D496" s="58"/>
      <c r="E496" s="42"/>
      <c r="F496" s="42"/>
      <c r="G496" s="42"/>
      <c r="H496" s="42"/>
      <c r="I496" s="42"/>
      <c r="J496" s="42"/>
      <c r="K496" s="20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2.75" customHeight="1">
      <c r="A497" s="42"/>
      <c r="B497" s="57"/>
      <c r="C497" s="57"/>
      <c r="D497" s="58"/>
      <c r="E497" s="42"/>
      <c r="F497" s="42"/>
      <c r="G497" s="42"/>
      <c r="H497" s="42"/>
      <c r="I497" s="42"/>
      <c r="J497" s="42"/>
      <c r="K497" s="20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2.75" customHeight="1">
      <c r="A498" s="42"/>
      <c r="B498" s="57"/>
      <c r="C498" s="57"/>
      <c r="D498" s="58"/>
      <c r="E498" s="42"/>
      <c r="F498" s="42"/>
      <c r="G498" s="42"/>
      <c r="H498" s="42"/>
      <c r="I498" s="42"/>
      <c r="J498" s="42"/>
      <c r="K498" s="20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2.75" customHeight="1">
      <c r="A499" s="42"/>
      <c r="B499" s="57"/>
      <c r="C499" s="57"/>
      <c r="D499" s="58"/>
      <c r="E499" s="42"/>
      <c r="F499" s="42"/>
      <c r="G499" s="42"/>
      <c r="H499" s="42"/>
      <c r="I499" s="42"/>
      <c r="J499" s="42"/>
      <c r="K499" s="20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2.75" customHeight="1">
      <c r="A500" s="42"/>
      <c r="B500" s="57"/>
      <c r="C500" s="57"/>
      <c r="D500" s="58"/>
      <c r="E500" s="42"/>
      <c r="F500" s="42"/>
      <c r="G500" s="42"/>
      <c r="H500" s="42"/>
      <c r="I500" s="42"/>
      <c r="J500" s="42"/>
      <c r="K500" s="20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2.75" customHeight="1">
      <c r="A501" s="42"/>
      <c r="B501" s="57"/>
      <c r="C501" s="57"/>
      <c r="D501" s="58"/>
      <c r="E501" s="42"/>
      <c r="F501" s="42"/>
      <c r="G501" s="42"/>
      <c r="H501" s="42"/>
      <c r="I501" s="42"/>
      <c r="J501" s="42"/>
      <c r="K501" s="20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2.75" customHeight="1">
      <c r="A502" s="42"/>
      <c r="B502" s="57"/>
      <c r="C502" s="57"/>
      <c r="D502" s="58"/>
      <c r="E502" s="42"/>
      <c r="F502" s="42"/>
      <c r="G502" s="42"/>
      <c r="H502" s="42"/>
      <c r="I502" s="42"/>
      <c r="J502" s="42"/>
      <c r="K502" s="20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2.75" customHeight="1">
      <c r="A503" s="42"/>
      <c r="B503" s="57"/>
      <c r="C503" s="57"/>
      <c r="D503" s="58"/>
      <c r="E503" s="42"/>
      <c r="F503" s="42"/>
      <c r="G503" s="42"/>
      <c r="H503" s="42"/>
      <c r="I503" s="42"/>
      <c r="J503" s="42"/>
      <c r="K503" s="20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2.75" customHeight="1">
      <c r="A504" s="42"/>
      <c r="B504" s="57"/>
      <c r="C504" s="57"/>
      <c r="D504" s="58"/>
      <c r="E504" s="42"/>
      <c r="F504" s="42"/>
      <c r="G504" s="42"/>
      <c r="H504" s="42"/>
      <c r="I504" s="42"/>
      <c r="J504" s="42"/>
      <c r="K504" s="20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2.75" customHeight="1">
      <c r="A505" s="42"/>
      <c r="B505" s="57"/>
      <c r="C505" s="57"/>
      <c r="D505" s="58"/>
      <c r="E505" s="42"/>
      <c r="F505" s="42"/>
      <c r="G505" s="42"/>
      <c r="H505" s="42"/>
      <c r="I505" s="42"/>
      <c r="J505" s="42"/>
      <c r="K505" s="20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2.75" customHeight="1">
      <c r="A506" s="42"/>
      <c r="B506" s="57"/>
      <c r="C506" s="57"/>
      <c r="D506" s="58"/>
      <c r="E506" s="42"/>
      <c r="F506" s="42"/>
      <c r="G506" s="42"/>
      <c r="H506" s="42"/>
      <c r="I506" s="42"/>
      <c r="J506" s="42"/>
      <c r="K506" s="20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2.75" customHeight="1">
      <c r="A507" s="42"/>
      <c r="B507" s="57"/>
      <c r="C507" s="57"/>
      <c r="D507" s="58"/>
      <c r="E507" s="42"/>
      <c r="F507" s="42"/>
      <c r="G507" s="42"/>
      <c r="H507" s="42"/>
      <c r="I507" s="42"/>
      <c r="J507" s="42"/>
      <c r="K507" s="20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2.75" customHeight="1">
      <c r="A508" s="42"/>
      <c r="B508" s="57"/>
      <c r="C508" s="57"/>
      <c r="D508" s="58"/>
      <c r="E508" s="42"/>
      <c r="F508" s="42"/>
      <c r="G508" s="42"/>
      <c r="H508" s="42"/>
      <c r="I508" s="42"/>
      <c r="J508" s="42"/>
      <c r="K508" s="20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2.75" customHeight="1">
      <c r="A509" s="42"/>
      <c r="B509" s="57"/>
      <c r="C509" s="57"/>
      <c r="D509" s="58"/>
      <c r="E509" s="42"/>
      <c r="F509" s="42"/>
      <c r="G509" s="42"/>
      <c r="H509" s="42"/>
      <c r="I509" s="42"/>
      <c r="J509" s="42"/>
      <c r="K509" s="20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2.75" customHeight="1">
      <c r="A510" s="42"/>
      <c r="B510" s="57"/>
      <c r="C510" s="57"/>
      <c r="D510" s="58"/>
      <c r="E510" s="42"/>
      <c r="F510" s="42"/>
      <c r="G510" s="42"/>
      <c r="H510" s="42"/>
      <c r="I510" s="42"/>
      <c r="J510" s="42"/>
      <c r="K510" s="20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2.75" customHeight="1">
      <c r="A511" s="42"/>
      <c r="B511" s="57"/>
      <c r="C511" s="57"/>
      <c r="D511" s="58"/>
      <c r="E511" s="42"/>
      <c r="F511" s="42"/>
      <c r="G511" s="42"/>
      <c r="H511" s="42"/>
      <c r="I511" s="42"/>
      <c r="J511" s="42"/>
      <c r="K511" s="20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2.75" customHeight="1">
      <c r="A512" s="42"/>
      <c r="B512" s="57"/>
      <c r="C512" s="57"/>
      <c r="D512" s="58"/>
      <c r="E512" s="42"/>
      <c r="F512" s="42"/>
      <c r="G512" s="42"/>
      <c r="H512" s="42"/>
      <c r="I512" s="42"/>
      <c r="J512" s="42"/>
      <c r="K512" s="20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2.75" customHeight="1">
      <c r="A513" s="42"/>
      <c r="B513" s="57"/>
      <c r="C513" s="57"/>
      <c r="D513" s="58"/>
      <c r="E513" s="42"/>
      <c r="F513" s="42"/>
      <c r="G513" s="42"/>
      <c r="H513" s="42"/>
      <c r="I513" s="42"/>
      <c r="J513" s="42"/>
      <c r="K513" s="20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2.75" customHeight="1">
      <c r="A514" s="42"/>
      <c r="B514" s="57"/>
      <c r="C514" s="57"/>
      <c r="D514" s="58"/>
      <c r="E514" s="42"/>
      <c r="F514" s="42"/>
      <c r="G514" s="42"/>
      <c r="H514" s="42"/>
      <c r="I514" s="42"/>
      <c r="J514" s="42"/>
      <c r="K514" s="20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2.75" customHeight="1">
      <c r="A515" s="42"/>
      <c r="B515" s="57"/>
      <c r="C515" s="57"/>
      <c r="D515" s="58"/>
      <c r="E515" s="42"/>
      <c r="F515" s="42"/>
      <c r="G515" s="42"/>
      <c r="H515" s="42"/>
      <c r="I515" s="42"/>
      <c r="J515" s="42"/>
      <c r="K515" s="20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2.75" customHeight="1">
      <c r="A516" s="42"/>
      <c r="B516" s="57"/>
      <c r="C516" s="57"/>
      <c r="D516" s="58"/>
      <c r="E516" s="42"/>
      <c r="F516" s="42"/>
      <c r="G516" s="42"/>
      <c r="H516" s="42"/>
      <c r="I516" s="42"/>
      <c r="J516" s="42"/>
      <c r="K516" s="20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2.75" customHeight="1">
      <c r="A517" s="42"/>
      <c r="B517" s="57"/>
      <c r="C517" s="57"/>
      <c r="D517" s="58"/>
      <c r="E517" s="42"/>
      <c r="F517" s="42"/>
      <c r="G517" s="42"/>
      <c r="H517" s="42"/>
      <c r="I517" s="42"/>
      <c r="J517" s="42"/>
      <c r="K517" s="20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2.75" customHeight="1">
      <c r="A518" s="42"/>
      <c r="B518" s="57"/>
      <c r="C518" s="57"/>
      <c r="D518" s="58"/>
      <c r="E518" s="42"/>
      <c r="F518" s="42"/>
      <c r="G518" s="42"/>
      <c r="H518" s="42"/>
      <c r="I518" s="42"/>
      <c r="J518" s="42"/>
      <c r="K518" s="20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2.75" customHeight="1">
      <c r="A519" s="42"/>
      <c r="B519" s="57"/>
      <c r="C519" s="57"/>
      <c r="D519" s="58"/>
      <c r="E519" s="42"/>
      <c r="F519" s="42"/>
      <c r="G519" s="42"/>
      <c r="H519" s="42"/>
      <c r="I519" s="42"/>
      <c r="J519" s="42"/>
      <c r="K519" s="20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2.75" customHeight="1">
      <c r="A520" s="42"/>
      <c r="B520" s="57"/>
      <c r="C520" s="57"/>
      <c r="D520" s="58"/>
      <c r="E520" s="42"/>
      <c r="F520" s="42"/>
      <c r="G520" s="42"/>
      <c r="H520" s="42"/>
      <c r="I520" s="42"/>
      <c r="J520" s="42"/>
      <c r="K520" s="20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2.75" customHeight="1">
      <c r="A521" s="42"/>
      <c r="B521" s="57"/>
      <c r="C521" s="57"/>
      <c r="D521" s="58"/>
      <c r="E521" s="42"/>
      <c r="F521" s="42"/>
      <c r="G521" s="42"/>
      <c r="H521" s="42"/>
      <c r="I521" s="42"/>
      <c r="J521" s="42"/>
      <c r="K521" s="20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2.75" customHeight="1">
      <c r="A522" s="42"/>
      <c r="B522" s="57"/>
      <c r="C522" s="57"/>
      <c r="D522" s="58"/>
      <c r="E522" s="42"/>
      <c r="F522" s="42"/>
      <c r="G522" s="42"/>
      <c r="H522" s="42"/>
      <c r="I522" s="42"/>
      <c r="J522" s="42"/>
      <c r="K522" s="20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2.75" customHeight="1">
      <c r="A523" s="42"/>
      <c r="B523" s="57"/>
      <c r="C523" s="57"/>
      <c r="D523" s="58"/>
      <c r="E523" s="42"/>
      <c r="F523" s="42"/>
      <c r="G523" s="42"/>
      <c r="H523" s="42"/>
      <c r="I523" s="42"/>
      <c r="J523" s="42"/>
      <c r="K523" s="20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2.75" customHeight="1">
      <c r="A524" s="42"/>
      <c r="B524" s="57"/>
      <c r="C524" s="57"/>
      <c r="D524" s="58"/>
      <c r="E524" s="42"/>
      <c r="F524" s="42"/>
      <c r="G524" s="42"/>
      <c r="H524" s="42"/>
      <c r="I524" s="42"/>
      <c r="J524" s="42"/>
      <c r="K524" s="20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2.75" customHeight="1">
      <c r="A525" s="42"/>
      <c r="B525" s="57"/>
      <c r="C525" s="57"/>
      <c r="D525" s="58"/>
      <c r="E525" s="42"/>
      <c r="F525" s="42"/>
      <c r="G525" s="42"/>
      <c r="H525" s="42"/>
      <c r="I525" s="42"/>
      <c r="J525" s="42"/>
      <c r="K525" s="20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2.75" customHeight="1">
      <c r="A526" s="42"/>
      <c r="B526" s="57"/>
      <c r="C526" s="57"/>
      <c r="D526" s="58"/>
      <c r="E526" s="42"/>
      <c r="F526" s="42"/>
      <c r="G526" s="42"/>
      <c r="H526" s="42"/>
      <c r="I526" s="42"/>
      <c r="J526" s="42"/>
      <c r="K526" s="20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2.75" customHeight="1">
      <c r="A527" s="42"/>
      <c r="B527" s="57"/>
      <c r="C527" s="57"/>
      <c r="D527" s="58"/>
      <c r="E527" s="42"/>
      <c r="F527" s="42"/>
      <c r="G527" s="42"/>
      <c r="H527" s="42"/>
      <c r="I527" s="42"/>
      <c r="J527" s="42"/>
      <c r="K527" s="20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2.75" customHeight="1">
      <c r="A528" s="42"/>
      <c r="B528" s="57"/>
      <c r="C528" s="57"/>
      <c r="D528" s="58"/>
      <c r="E528" s="42"/>
      <c r="F528" s="42"/>
      <c r="G528" s="42"/>
      <c r="H528" s="42"/>
      <c r="I528" s="42"/>
      <c r="J528" s="42"/>
      <c r="K528" s="20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2.75" customHeight="1">
      <c r="A529" s="42"/>
      <c r="B529" s="57"/>
      <c r="C529" s="57"/>
      <c r="D529" s="58"/>
      <c r="E529" s="42"/>
      <c r="F529" s="42"/>
      <c r="G529" s="42"/>
      <c r="H529" s="42"/>
      <c r="I529" s="42"/>
      <c r="J529" s="42"/>
      <c r="K529" s="20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2.75" customHeight="1">
      <c r="A530" s="42"/>
      <c r="B530" s="57"/>
      <c r="C530" s="57"/>
      <c r="D530" s="58"/>
      <c r="E530" s="42"/>
      <c r="F530" s="42"/>
      <c r="G530" s="42"/>
      <c r="H530" s="42"/>
      <c r="I530" s="42"/>
      <c r="J530" s="42"/>
      <c r="K530" s="20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2.75" customHeight="1">
      <c r="A531" s="42"/>
      <c r="B531" s="57"/>
      <c r="C531" s="57"/>
      <c r="D531" s="58"/>
      <c r="E531" s="42"/>
      <c r="F531" s="42"/>
      <c r="G531" s="42"/>
      <c r="H531" s="42"/>
      <c r="I531" s="42"/>
      <c r="J531" s="42"/>
      <c r="K531" s="20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2.75" customHeight="1">
      <c r="A532" s="42"/>
      <c r="B532" s="57"/>
      <c r="C532" s="57"/>
      <c r="D532" s="58"/>
      <c r="E532" s="42"/>
      <c r="F532" s="42"/>
      <c r="G532" s="42"/>
      <c r="H532" s="42"/>
      <c r="I532" s="42"/>
      <c r="J532" s="42"/>
      <c r="K532" s="20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2.75" customHeight="1">
      <c r="A533" s="42"/>
      <c r="B533" s="57"/>
      <c r="C533" s="57"/>
      <c r="D533" s="58"/>
      <c r="E533" s="42"/>
      <c r="F533" s="42"/>
      <c r="G533" s="42"/>
      <c r="H533" s="42"/>
      <c r="I533" s="42"/>
      <c r="J533" s="42"/>
      <c r="K533" s="20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2.75" customHeight="1">
      <c r="A534" s="42"/>
      <c r="B534" s="57"/>
      <c r="C534" s="57"/>
      <c r="D534" s="58"/>
      <c r="E534" s="42"/>
      <c r="F534" s="42"/>
      <c r="G534" s="42"/>
      <c r="H534" s="42"/>
      <c r="I534" s="42"/>
      <c r="J534" s="42"/>
      <c r="K534" s="20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2.75" customHeight="1">
      <c r="A535" s="42"/>
      <c r="B535" s="57"/>
      <c r="C535" s="57"/>
      <c r="D535" s="58"/>
      <c r="E535" s="42"/>
      <c r="F535" s="42"/>
      <c r="G535" s="42"/>
      <c r="H535" s="42"/>
      <c r="I535" s="42"/>
      <c r="J535" s="42"/>
      <c r="K535" s="20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2.75" customHeight="1">
      <c r="A536" s="42"/>
      <c r="B536" s="57"/>
      <c r="C536" s="57"/>
      <c r="D536" s="58"/>
      <c r="E536" s="42"/>
      <c r="F536" s="42"/>
      <c r="G536" s="42"/>
      <c r="H536" s="42"/>
      <c r="I536" s="42"/>
      <c r="J536" s="42"/>
      <c r="K536" s="20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2.75" customHeight="1">
      <c r="A537" s="42"/>
      <c r="B537" s="57"/>
      <c r="C537" s="57"/>
      <c r="D537" s="58"/>
      <c r="E537" s="42"/>
      <c r="F537" s="42"/>
      <c r="G537" s="42"/>
      <c r="H537" s="42"/>
      <c r="I537" s="42"/>
      <c r="J537" s="42"/>
      <c r="K537" s="20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2.75" customHeight="1">
      <c r="A538" s="42"/>
      <c r="B538" s="57"/>
      <c r="C538" s="57"/>
      <c r="D538" s="58"/>
      <c r="E538" s="42"/>
      <c r="F538" s="42"/>
      <c r="G538" s="42"/>
      <c r="H538" s="42"/>
      <c r="I538" s="42"/>
      <c r="J538" s="42"/>
      <c r="K538" s="20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2.75" customHeight="1">
      <c r="A539" s="42"/>
      <c r="B539" s="57"/>
      <c r="C539" s="57"/>
      <c r="D539" s="58"/>
      <c r="E539" s="42"/>
      <c r="F539" s="42"/>
      <c r="G539" s="42"/>
      <c r="H539" s="42"/>
      <c r="I539" s="42"/>
      <c r="J539" s="42"/>
      <c r="K539" s="20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2.75" customHeight="1">
      <c r="A540" s="42"/>
      <c r="B540" s="57"/>
      <c r="C540" s="57"/>
      <c r="D540" s="58"/>
      <c r="E540" s="42"/>
      <c r="F540" s="42"/>
      <c r="G540" s="42"/>
      <c r="H540" s="42"/>
      <c r="I540" s="42"/>
      <c r="J540" s="42"/>
      <c r="K540" s="20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2.75" customHeight="1">
      <c r="A541" s="42"/>
      <c r="B541" s="57"/>
      <c r="C541" s="57"/>
      <c r="D541" s="58"/>
      <c r="E541" s="42"/>
      <c r="F541" s="42"/>
      <c r="G541" s="42"/>
      <c r="H541" s="42"/>
      <c r="I541" s="42"/>
      <c r="J541" s="42"/>
      <c r="K541" s="20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2.75" customHeight="1">
      <c r="A542" s="42"/>
      <c r="B542" s="57"/>
      <c r="C542" s="57"/>
      <c r="D542" s="58"/>
      <c r="E542" s="42"/>
      <c r="F542" s="42"/>
      <c r="G542" s="42"/>
      <c r="H542" s="42"/>
      <c r="I542" s="42"/>
      <c r="J542" s="42"/>
      <c r="K542" s="20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2.75" customHeight="1">
      <c r="A543" s="42"/>
      <c r="B543" s="57"/>
      <c r="C543" s="57"/>
      <c r="D543" s="58"/>
      <c r="E543" s="42"/>
      <c r="F543" s="42"/>
      <c r="G543" s="42"/>
      <c r="H543" s="42"/>
      <c r="I543" s="42"/>
      <c r="J543" s="42"/>
      <c r="K543" s="20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2.75" customHeight="1">
      <c r="A544" s="42"/>
      <c r="B544" s="57"/>
      <c r="C544" s="57"/>
      <c r="D544" s="58"/>
      <c r="E544" s="42"/>
      <c r="F544" s="42"/>
      <c r="G544" s="42"/>
      <c r="H544" s="42"/>
      <c r="I544" s="42"/>
      <c r="J544" s="42"/>
      <c r="K544" s="20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2.75" customHeight="1">
      <c r="A545" s="42"/>
      <c r="B545" s="57"/>
      <c r="C545" s="57"/>
      <c r="D545" s="58"/>
      <c r="E545" s="42"/>
      <c r="F545" s="42"/>
      <c r="G545" s="42"/>
      <c r="H545" s="42"/>
      <c r="I545" s="42"/>
      <c r="J545" s="42"/>
      <c r="K545" s="20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2.75" customHeight="1">
      <c r="A546" s="42"/>
      <c r="B546" s="57"/>
      <c r="C546" s="57"/>
      <c r="D546" s="58"/>
      <c r="E546" s="42"/>
      <c r="F546" s="42"/>
      <c r="G546" s="42"/>
      <c r="H546" s="42"/>
      <c r="I546" s="42"/>
      <c r="J546" s="42"/>
      <c r="K546" s="20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2.75" customHeight="1">
      <c r="A547" s="42"/>
      <c r="B547" s="57"/>
      <c r="C547" s="57"/>
      <c r="D547" s="58"/>
      <c r="E547" s="42"/>
      <c r="F547" s="42"/>
      <c r="G547" s="42"/>
      <c r="H547" s="42"/>
      <c r="I547" s="42"/>
      <c r="J547" s="42"/>
      <c r="K547" s="20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2.75" customHeight="1">
      <c r="A548" s="42"/>
      <c r="B548" s="57"/>
      <c r="C548" s="57"/>
      <c r="D548" s="58"/>
      <c r="E548" s="42"/>
      <c r="F548" s="42"/>
      <c r="G548" s="42"/>
      <c r="H548" s="42"/>
      <c r="I548" s="42"/>
      <c r="J548" s="42"/>
      <c r="K548" s="20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2.75" customHeight="1">
      <c r="A549" s="42"/>
      <c r="B549" s="57"/>
      <c r="C549" s="57"/>
      <c r="D549" s="58"/>
      <c r="E549" s="42"/>
      <c r="F549" s="42"/>
      <c r="G549" s="42"/>
      <c r="H549" s="42"/>
      <c r="I549" s="42"/>
      <c r="J549" s="42"/>
      <c r="K549" s="20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2.75" customHeight="1">
      <c r="A550" s="42"/>
      <c r="B550" s="57"/>
      <c r="C550" s="57"/>
      <c r="D550" s="58"/>
      <c r="E550" s="42"/>
      <c r="F550" s="42"/>
      <c r="G550" s="42"/>
      <c r="H550" s="42"/>
      <c r="I550" s="42"/>
      <c r="J550" s="42"/>
      <c r="K550" s="20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2.75" customHeight="1">
      <c r="A551" s="42"/>
      <c r="B551" s="57"/>
      <c r="C551" s="57"/>
      <c r="D551" s="58"/>
      <c r="E551" s="42"/>
      <c r="F551" s="42"/>
      <c r="G551" s="42"/>
      <c r="H551" s="42"/>
      <c r="I551" s="42"/>
      <c r="J551" s="42"/>
      <c r="K551" s="20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2.75" customHeight="1">
      <c r="A552" s="42"/>
      <c r="B552" s="57"/>
      <c r="C552" s="57"/>
      <c r="D552" s="58"/>
      <c r="E552" s="42"/>
      <c r="F552" s="42"/>
      <c r="G552" s="42"/>
      <c r="H552" s="42"/>
      <c r="I552" s="42"/>
      <c r="J552" s="42"/>
      <c r="K552" s="20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2.75" customHeight="1">
      <c r="A553" s="42"/>
      <c r="B553" s="57"/>
      <c r="C553" s="57"/>
      <c r="D553" s="58"/>
      <c r="E553" s="42"/>
      <c r="F553" s="42"/>
      <c r="G553" s="42"/>
      <c r="H553" s="42"/>
      <c r="I553" s="42"/>
      <c r="J553" s="42"/>
      <c r="K553" s="20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2.75" customHeight="1">
      <c r="A554" s="42"/>
      <c r="B554" s="57"/>
      <c r="C554" s="57"/>
      <c r="D554" s="58"/>
      <c r="E554" s="42"/>
      <c r="F554" s="42"/>
      <c r="G554" s="42"/>
      <c r="H554" s="42"/>
      <c r="I554" s="42"/>
      <c r="J554" s="42"/>
      <c r="K554" s="20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2.75" customHeight="1">
      <c r="A555" s="42"/>
      <c r="B555" s="57"/>
      <c r="C555" s="57"/>
      <c r="D555" s="58"/>
      <c r="E555" s="42"/>
      <c r="F555" s="42"/>
      <c r="G555" s="42"/>
      <c r="H555" s="42"/>
      <c r="I555" s="42"/>
      <c r="J555" s="42"/>
      <c r="K555" s="20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2.75" customHeight="1">
      <c r="A556" s="42"/>
      <c r="B556" s="57"/>
      <c r="C556" s="57"/>
      <c r="D556" s="58"/>
      <c r="E556" s="42"/>
      <c r="F556" s="42"/>
      <c r="G556" s="42"/>
      <c r="H556" s="42"/>
      <c r="I556" s="42"/>
      <c r="J556" s="42"/>
      <c r="K556" s="20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2.75" customHeight="1">
      <c r="A557" s="42"/>
      <c r="B557" s="57"/>
      <c r="C557" s="57"/>
      <c r="D557" s="58"/>
      <c r="E557" s="42"/>
      <c r="F557" s="42"/>
      <c r="G557" s="42"/>
      <c r="H557" s="42"/>
      <c r="I557" s="42"/>
      <c r="J557" s="42"/>
      <c r="K557" s="20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2.75" customHeight="1">
      <c r="A558" s="42"/>
      <c r="B558" s="57"/>
      <c r="C558" s="57"/>
      <c r="D558" s="58"/>
      <c r="E558" s="42"/>
      <c r="F558" s="42"/>
      <c r="G558" s="42"/>
      <c r="H558" s="42"/>
      <c r="I558" s="42"/>
      <c r="J558" s="42"/>
      <c r="K558" s="20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2.75" customHeight="1">
      <c r="A559" s="42"/>
      <c r="B559" s="57"/>
      <c r="C559" s="57"/>
      <c r="D559" s="58"/>
      <c r="E559" s="42"/>
      <c r="F559" s="42"/>
      <c r="G559" s="42"/>
      <c r="H559" s="42"/>
      <c r="I559" s="42"/>
      <c r="J559" s="42"/>
      <c r="K559" s="20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2.75" customHeight="1">
      <c r="A560" s="42"/>
      <c r="B560" s="57"/>
      <c r="C560" s="57"/>
      <c r="D560" s="58"/>
      <c r="E560" s="42"/>
      <c r="F560" s="42"/>
      <c r="G560" s="42"/>
      <c r="H560" s="42"/>
      <c r="I560" s="42"/>
      <c r="J560" s="42"/>
      <c r="K560" s="20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2.75" customHeight="1">
      <c r="A561" s="42"/>
      <c r="B561" s="57"/>
      <c r="C561" s="57"/>
      <c r="D561" s="58"/>
      <c r="E561" s="42"/>
      <c r="F561" s="42"/>
      <c r="G561" s="42"/>
      <c r="H561" s="42"/>
      <c r="I561" s="42"/>
      <c r="J561" s="42"/>
      <c r="K561" s="20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2.75" customHeight="1">
      <c r="A562" s="42"/>
      <c r="B562" s="57"/>
      <c r="C562" s="57"/>
      <c r="D562" s="58"/>
      <c r="E562" s="42"/>
      <c r="F562" s="42"/>
      <c r="G562" s="42"/>
      <c r="H562" s="42"/>
      <c r="I562" s="42"/>
      <c r="J562" s="42"/>
      <c r="K562" s="20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2.75" customHeight="1">
      <c r="A563" s="42"/>
      <c r="B563" s="57"/>
      <c r="C563" s="57"/>
      <c r="D563" s="58"/>
      <c r="E563" s="42"/>
      <c r="F563" s="42"/>
      <c r="G563" s="42"/>
      <c r="H563" s="42"/>
      <c r="I563" s="42"/>
      <c r="J563" s="42"/>
      <c r="K563" s="20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2.75" customHeight="1">
      <c r="A564" s="42"/>
      <c r="B564" s="57"/>
      <c r="C564" s="57"/>
      <c r="D564" s="58"/>
      <c r="E564" s="42"/>
      <c r="F564" s="42"/>
      <c r="G564" s="42"/>
      <c r="H564" s="42"/>
      <c r="I564" s="42"/>
      <c r="J564" s="42"/>
      <c r="K564" s="20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2.75" customHeight="1">
      <c r="A565" s="42"/>
      <c r="B565" s="57"/>
      <c r="C565" s="57"/>
      <c r="D565" s="58"/>
      <c r="E565" s="42"/>
      <c r="F565" s="42"/>
      <c r="G565" s="42"/>
      <c r="H565" s="42"/>
      <c r="I565" s="42"/>
      <c r="J565" s="42"/>
      <c r="K565" s="20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2.75" customHeight="1">
      <c r="A566" s="42"/>
      <c r="B566" s="57"/>
      <c r="C566" s="57"/>
      <c r="D566" s="58"/>
      <c r="E566" s="42"/>
      <c r="F566" s="42"/>
      <c r="G566" s="42"/>
      <c r="H566" s="42"/>
      <c r="I566" s="42"/>
      <c r="J566" s="42"/>
      <c r="K566" s="20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2.75" customHeight="1">
      <c r="A567" s="42"/>
      <c r="B567" s="57"/>
      <c r="C567" s="57"/>
      <c r="D567" s="58"/>
      <c r="E567" s="42"/>
      <c r="F567" s="42"/>
      <c r="G567" s="42"/>
      <c r="H567" s="42"/>
      <c r="I567" s="42"/>
      <c r="J567" s="42"/>
      <c r="K567" s="20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2.75" customHeight="1">
      <c r="A568" s="42"/>
      <c r="B568" s="57"/>
      <c r="C568" s="57"/>
      <c r="D568" s="58"/>
      <c r="E568" s="42"/>
      <c r="F568" s="42"/>
      <c r="G568" s="42"/>
      <c r="H568" s="42"/>
      <c r="I568" s="42"/>
      <c r="J568" s="42"/>
      <c r="K568" s="20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2.75" customHeight="1">
      <c r="A569" s="42"/>
      <c r="B569" s="57"/>
      <c r="C569" s="57"/>
      <c r="D569" s="58"/>
      <c r="E569" s="42"/>
      <c r="F569" s="42"/>
      <c r="G569" s="42"/>
      <c r="H569" s="42"/>
      <c r="I569" s="42"/>
      <c r="J569" s="42"/>
      <c r="K569" s="20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2.75" customHeight="1">
      <c r="A570" s="42"/>
      <c r="B570" s="57"/>
      <c r="C570" s="57"/>
      <c r="D570" s="58"/>
      <c r="E570" s="42"/>
      <c r="F570" s="42"/>
      <c r="G570" s="42"/>
      <c r="H570" s="42"/>
      <c r="I570" s="42"/>
      <c r="J570" s="42"/>
      <c r="K570" s="20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2.75" customHeight="1">
      <c r="A571" s="42"/>
      <c r="B571" s="57"/>
      <c r="C571" s="57"/>
      <c r="D571" s="58"/>
      <c r="E571" s="42"/>
      <c r="F571" s="42"/>
      <c r="G571" s="42"/>
      <c r="H571" s="42"/>
      <c r="I571" s="42"/>
      <c r="J571" s="42"/>
      <c r="K571" s="20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2.75" customHeight="1">
      <c r="A572" s="42"/>
      <c r="B572" s="57"/>
      <c r="C572" s="57"/>
      <c r="D572" s="58"/>
      <c r="E572" s="42"/>
      <c r="F572" s="42"/>
      <c r="G572" s="42"/>
      <c r="H572" s="42"/>
      <c r="I572" s="42"/>
      <c r="J572" s="42"/>
      <c r="K572" s="20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2.75" customHeight="1">
      <c r="A573" s="42"/>
      <c r="B573" s="57"/>
      <c r="C573" s="57"/>
      <c r="D573" s="58"/>
      <c r="E573" s="42"/>
      <c r="F573" s="42"/>
      <c r="G573" s="42"/>
      <c r="H573" s="42"/>
      <c r="I573" s="42"/>
      <c r="J573" s="42"/>
      <c r="K573" s="20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2.75" customHeight="1">
      <c r="A574" s="42"/>
      <c r="B574" s="57"/>
      <c r="C574" s="57"/>
      <c r="D574" s="58"/>
      <c r="E574" s="42"/>
      <c r="F574" s="42"/>
      <c r="G574" s="42"/>
      <c r="H574" s="42"/>
      <c r="I574" s="42"/>
      <c r="J574" s="42"/>
      <c r="K574" s="20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2.75" customHeight="1">
      <c r="A575" s="42"/>
      <c r="B575" s="57"/>
      <c r="C575" s="57"/>
      <c r="D575" s="58"/>
      <c r="E575" s="42"/>
      <c r="F575" s="42"/>
      <c r="G575" s="42"/>
      <c r="H575" s="42"/>
      <c r="I575" s="42"/>
      <c r="J575" s="42"/>
      <c r="K575" s="20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2.75" customHeight="1">
      <c r="A576" s="42"/>
      <c r="B576" s="57"/>
      <c r="C576" s="57"/>
      <c r="D576" s="58"/>
      <c r="E576" s="42"/>
      <c r="F576" s="42"/>
      <c r="G576" s="42"/>
      <c r="H576" s="42"/>
      <c r="I576" s="42"/>
      <c r="J576" s="42"/>
      <c r="K576" s="20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2.75" customHeight="1">
      <c r="A577" s="42"/>
      <c r="B577" s="57"/>
      <c r="C577" s="57"/>
      <c r="D577" s="58"/>
      <c r="E577" s="42"/>
      <c r="F577" s="42"/>
      <c r="G577" s="42"/>
      <c r="H577" s="42"/>
      <c r="I577" s="42"/>
      <c r="J577" s="42"/>
      <c r="K577" s="20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2.75" customHeight="1">
      <c r="A578" s="42"/>
      <c r="B578" s="57"/>
      <c r="C578" s="57"/>
      <c r="D578" s="58"/>
      <c r="E578" s="42"/>
      <c r="F578" s="42"/>
      <c r="G578" s="42"/>
      <c r="H578" s="42"/>
      <c r="I578" s="42"/>
      <c r="J578" s="42"/>
      <c r="K578" s="20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2.75" customHeight="1">
      <c r="A579" s="42"/>
      <c r="B579" s="57"/>
      <c r="C579" s="57"/>
      <c r="D579" s="58"/>
      <c r="E579" s="42"/>
      <c r="F579" s="42"/>
      <c r="G579" s="42"/>
      <c r="H579" s="42"/>
      <c r="I579" s="42"/>
      <c r="J579" s="42"/>
      <c r="K579" s="20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2.75" customHeight="1">
      <c r="A580" s="42"/>
      <c r="B580" s="57"/>
      <c r="C580" s="57"/>
      <c r="D580" s="58"/>
      <c r="E580" s="42"/>
      <c r="F580" s="42"/>
      <c r="G580" s="42"/>
      <c r="H580" s="42"/>
      <c r="I580" s="42"/>
      <c r="J580" s="42"/>
      <c r="K580" s="20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2.75" customHeight="1">
      <c r="A581" s="42"/>
      <c r="B581" s="57"/>
      <c r="C581" s="57"/>
      <c r="D581" s="58"/>
      <c r="E581" s="42"/>
      <c r="F581" s="42"/>
      <c r="G581" s="42"/>
      <c r="H581" s="42"/>
      <c r="I581" s="42"/>
      <c r="J581" s="42"/>
      <c r="K581" s="20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2.75" customHeight="1">
      <c r="A582" s="42"/>
      <c r="B582" s="57"/>
      <c r="C582" s="57"/>
      <c r="D582" s="58"/>
      <c r="E582" s="42"/>
      <c r="F582" s="42"/>
      <c r="G582" s="42"/>
      <c r="H582" s="42"/>
      <c r="I582" s="42"/>
      <c r="J582" s="42"/>
      <c r="K582" s="20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2.75" customHeight="1">
      <c r="A583" s="42"/>
      <c r="B583" s="57"/>
      <c r="C583" s="57"/>
      <c r="D583" s="58"/>
      <c r="E583" s="42"/>
      <c r="F583" s="42"/>
      <c r="G583" s="42"/>
      <c r="H583" s="42"/>
      <c r="I583" s="42"/>
      <c r="J583" s="42"/>
      <c r="K583" s="20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2.75" customHeight="1">
      <c r="A584" s="42"/>
      <c r="B584" s="57"/>
      <c r="C584" s="57"/>
      <c r="D584" s="58"/>
      <c r="E584" s="42"/>
      <c r="F584" s="42"/>
      <c r="G584" s="42"/>
      <c r="H584" s="42"/>
      <c r="I584" s="42"/>
      <c r="J584" s="42"/>
      <c r="K584" s="20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2.75" customHeight="1">
      <c r="A585" s="42"/>
      <c r="B585" s="57"/>
      <c r="C585" s="57"/>
      <c r="D585" s="58"/>
      <c r="E585" s="42"/>
      <c r="F585" s="42"/>
      <c r="G585" s="42"/>
      <c r="H585" s="42"/>
      <c r="I585" s="42"/>
      <c r="J585" s="42"/>
      <c r="K585" s="20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2.75" customHeight="1">
      <c r="A586" s="42"/>
      <c r="B586" s="57"/>
      <c r="C586" s="57"/>
      <c r="D586" s="58"/>
      <c r="E586" s="42"/>
      <c r="F586" s="42"/>
      <c r="G586" s="42"/>
      <c r="H586" s="42"/>
      <c r="I586" s="42"/>
      <c r="J586" s="42"/>
      <c r="K586" s="20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2.75" customHeight="1">
      <c r="A587" s="42"/>
      <c r="B587" s="57"/>
      <c r="C587" s="57"/>
      <c r="D587" s="58"/>
      <c r="E587" s="42"/>
      <c r="F587" s="42"/>
      <c r="G587" s="42"/>
      <c r="H587" s="42"/>
      <c r="I587" s="42"/>
      <c r="J587" s="42"/>
      <c r="K587" s="20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2.75" customHeight="1">
      <c r="A588" s="42"/>
      <c r="B588" s="57"/>
      <c r="C588" s="57"/>
      <c r="D588" s="58"/>
      <c r="E588" s="42"/>
      <c r="F588" s="42"/>
      <c r="G588" s="42"/>
      <c r="H588" s="42"/>
      <c r="I588" s="42"/>
      <c r="J588" s="42"/>
      <c r="K588" s="20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2.75" customHeight="1">
      <c r="A589" s="42"/>
      <c r="B589" s="57"/>
      <c r="C589" s="57"/>
      <c r="D589" s="58"/>
      <c r="E589" s="42"/>
      <c r="F589" s="42"/>
      <c r="G589" s="42"/>
      <c r="H589" s="42"/>
      <c r="I589" s="42"/>
      <c r="J589" s="42"/>
      <c r="K589" s="20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2.75" customHeight="1">
      <c r="A590" s="42"/>
      <c r="B590" s="57"/>
      <c r="C590" s="57"/>
      <c r="D590" s="58"/>
      <c r="E590" s="42"/>
      <c r="F590" s="42"/>
      <c r="G590" s="42"/>
      <c r="H590" s="42"/>
      <c r="I590" s="42"/>
      <c r="J590" s="42"/>
      <c r="K590" s="20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2.75" customHeight="1">
      <c r="A591" s="42"/>
      <c r="B591" s="57"/>
      <c r="C591" s="57"/>
      <c r="D591" s="58"/>
      <c r="E591" s="42"/>
      <c r="F591" s="42"/>
      <c r="G591" s="42"/>
      <c r="H591" s="42"/>
      <c r="I591" s="42"/>
      <c r="J591" s="42"/>
      <c r="K591" s="20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2.75" customHeight="1">
      <c r="A592" s="42"/>
      <c r="B592" s="57"/>
      <c r="C592" s="57"/>
      <c r="D592" s="58"/>
      <c r="E592" s="42"/>
      <c r="F592" s="42"/>
      <c r="G592" s="42"/>
      <c r="H592" s="42"/>
      <c r="I592" s="42"/>
      <c r="J592" s="42"/>
      <c r="K592" s="20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2.75" customHeight="1">
      <c r="A593" s="42"/>
      <c r="B593" s="57"/>
      <c r="C593" s="57"/>
      <c r="D593" s="58"/>
      <c r="E593" s="42"/>
      <c r="F593" s="42"/>
      <c r="G593" s="42"/>
      <c r="H593" s="42"/>
      <c r="I593" s="42"/>
      <c r="J593" s="42"/>
      <c r="K593" s="20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2.75" customHeight="1">
      <c r="A594" s="42"/>
      <c r="B594" s="57"/>
      <c r="C594" s="57"/>
      <c r="D594" s="58"/>
      <c r="E594" s="42"/>
      <c r="F594" s="42"/>
      <c r="G594" s="42"/>
      <c r="H594" s="42"/>
      <c r="I594" s="42"/>
      <c r="J594" s="42"/>
      <c r="K594" s="20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2.75" customHeight="1">
      <c r="A595" s="42"/>
      <c r="B595" s="57"/>
      <c r="C595" s="57"/>
      <c r="D595" s="58"/>
      <c r="E595" s="42"/>
      <c r="F595" s="42"/>
      <c r="G595" s="42"/>
      <c r="H595" s="42"/>
      <c r="I595" s="42"/>
      <c r="J595" s="42"/>
      <c r="K595" s="20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2.75" customHeight="1">
      <c r="A596" s="42"/>
      <c r="B596" s="57"/>
      <c r="C596" s="57"/>
      <c r="D596" s="58"/>
      <c r="E596" s="42"/>
      <c r="F596" s="42"/>
      <c r="G596" s="42"/>
      <c r="H596" s="42"/>
      <c r="I596" s="42"/>
      <c r="J596" s="42"/>
      <c r="K596" s="20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2.75" customHeight="1">
      <c r="A597" s="42"/>
      <c r="B597" s="57"/>
      <c r="C597" s="57"/>
      <c r="D597" s="58"/>
      <c r="E597" s="42"/>
      <c r="F597" s="42"/>
      <c r="G597" s="42"/>
      <c r="H597" s="42"/>
      <c r="I597" s="42"/>
      <c r="J597" s="42"/>
      <c r="K597" s="20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2.75" customHeight="1">
      <c r="A598" s="42"/>
      <c r="B598" s="57"/>
      <c r="C598" s="57"/>
      <c r="D598" s="58"/>
      <c r="E598" s="42"/>
      <c r="F598" s="42"/>
      <c r="G598" s="42"/>
      <c r="H598" s="42"/>
      <c r="I598" s="42"/>
      <c r="J598" s="42"/>
      <c r="K598" s="20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2.75" customHeight="1">
      <c r="A599" s="42"/>
      <c r="B599" s="57"/>
      <c r="C599" s="57"/>
      <c r="D599" s="58"/>
      <c r="E599" s="42"/>
      <c r="F599" s="42"/>
      <c r="G599" s="42"/>
      <c r="H599" s="42"/>
      <c r="I599" s="42"/>
      <c r="J599" s="42"/>
      <c r="K599" s="20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2.75" customHeight="1">
      <c r="A600" s="42"/>
      <c r="B600" s="57"/>
      <c r="C600" s="57"/>
      <c r="D600" s="58"/>
      <c r="E600" s="42"/>
      <c r="F600" s="42"/>
      <c r="G600" s="42"/>
      <c r="H600" s="42"/>
      <c r="I600" s="42"/>
      <c r="J600" s="42"/>
      <c r="K600" s="20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2.75" customHeight="1">
      <c r="A601" s="42"/>
      <c r="B601" s="57"/>
      <c r="C601" s="57"/>
      <c r="D601" s="58"/>
      <c r="E601" s="42"/>
      <c r="F601" s="42"/>
      <c r="G601" s="42"/>
      <c r="H601" s="42"/>
      <c r="I601" s="42"/>
      <c r="J601" s="42"/>
      <c r="K601" s="20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2.75" customHeight="1">
      <c r="A602" s="42"/>
      <c r="B602" s="57"/>
      <c r="C602" s="57"/>
      <c r="D602" s="58"/>
      <c r="E602" s="42"/>
      <c r="F602" s="42"/>
      <c r="G602" s="42"/>
      <c r="H602" s="42"/>
      <c r="I602" s="42"/>
      <c r="J602" s="42"/>
      <c r="K602" s="20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2.75" customHeight="1">
      <c r="A603" s="42"/>
      <c r="B603" s="57"/>
      <c r="C603" s="57"/>
      <c r="D603" s="58"/>
      <c r="E603" s="42"/>
      <c r="F603" s="42"/>
      <c r="G603" s="42"/>
      <c r="H603" s="42"/>
      <c r="I603" s="42"/>
      <c r="J603" s="42"/>
      <c r="K603" s="20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2.75" customHeight="1">
      <c r="A604" s="42"/>
      <c r="B604" s="57"/>
      <c r="C604" s="57"/>
      <c r="D604" s="58"/>
      <c r="E604" s="42"/>
      <c r="F604" s="42"/>
      <c r="G604" s="42"/>
      <c r="H604" s="42"/>
      <c r="I604" s="42"/>
      <c r="J604" s="42"/>
      <c r="K604" s="20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2.75" customHeight="1">
      <c r="A605" s="42"/>
      <c r="B605" s="57"/>
      <c r="C605" s="57"/>
      <c r="D605" s="58"/>
      <c r="E605" s="42"/>
      <c r="F605" s="42"/>
      <c r="G605" s="42"/>
      <c r="H605" s="42"/>
      <c r="I605" s="42"/>
      <c r="J605" s="42"/>
      <c r="K605" s="20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2.75" customHeight="1">
      <c r="A606" s="42"/>
      <c r="B606" s="57"/>
      <c r="C606" s="57"/>
      <c r="D606" s="58"/>
      <c r="E606" s="42"/>
      <c r="F606" s="42"/>
      <c r="G606" s="42"/>
      <c r="H606" s="42"/>
      <c r="I606" s="42"/>
      <c r="J606" s="42"/>
      <c r="K606" s="20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2.75" customHeight="1">
      <c r="A607" s="42"/>
      <c r="B607" s="57"/>
      <c r="C607" s="57"/>
      <c r="D607" s="58"/>
      <c r="E607" s="42"/>
      <c r="F607" s="42"/>
      <c r="G607" s="42"/>
      <c r="H607" s="42"/>
      <c r="I607" s="42"/>
      <c r="J607" s="42"/>
      <c r="K607" s="20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2.75" customHeight="1">
      <c r="A608" s="42"/>
      <c r="B608" s="57"/>
      <c r="C608" s="57"/>
      <c r="D608" s="58"/>
      <c r="E608" s="42"/>
      <c r="F608" s="42"/>
      <c r="G608" s="42"/>
      <c r="H608" s="42"/>
      <c r="I608" s="42"/>
      <c r="J608" s="42"/>
      <c r="K608" s="20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2.75" customHeight="1">
      <c r="A609" s="42"/>
      <c r="B609" s="57"/>
      <c r="C609" s="57"/>
      <c r="D609" s="58"/>
      <c r="E609" s="42"/>
      <c r="F609" s="42"/>
      <c r="G609" s="42"/>
      <c r="H609" s="42"/>
      <c r="I609" s="42"/>
      <c r="J609" s="42"/>
      <c r="K609" s="20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2.75" customHeight="1">
      <c r="A610" s="42"/>
      <c r="B610" s="57"/>
      <c r="C610" s="57"/>
      <c r="D610" s="58"/>
      <c r="E610" s="42"/>
      <c r="F610" s="42"/>
      <c r="G610" s="42"/>
      <c r="H610" s="42"/>
      <c r="I610" s="42"/>
      <c r="J610" s="42"/>
      <c r="K610" s="20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2.75" customHeight="1">
      <c r="A611" s="42"/>
      <c r="B611" s="57"/>
      <c r="C611" s="57"/>
      <c r="D611" s="58"/>
      <c r="E611" s="42"/>
      <c r="F611" s="42"/>
      <c r="G611" s="42"/>
      <c r="H611" s="42"/>
      <c r="I611" s="42"/>
      <c r="J611" s="42"/>
      <c r="K611" s="20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2.75" customHeight="1">
      <c r="A612" s="42"/>
      <c r="B612" s="57"/>
      <c r="C612" s="57"/>
      <c r="D612" s="58"/>
      <c r="E612" s="42"/>
      <c r="F612" s="42"/>
      <c r="G612" s="42"/>
      <c r="H612" s="42"/>
      <c r="I612" s="42"/>
      <c r="J612" s="42"/>
      <c r="K612" s="20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2.75" customHeight="1">
      <c r="A613" s="42"/>
      <c r="B613" s="57"/>
      <c r="C613" s="57"/>
      <c r="D613" s="58"/>
      <c r="E613" s="42"/>
      <c r="F613" s="42"/>
      <c r="G613" s="42"/>
      <c r="H613" s="42"/>
      <c r="I613" s="42"/>
      <c r="J613" s="42"/>
      <c r="K613" s="20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2.75" customHeight="1">
      <c r="A614" s="42"/>
      <c r="B614" s="57"/>
      <c r="C614" s="57"/>
      <c r="D614" s="58"/>
      <c r="E614" s="42"/>
      <c r="F614" s="42"/>
      <c r="G614" s="42"/>
      <c r="H614" s="42"/>
      <c r="I614" s="42"/>
      <c r="J614" s="42"/>
      <c r="K614" s="20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2.75" customHeight="1">
      <c r="A615" s="42"/>
      <c r="B615" s="57"/>
      <c r="C615" s="57"/>
      <c r="D615" s="58"/>
      <c r="E615" s="42"/>
      <c r="F615" s="42"/>
      <c r="G615" s="42"/>
      <c r="H615" s="42"/>
      <c r="I615" s="42"/>
      <c r="J615" s="42"/>
      <c r="K615" s="20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2.75" customHeight="1">
      <c r="A616" s="42"/>
      <c r="B616" s="57"/>
      <c r="C616" s="57"/>
      <c r="D616" s="58"/>
      <c r="E616" s="42"/>
      <c r="F616" s="42"/>
      <c r="G616" s="42"/>
      <c r="H616" s="42"/>
      <c r="I616" s="42"/>
      <c r="J616" s="42"/>
      <c r="K616" s="20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2.75" customHeight="1">
      <c r="A617" s="42"/>
      <c r="B617" s="57"/>
      <c r="C617" s="57"/>
      <c r="D617" s="58"/>
      <c r="E617" s="42"/>
      <c r="F617" s="42"/>
      <c r="G617" s="42"/>
      <c r="H617" s="42"/>
      <c r="I617" s="42"/>
      <c r="J617" s="42"/>
      <c r="K617" s="20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2.75" customHeight="1">
      <c r="A618" s="42"/>
      <c r="B618" s="57"/>
      <c r="C618" s="57"/>
      <c r="D618" s="58"/>
      <c r="E618" s="42"/>
      <c r="F618" s="42"/>
      <c r="G618" s="42"/>
      <c r="H618" s="42"/>
      <c r="I618" s="42"/>
      <c r="J618" s="42"/>
      <c r="K618" s="20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2.75" customHeight="1">
      <c r="A619" s="42"/>
      <c r="B619" s="57"/>
      <c r="C619" s="57"/>
      <c r="D619" s="58"/>
      <c r="E619" s="42"/>
      <c r="F619" s="42"/>
      <c r="G619" s="42"/>
      <c r="H619" s="42"/>
      <c r="I619" s="42"/>
      <c r="J619" s="42"/>
      <c r="K619" s="20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2.75" customHeight="1">
      <c r="A620" s="42"/>
      <c r="B620" s="57"/>
      <c r="C620" s="57"/>
      <c r="D620" s="58"/>
      <c r="E620" s="42"/>
      <c r="F620" s="42"/>
      <c r="G620" s="42"/>
      <c r="H620" s="42"/>
      <c r="I620" s="42"/>
      <c r="J620" s="42"/>
      <c r="K620" s="20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2.75" customHeight="1">
      <c r="A621" s="42"/>
      <c r="B621" s="57"/>
      <c r="C621" s="57"/>
      <c r="D621" s="58"/>
      <c r="E621" s="42"/>
      <c r="F621" s="42"/>
      <c r="G621" s="42"/>
      <c r="H621" s="42"/>
      <c r="I621" s="42"/>
      <c r="J621" s="42"/>
      <c r="K621" s="20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2.75" customHeight="1">
      <c r="A622" s="42"/>
      <c r="B622" s="57"/>
      <c r="C622" s="57"/>
      <c r="D622" s="58"/>
      <c r="E622" s="42"/>
      <c r="F622" s="42"/>
      <c r="G622" s="42"/>
      <c r="H622" s="42"/>
      <c r="I622" s="42"/>
      <c r="J622" s="42"/>
      <c r="K622" s="20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2.75" customHeight="1">
      <c r="A623" s="42"/>
      <c r="B623" s="57"/>
      <c r="C623" s="57"/>
      <c r="D623" s="58"/>
      <c r="E623" s="42"/>
      <c r="F623" s="42"/>
      <c r="G623" s="42"/>
      <c r="H623" s="42"/>
      <c r="I623" s="42"/>
      <c r="J623" s="42"/>
      <c r="K623" s="20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2.75" customHeight="1">
      <c r="A624" s="42"/>
      <c r="B624" s="57"/>
      <c r="C624" s="57"/>
      <c r="D624" s="58"/>
      <c r="E624" s="42"/>
      <c r="F624" s="42"/>
      <c r="G624" s="42"/>
      <c r="H624" s="42"/>
      <c r="I624" s="42"/>
      <c r="J624" s="42"/>
      <c r="K624" s="20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2.75" customHeight="1">
      <c r="A625" s="42"/>
      <c r="B625" s="57"/>
      <c r="C625" s="57"/>
      <c r="D625" s="58"/>
      <c r="E625" s="42"/>
      <c r="F625" s="42"/>
      <c r="G625" s="42"/>
      <c r="H625" s="42"/>
      <c r="I625" s="42"/>
      <c r="J625" s="42"/>
      <c r="K625" s="20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2.75" customHeight="1">
      <c r="A626" s="42"/>
      <c r="B626" s="57"/>
      <c r="C626" s="57"/>
      <c r="D626" s="58"/>
      <c r="E626" s="42"/>
      <c r="F626" s="42"/>
      <c r="G626" s="42"/>
      <c r="H626" s="42"/>
      <c r="I626" s="42"/>
      <c r="J626" s="42"/>
      <c r="K626" s="20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2.75" customHeight="1">
      <c r="A627" s="42"/>
      <c r="B627" s="57"/>
      <c r="C627" s="57"/>
      <c r="D627" s="58"/>
      <c r="E627" s="42"/>
      <c r="F627" s="42"/>
      <c r="G627" s="42"/>
      <c r="H627" s="42"/>
      <c r="I627" s="42"/>
      <c r="J627" s="42"/>
      <c r="K627" s="20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2.75" customHeight="1">
      <c r="A628" s="42"/>
      <c r="B628" s="57"/>
      <c r="C628" s="57"/>
      <c r="D628" s="58"/>
      <c r="E628" s="42"/>
      <c r="F628" s="42"/>
      <c r="G628" s="42"/>
      <c r="H628" s="42"/>
      <c r="I628" s="42"/>
      <c r="J628" s="42"/>
      <c r="K628" s="20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2.75" customHeight="1">
      <c r="A629" s="42"/>
      <c r="B629" s="57"/>
      <c r="C629" s="57"/>
      <c r="D629" s="58"/>
      <c r="E629" s="42"/>
      <c r="F629" s="42"/>
      <c r="G629" s="42"/>
      <c r="H629" s="42"/>
      <c r="I629" s="42"/>
      <c r="J629" s="42"/>
      <c r="K629" s="20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2.75" customHeight="1">
      <c r="A630" s="42"/>
      <c r="B630" s="57"/>
      <c r="C630" s="57"/>
      <c r="D630" s="58"/>
      <c r="E630" s="42"/>
      <c r="F630" s="42"/>
      <c r="G630" s="42"/>
      <c r="H630" s="42"/>
      <c r="I630" s="42"/>
      <c r="J630" s="42"/>
      <c r="K630" s="20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2.75" customHeight="1">
      <c r="A631" s="42"/>
      <c r="B631" s="57"/>
      <c r="C631" s="57"/>
      <c r="D631" s="58"/>
      <c r="E631" s="42"/>
      <c r="F631" s="42"/>
      <c r="G631" s="42"/>
      <c r="H631" s="42"/>
      <c r="I631" s="42"/>
      <c r="J631" s="42"/>
      <c r="K631" s="20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2.75" customHeight="1">
      <c r="A632" s="42"/>
      <c r="B632" s="57"/>
      <c r="C632" s="57"/>
      <c r="D632" s="58"/>
      <c r="E632" s="42"/>
      <c r="F632" s="42"/>
      <c r="G632" s="42"/>
      <c r="H632" s="42"/>
      <c r="I632" s="42"/>
      <c r="J632" s="42"/>
      <c r="K632" s="20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2.75" customHeight="1">
      <c r="A633" s="42"/>
      <c r="B633" s="57"/>
      <c r="C633" s="57"/>
      <c r="D633" s="58"/>
      <c r="E633" s="42"/>
      <c r="F633" s="42"/>
      <c r="G633" s="42"/>
      <c r="H633" s="42"/>
      <c r="I633" s="42"/>
      <c r="J633" s="42"/>
      <c r="K633" s="20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2.75" customHeight="1">
      <c r="A634" s="42"/>
      <c r="B634" s="57"/>
      <c r="C634" s="57"/>
      <c r="D634" s="58"/>
      <c r="E634" s="42"/>
      <c r="F634" s="42"/>
      <c r="G634" s="42"/>
      <c r="H634" s="42"/>
      <c r="I634" s="42"/>
      <c r="J634" s="42"/>
      <c r="K634" s="20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2.75" customHeight="1">
      <c r="A635" s="42"/>
      <c r="B635" s="57"/>
      <c r="C635" s="57"/>
      <c r="D635" s="58"/>
      <c r="E635" s="42"/>
      <c r="F635" s="42"/>
      <c r="G635" s="42"/>
      <c r="H635" s="42"/>
      <c r="I635" s="42"/>
      <c r="J635" s="42"/>
      <c r="K635" s="20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2.75" customHeight="1">
      <c r="A636" s="42"/>
      <c r="B636" s="57"/>
      <c r="C636" s="57"/>
      <c r="D636" s="58"/>
      <c r="E636" s="42"/>
      <c r="F636" s="42"/>
      <c r="G636" s="42"/>
      <c r="H636" s="42"/>
      <c r="I636" s="42"/>
      <c r="J636" s="42"/>
      <c r="K636" s="20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2.75" customHeight="1">
      <c r="A637" s="42"/>
      <c r="B637" s="57"/>
      <c r="C637" s="57"/>
      <c r="D637" s="58"/>
      <c r="E637" s="42"/>
      <c r="F637" s="42"/>
      <c r="G637" s="42"/>
      <c r="H637" s="42"/>
      <c r="I637" s="42"/>
      <c r="J637" s="42"/>
      <c r="K637" s="20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2.75" customHeight="1">
      <c r="A638" s="42"/>
      <c r="B638" s="57"/>
      <c r="C638" s="57"/>
      <c r="D638" s="58"/>
      <c r="E638" s="42"/>
      <c r="F638" s="42"/>
      <c r="G638" s="42"/>
      <c r="H638" s="42"/>
      <c r="I638" s="42"/>
      <c r="J638" s="42"/>
      <c r="K638" s="20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2.75" customHeight="1">
      <c r="A639" s="42"/>
      <c r="B639" s="57"/>
      <c r="C639" s="57"/>
      <c r="D639" s="58"/>
      <c r="E639" s="42"/>
      <c r="F639" s="42"/>
      <c r="G639" s="42"/>
      <c r="H639" s="42"/>
      <c r="I639" s="42"/>
      <c r="J639" s="42"/>
      <c r="K639" s="20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2.75" customHeight="1">
      <c r="A640" s="42"/>
      <c r="B640" s="57"/>
      <c r="C640" s="57"/>
      <c r="D640" s="58"/>
      <c r="E640" s="42"/>
      <c r="F640" s="42"/>
      <c r="G640" s="42"/>
      <c r="H640" s="42"/>
      <c r="I640" s="42"/>
      <c r="J640" s="42"/>
      <c r="K640" s="20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2.75" customHeight="1">
      <c r="A641" s="42"/>
      <c r="B641" s="57"/>
      <c r="C641" s="57"/>
      <c r="D641" s="58"/>
      <c r="E641" s="42"/>
      <c r="F641" s="42"/>
      <c r="G641" s="42"/>
      <c r="H641" s="42"/>
      <c r="I641" s="42"/>
      <c r="J641" s="42"/>
      <c r="K641" s="20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2.75" customHeight="1">
      <c r="A642" s="42"/>
      <c r="B642" s="57"/>
      <c r="C642" s="57"/>
      <c r="D642" s="58"/>
      <c r="E642" s="42"/>
      <c r="F642" s="42"/>
      <c r="G642" s="42"/>
      <c r="H642" s="42"/>
      <c r="I642" s="42"/>
      <c r="J642" s="42"/>
      <c r="K642" s="20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2.75" customHeight="1">
      <c r="A643" s="42"/>
      <c r="B643" s="57"/>
      <c r="C643" s="57"/>
      <c r="D643" s="58"/>
      <c r="E643" s="42"/>
      <c r="F643" s="42"/>
      <c r="G643" s="42"/>
      <c r="H643" s="42"/>
      <c r="I643" s="42"/>
      <c r="J643" s="42"/>
      <c r="K643" s="20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2.75" customHeight="1">
      <c r="A644" s="42"/>
      <c r="B644" s="57"/>
      <c r="C644" s="57"/>
      <c r="D644" s="58"/>
      <c r="E644" s="42"/>
      <c r="F644" s="42"/>
      <c r="G644" s="42"/>
      <c r="H644" s="42"/>
      <c r="I644" s="42"/>
      <c r="J644" s="42"/>
      <c r="K644" s="20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2.75" customHeight="1">
      <c r="A645" s="42"/>
      <c r="B645" s="57"/>
      <c r="C645" s="57"/>
      <c r="D645" s="58"/>
      <c r="E645" s="42"/>
      <c r="F645" s="42"/>
      <c r="G645" s="42"/>
      <c r="H645" s="42"/>
      <c r="I645" s="42"/>
      <c r="J645" s="42"/>
      <c r="K645" s="20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2.75" customHeight="1">
      <c r="A646" s="42"/>
      <c r="B646" s="57"/>
      <c r="C646" s="57"/>
      <c r="D646" s="58"/>
      <c r="E646" s="42"/>
      <c r="F646" s="42"/>
      <c r="G646" s="42"/>
      <c r="H646" s="42"/>
      <c r="I646" s="42"/>
      <c r="J646" s="42"/>
      <c r="K646" s="20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2.75" customHeight="1">
      <c r="A647" s="42"/>
      <c r="B647" s="57"/>
      <c r="C647" s="57"/>
      <c r="D647" s="58"/>
      <c r="E647" s="42"/>
      <c r="F647" s="42"/>
      <c r="G647" s="42"/>
      <c r="H647" s="42"/>
      <c r="I647" s="42"/>
      <c r="J647" s="42"/>
      <c r="K647" s="20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2.75" customHeight="1">
      <c r="A648" s="42"/>
      <c r="B648" s="57"/>
      <c r="C648" s="57"/>
      <c r="D648" s="58"/>
      <c r="E648" s="42"/>
      <c r="F648" s="42"/>
      <c r="G648" s="42"/>
      <c r="H648" s="42"/>
      <c r="I648" s="42"/>
      <c r="J648" s="42"/>
      <c r="K648" s="20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2.75" customHeight="1">
      <c r="A649" s="42"/>
      <c r="B649" s="57"/>
      <c r="C649" s="57"/>
      <c r="D649" s="58"/>
      <c r="E649" s="42"/>
      <c r="F649" s="42"/>
      <c r="G649" s="42"/>
      <c r="H649" s="42"/>
      <c r="I649" s="42"/>
      <c r="J649" s="42"/>
      <c r="K649" s="20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2.75" customHeight="1">
      <c r="A650" s="42"/>
      <c r="B650" s="57"/>
      <c r="C650" s="57"/>
      <c r="D650" s="58"/>
      <c r="E650" s="42"/>
      <c r="F650" s="42"/>
      <c r="G650" s="42"/>
      <c r="H650" s="42"/>
      <c r="I650" s="42"/>
      <c r="J650" s="42"/>
      <c r="K650" s="20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2.75" customHeight="1">
      <c r="A651" s="42"/>
      <c r="B651" s="57"/>
      <c r="C651" s="57"/>
      <c r="D651" s="58"/>
      <c r="E651" s="42"/>
      <c r="F651" s="42"/>
      <c r="G651" s="42"/>
      <c r="H651" s="42"/>
      <c r="I651" s="42"/>
      <c r="J651" s="42"/>
      <c r="K651" s="20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2.75" customHeight="1">
      <c r="A652" s="42"/>
      <c r="B652" s="57"/>
      <c r="C652" s="57"/>
      <c r="D652" s="58"/>
      <c r="E652" s="42"/>
      <c r="F652" s="42"/>
      <c r="G652" s="42"/>
      <c r="H652" s="42"/>
      <c r="I652" s="42"/>
      <c r="J652" s="42"/>
      <c r="K652" s="20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2.75" customHeight="1">
      <c r="A653" s="42"/>
      <c r="B653" s="57"/>
      <c r="C653" s="57"/>
      <c r="D653" s="58"/>
      <c r="E653" s="42"/>
      <c r="F653" s="42"/>
      <c r="G653" s="42"/>
      <c r="H653" s="42"/>
      <c r="I653" s="42"/>
      <c r="J653" s="42"/>
      <c r="K653" s="20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2.75" customHeight="1">
      <c r="A654" s="42"/>
      <c r="B654" s="57"/>
      <c r="C654" s="57"/>
      <c r="D654" s="58"/>
      <c r="E654" s="42"/>
      <c r="F654" s="42"/>
      <c r="G654" s="42"/>
      <c r="H654" s="42"/>
      <c r="I654" s="42"/>
      <c r="J654" s="42"/>
      <c r="K654" s="20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2.75" customHeight="1">
      <c r="A655" s="42"/>
      <c r="B655" s="57"/>
      <c r="C655" s="57"/>
      <c r="D655" s="58"/>
      <c r="E655" s="42"/>
      <c r="F655" s="42"/>
      <c r="G655" s="42"/>
      <c r="H655" s="42"/>
      <c r="I655" s="42"/>
      <c r="J655" s="42"/>
      <c r="K655" s="20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2.75" customHeight="1">
      <c r="A656" s="42"/>
      <c r="B656" s="57"/>
      <c r="C656" s="57"/>
      <c r="D656" s="58"/>
      <c r="E656" s="42"/>
      <c r="F656" s="42"/>
      <c r="G656" s="42"/>
      <c r="H656" s="42"/>
      <c r="I656" s="42"/>
      <c r="J656" s="42"/>
      <c r="K656" s="20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2.75" customHeight="1">
      <c r="A657" s="42"/>
      <c r="B657" s="57"/>
      <c r="C657" s="57"/>
      <c r="D657" s="58"/>
      <c r="E657" s="42"/>
      <c r="F657" s="42"/>
      <c r="G657" s="42"/>
      <c r="H657" s="42"/>
      <c r="I657" s="42"/>
      <c r="J657" s="42"/>
      <c r="K657" s="20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2.75" customHeight="1">
      <c r="A658" s="42"/>
      <c r="B658" s="57"/>
      <c r="C658" s="57"/>
      <c r="D658" s="58"/>
      <c r="E658" s="42"/>
      <c r="F658" s="42"/>
      <c r="G658" s="42"/>
      <c r="H658" s="42"/>
      <c r="I658" s="42"/>
      <c r="J658" s="42"/>
      <c r="K658" s="20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2.75" customHeight="1">
      <c r="A659" s="42"/>
      <c r="B659" s="57"/>
      <c r="C659" s="57"/>
      <c r="D659" s="58"/>
      <c r="E659" s="42"/>
      <c r="F659" s="42"/>
      <c r="G659" s="42"/>
      <c r="H659" s="42"/>
      <c r="I659" s="42"/>
      <c r="J659" s="42"/>
      <c r="K659" s="20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2.75" customHeight="1">
      <c r="A660" s="42"/>
      <c r="B660" s="57"/>
      <c r="C660" s="57"/>
      <c r="D660" s="58"/>
      <c r="E660" s="42"/>
      <c r="F660" s="42"/>
      <c r="G660" s="42"/>
      <c r="H660" s="42"/>
      <c r="I660" s="42"/>
      <c r="J660" s="42"/>
      <c r="K660" s="20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2.75" customHeight="1">
      <c r="A661" s="42"/>
      <c r="B661" s="57"/>
      <c r="C661" s="57"/>
      <c r="D661" s="58"/>
      <c r="E661" s="42"/>
      <c r="F661" s="42"/>
      <c r="G661" s="42"/>
      <c r="H661" s="42"/>
      <c r="I661" s="42"/>
      <c r="J661" s="42"/>
      <c r="K661" s="20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2.75" customHeight="1">
      <c r="A662" s="42"/>
      <c r="B662" s="57"/>
      <c r="C662" s="57"/>
      <c r="D662" s="58"/>
      <c r="E662" s="42"/>
      <c r="F662" s="42"/>
      <c r="G662" s="42"/>
      <c r="H662" s="42"/>
      <c r="I662" s="42"/>
      <c r="J662" s="42"/>
      <c r="K662" s="20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2.75" customHeight="1">
      <c r="A663" s="42"/>
      <c r="B663" s="57"/>
      <c r="C663" s="57"/>
      <c r="D663" s="58"/>
      <c r="E663" s="42"/>
      <c r="F663" s="42"/>
      <c r="G663" s="42"/>
      <c r="H663" s="42"/>
      <c r="I663" s="42"/>
      <c r="J663" s="42"/>
      <c r="K663" s="20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2.75" customHeight="1">
      <c r="A664" s="42"/>
      <c r="B664" s="57"/>
      <c r="C664" s="57"/>
      <c r="D664" s="58"/>
      <c r="E664" s="42"/>
      <c r="F664" s="42"/>
      <c r="G664" s="42"/>
      <c r="H664" s="42"/>
      <c r="I664" s="42"/>
      <c r="J664" s="42"/>
      <c r="K664" s="20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2.75" customHeight="1">
      <c r="A665" s="42"/>
      <c r="B665" s="57"/>
      <c r="C665" s="57"/>
      <c r="D665" s="58"/>
      <c r="E665" s="42"/>
      <c r="F665" s="42"/>
      <c r="G665" s="42"/>
      <c r="H665" s="42"/>
      <c r="I665" s="42"/>
      <c r="J665" s="42"/>
      <c r="K665" s="20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2.75" customHeight="1">
      <c r="A666" s="42"/>
      <c r="B666" s="57"/>
      <c r="C666" s="57"/>
      <c r="D666" s="58"/>
      <c r="E666" s="42"/>
      <c r="F666" s="42"/>
      <c r="G666" s="42"/>
      <c r="H666" s="42"/>
      <c r="I666" s="42"/>
      <c r="J666" s="42"/>
      <c r="K666" s="20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2.75" customHeight="1">
      <c r="A667" s="42"/>
      <c r="B667" s="57"/>
      <c r="C667" s="57"/>
      <c r="D667" s="58"/>
      <c r="E667" s="42"/>
      <c r="F667" s="42"/>
      <c r="G667" s="42"/>
      <c r="H667" s="42"/>
      <c r="I667" s="42"/>
      <c r="J667" s="42"/>
      <c r="K667" s="20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2.75" customHeight="1">
      <c r="A668" s="42"/>
      <c r="B668" s="57"/>
      <c r="C668" s="57"/>
      <c r="D668" s="58"/>
      <c r="E668" s="42"/>
      <c r="F668" s="42"/>
      <c r="G668" s="42"/>
      <c r="H668" s="42"/>
      <c r="I668" s="42"/>
      <c r="J668" s="42"/>
      <c r="K668" s="20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2.75" customHeight="1">
      <c r="A669" s="42"/>
      <c r="B669" s="57"/>
      <c r="C669" s="57"/>
      <c r="D669" s="58"/>
      <c r="E669" s="42"/>
      <c r="F669" s="42"/>
      <c r="G669" s="42"/>
      <c r="H669" s="42"/>
      <c r="I669" s="42"/>
      <c r="J669" s="42"/>
      <c r="K669" s="20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2.75" customHeight="1">
      <c r="A670" s="42"/>
      <c r="B670" s="57"/>
      <c r="C670" s="57"/>
      <c r="D670" s="58"/>
      <c r="E670" s="42"/>
      <c r="F670" s="42"/>
      <c r="G670" s="42"/>
      <c r="H670" s="42"/>
      <c r="I670" s="42"/>
      <c r="J670" s="42"/>
      <c r="K670" s="20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2.75" customHeight="1">
      <c r="A671" s="42"/>
      <c r="B671" s="57"/>
      <c r="C671" s="57"/>
      <c r="D671" s="58"/>
      <c r="E671" s="42"/>
      <c r="F671" s="42"/>
      <c r="G671" s="42"/>
      <c r="H671" s="42"/>
      <c r="I671" s="42"/>
      <c r="J671" s="42"/>
      <c r="K671" s="20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2.75" customHeight="1">
      <c r="A672" s="42"/>
      <c r="B672" s="57"/>
      <c r="C672" s="57"/>
      <c r="D672" s="58"/>
      <c r="E672" s="42"/>
      <c r="F672" s="42"/>
      <c r="G672" s="42"/>
      <c r="H672" s="42"/>
      <c r="I672" s="42"/>
      <c r="J672" s="42"/>
      <c r="K672" s="20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2.75" customHeight="1">
      <c r="A673" s="42"/>
      <c r="B673" s="57"/>
      <c r="C673" s="57"/>
      <c r="D673" s="58"/>
      <c r="E673" s="42"/>
      <c r="F673" s="42"/>
      <c r="G673" s="42"/>
      <c r="H673" s="42"/>
      <c r="I673" s="42"/>
      <c r="J673" s="42"/>
      <c r="K673" s="20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2.75" customHeight="1">
      <c r="A674" s="42"/>
      <c r="B674" s="57"/>
      <c r="C674" s="57"/>
      <c r="D674" s="58"/>
      <c r="E674" s="42"/>
      <c r="F674" s="42"/>
      <c r="G674" s="42"/>
      <c r="H674" s="42"/>
      <c r="I674" s="42"/>
      <c r="J674" s="42"/>
      <c r="K674" s="20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2.75" customHeight="1">
      <c r="A675" s="42"/>
      <c r="B675" s="57"/>
      <c r="C675" s="57"/>
      <c r="D675" s="58"/>
      <c r="E675" s="42"/>
      <c r="F675" s="42"/>
      <c r="G675" s="42"/>
      <c r="H675" s="42"/>
      <c r="I675" s="42"/>
      <c r="J675" s="42"/>
      <c r="K675" s="20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2.75" customHeight="1">
      <c r="A676" s="42"/>
      <c r="B676" s="57"/>
      <c r="C676" s="57"/>
      <c r="D676" s="58"/>
      <c r="E676" s="42"/>
      <c r="F676" s="42"/>
      <c r="G676" s="42"/>
      <c r="H676" s="42"/>
      <c r="I676" s="42"/>
      <c r="J676" s="42"/>
      <c r="K676" s="20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2.75" customHeight="1">
      <c r="A677" s="42"/>
      <c r="B677" s="57"/>
      <c r="C677" s="57"/>
      <c r="D677" s="58"/>
      <c r="E677" s="42"/>
      <c r="F677" s="42"/>
      <c r="G677" s="42"/>
      <c r="H677" s="42"/>
      <c r="I677" s="42"/>
      <c r="J677" s="42"/>
      <c r="K677" s="20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2.75" customHeight="1">
      <c r="A678" s="42"/>
      <c r="B678" s="57"/>
      <c r="C678" s="57"/>
      <c r="D678" s="58"/>
      <c r="E678" s="42"/>
      <c r="F678" s="42"/>
      <c r="G678" s="42"/>
      <c r="H678" s="42"/>
      <c r="I678" s="42"/>
      <c r="J678" s="42"/>
      <c r="K678" s="20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2.75" customHeight="1">
      <c r="A679" s="42"/>
      <c r="B679" s="57"/>
      <c r="C679" s="57"/>
      <c r="D679" s="58"/>
      <c r="E679" s="42"/>
      <c r="F679" s="42"/>
      <c r="G679" s="42"/>
      <c r="H679" s="42"/>
      <c r="I679" s="42"/>
      <c r="J679" s="42"/>
      <c r="K679" s="20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2.75" customHeight="1">
      <c r="A680" s="42"/>
      <c r="B680" s="57"/>
      <c r="C680" s="57"/>
      <c r="D680" s="58"/>
      <c r="E680" s="42"/>
      <c r="F680" s="42"/>
      <c r="G680" s="42"/>
      <c r="H680" s="42"/>
      <c r="I680" s="42"/>
      <c r="J680" s="42"/>
      <c r="K680" s="20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2.75" customHeight="1">
      <c r="A681" s="42"/>
      <c r="B681" s="57"/>
      <c r="C681" s="57"/>
      <c r="D681" s="58"/>
      <c r="E681" s="42"/>
      <c r="F681" s="42"/>
      <c r="G681" s="42"/>
      <c r="H681" s="42"/>
      <c r="I681" s="42"/>
      <c r="J681" s="42"/>
      <c r="K681" s="20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2.75" customHeight="1">
      <c r="A682" s="42"/>
      <c r="B682" s="57"/>
      <c r="C682" s="57"/>
      <c r="D682" s="58"/>
      <c r="E682" s="42"/>
      <c r="F682" s="42"/>
      <c r="G682" s="42"/>
      <c r="H682" s="42"/>
      <c r="I682" s="42"/>
      <c r="J682" s="42"/>
      <c r="K682" s="20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2.75" customHeight="1">
      <c r="A683" s="42"/>
      <c r="B683" s="57"/>
      <c r="C683" s="57"/>
      <c r="D683" s="58"/>
      <c r="E683" s="42"/>
      <c r="F683" s="42"/>
      <c r="G683" s="42"/>
      <c r="H683" s="42"/>
      <c r="I683" s="42"/>
      <c r="J683" s="42"/>
      <c r="K683" s="20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2.75" customHeight="1">
      <c r="A684" s="42"/>
      <c r="B684" s="57"/>
      <c r="C684" s="57"/>
      <c r="D684" s="58"/>
      <c r="E684" s="42"/>
      <c r="F684" s="42"/>
      <c r="G684" s="42"/>
      <c r="H684" s="42"/>
      <c r="I684" s="42"/>
      <c r="J684" s="42"/>
      <c r="K684" s="20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2.75" customHeight="1">
      <c r="A685" s="42"/>
      <c r="B685" s="57"/>
      <c r="C685" s="57"/>
      <c r="D685" s="58"/>
      <c r="E685" s="42"/>
      <c r="F685" s="42"/>
      <c r="G685" s="42"/>
      <c r="H685" s="42"/>
      <c r="I685" s="42"/>
      <c r="J685" s="42"/>
      <c r="K685" s="20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2.75" customHeight="1">
      <c r="A686" s="42"/>
      <c r="B686" s="57"/>
      <c r="C686" s="57"/>
      <c r="D686" s="58"/>
      <c r="E686" s="42"/>
      <c r="F686" s="42"/>
      <c r="G686" s="42"/>
      <c r="H686" s="42"/>
      <c r="I686" s="42"/>
      <c r="J686" s="42"/>
      <c r="K686" s="20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2.75" customHeight="1">
      <c r="A687" s="42"/>
      <c r="B687" s="57"/>
      <c r="C687" s="57"/>
      <c r="D687" s="58"/>
      <c r="E687" s="42"/>
      <c r="F687" s="42"/>
      <c r="G687" s="42"/>
      <c r="H687" s="42"/>
      <c r="I687" s="42"/>
      <c r="J687" s="42"/>
      <c r="K687" s="20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2.75" customHeight="1">
      <c r="A688" s="42"/>
      <c r="B688" s="57"/>
      <c r="C688" s="57"/>
      <c r="D688" s="58"/>
      <c r="E688" s="42"/>
      <c r="F688" s="42"/>
      <c r="G688" s="42"/>
      <c r="H688" s="42"/>
      <c r="I688" s="42"/>
      <c r="J688" s="42"/>
      <c r="K688" s="20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2.75" customHeight="1">
      <c r="A689" s="42"/>
      <c r="B689" s="57"/>
      <c r="C689" s="57"/>
      <c r="D689" s="58"/>
      <c r="E689" s="42"/>
      <c r="F689" s="42"/>
      <c r="G689" s="42"/>
      <c r="H689" s="42"/>
      <c r="I689" s="42"/>
      <c r="J689" s="42"/>
      <c r="K689" s="20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2.75" customHeight="1">
      <c r="A690" s="42"/>
      <c r="B690" s="57"/>
      <c r="C690" s="57"/>
      <c r="D690" s="58"/>
      <c r="E690" s="42"/>
      <c r="F690" s="42"/>
      <c r="G690" s="42"/>
      <c r="H690" s="42"/>
      <c r="I690" s="42"/>
      <c r="J690" s="42"/>
      <c r="K690" s="20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2.75" customHeight="1">
      <c r="A691" s="42"/>
      <c r="B691" s="57"/>
      <c r="C691" s="57"/>
      <c r="D691" s="58"/>
      <c r="E691" s="42"/>
      <c r="F691" s="42"/>
      <c r="G691" s="42"/>
      <c r="H691" s="42"/>
      <c r="I691" s="42"/>
      <c r="J691" s="42"/>
      <c r="K691" s="20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2.75" customHeight="1">
      <c r="A692" s="42"/>
      <c r="B692" s="57"/>
      <c r="C692" s="57"/>
      <c r="D692" s="58"/>
      <c r="E692" s="42"/>
      <c r="F692" s="42"/>
      <c r="G692" s="42"/>
      <c r="H692" s="42"/>
      <c r="I692" s="42"/>
      <c r="J692" s="42"/>
      <c r="K692" s="20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2.75" customHeight="1">
      <c r="A693" s="42"/>
      <c r="B693" s="57"/>
      <c r="C693" s="57"/>
      <c r="D693" s="58"/>
      <c r="E693" s="42"/>
      <c r="F693" s="42"/>
      <c r="G693" s="42"/>
      <c r="H693" s="42"/>
      <c r="I693" s="42"/>
      <c r="J693" s="42"/>
      <c r="K693" s="20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2.75" customHeight="1">
      <c r="A694" s="42"/>
      <c r="B694" s="57"/>
      <c r="C694" s="57"/>
      <c r="D694" s="58"/>
      <c r="E694" s="42"/>
      <c r="F694" s="42"/>
      <c r="G694" s="42"/>
      <c r="H694" s="42"/>
      <c r="I694" s="42"/>
      <c r="J694" s="42"/>
      <c r="K694" s="20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2.75" customHeight="1">
      <c r="A695" s="42"/>
      <c r="B695" s="57"/>
      <c r="C695" s="57"/>
      <c r="D695" s="58"/>
      <c r="E695" s="42"/>
      <c r="F695" s="42"/>
      <c r="G695" s="42"/>
      <c r="H695" s="42"/>
      <c r="I695" s="42"/>
      <c r="J695" s="42"/>
      <c r="K695" s="20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2.75" customHeight="1">
      <c r="A696" s="42"/>
      <c r="B696" s="57"/>
      <c r="C696" s="57"/>
      <c r="D696" s="58"/>
      <c r="E696" s="42"/>
      <c r="F696" s="42"/>
      <c r="G696" s="42"/>
      <c r="H696" s="42"/>
      <c r="I696" s="42"/>
      <c r="J696" s="42"/>
      <c r="K696" s="20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2.75" customHeight="1">
      <c r="A697" s="42"/>
      <c r="B697" s="57"/>
      <c r="C697" s="57"/>
      <c r="D697" s="58"/>
      <c r="E697" s="42"/>
      <c r="F697" s="42"/>
      <c r="G697" s="42"/>
      <c r="H697" s="42"/>
      <c r="I697" s="42"/>
      <c r="J697" s="42"/>
      <c r="K697" s="20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2.75" customHeight="1">
      <c r="A698" s="42"/>
      <c r="B698" s="57"/>
      <c r="C698" s="57"/>
      <c r="D698" s="58"/>
      <c r="E698" s="42"/>
      <c r="F698" s="42"/>
      <c r="G698" s="42"/>
      <c r="H698" s="42"/>
      <c r="I698" s="42"/>
      <c r="J698" s="42"/>
      <c r="K698" s="20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2.75" customHeight="1">
      <c r="A699" s="42"/>
      <c r="B699" s="57"/>
      <c r="C699" s="57"/>
      <c r="D699" s="58"/>
      <c r="E699" s="42"/>
      <c r="F699" s="42"/>
      <c r="G699" s="42"/>
      <c r="H699" s="42"/>
      <c r="I699" s="42"/>
      <c r="J699" s="42"/>
      <c r="K699" s="20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2.75" customHeight="1">
      <c r="A700" s="42"/>
      <c r="B700" s="57"/>
      <c r="C700" s="57"/>
      <c r="D700" s="58"/>
      <c r="E700" s="42"/>
      <c r="F700" s="42"/>
      <c r="G700" s="42"/>
      <c r="H700" s="42"/>
      <c r="I700" s="42"/>
      <c r="J700" s="42"/>
      <c r="K700" s="20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2.75" customHeight="1">
      <c r="A701" s="42"/>
      <c r="B701" s="57"/>
      <c r="C701" s="57"/>
      <c r="D701" s="58"/>
      <c r="E701" s="42"/>
      <c r="F701" s="42"/>
      <c r="G701" s="42"/>
      <c r="H701" s="42"/>
      <c r="I701" s="42"/>
      <c r="J701" s="42"/>
      <c r="K701" s="20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2.75" customHeight="1">
      <c r="A702" s="42"/>
      <c r="B702" s="57"/>
      <c r="C702" s="57"/>
      <c r="D702" s="58"/>
      <c r="E702" s="42"/>
      <c r="F702" s="42"/>
      <c r="G702" s="42"/>
      <c r="H702" s="42"/>
      <c r="I702" s="42"/>
      <c r="J702" s="42"/>
      <c r="K702" s="20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2.75" customHeight="1">
      <c r="A703" s="42"/>
      <c r="B703" s="57"/>
      <c r="C703" s="57"/>
      <c r="D703" s="58"/>
      <c r="E703" s="42"/>
      <c r="F703" s="42"/>
      <c r="G703" s="42"/>
      <c r="H703" s="42"/>
      <c r="I703" s="42"/>
      <c r="J703" s="42"/>
      <c r="K703" s="20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2.75" customHeight="1">
      <c r="A704" s="42"/>
      <c r="B704" s="57"/>
      <c r="C704" s="57"/>
      <c r="D704" s="58"/>
      <c r="E704" s="42"/>
      <c r="F704" s="42"/>
      <c r="G704" s="42"/>
      <c r="H704" s="42"/>
      <c r="I704" s="42"/>
      <c r="J704" s="42"/>
      <c r="K704" s="20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2.75" customHeight="1">
      <c r="A705" s="42"/>
      <c r="B705" s="57"/>
      <c r="C705" s="57"/>
      <c r="D705" s="58"/>
      <c r="E705" s="42"/>
      <c r="F705" s="42"/>
      <c r="G705" s="42"/>
      <c r="H705" s="42"/>
      <c r="I705" s="42"/>
      <c r="J705" s="42"/>
      <c r="K705" s="20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2.75" customHeight="1">
      <c r="A706" s="42"/>
      <c r="B706" s="57"/>
      <c r="C706" s="57"/>
      <c r="D706" s="58"/>
      <c r="E706" s="42"/>
      <c r="F706" s="42"/>
      <c r="G706" s="42"/>
      <c r="H706" s="42"/>
      <c r="I706" s="42"/>
      <c r="J706" s="42"/>
      <c r="K706" s="20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2.75" customHeight="1">
      <c r="A707" s="42"/>
      <c r="B707" s="57"/>
      <c r="C707" s="57"/>
      <c r="D707" s="58"/>
      <c r="E707" s="42"/>
      <c r="F707" s="42"/>
      <c r="G707" s="42"/>
      <c r="H707" s="42"/>
      <c r="I707" s="42"/>
      <c r="J707" s="42"/>
      <c r="K707" s="20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2.75" customHeight="1">
      <c r="A708" s="42"/>
      <c r="B708" s="57"/>
      <c r="C708" s="57"/>
      <c r="D708" s="58"/>
      <c r="E708" s="42"/>
      <c r="F708" s="42"/>
      <c r="G708" s="42"/>
      <c r="H708" s="42"/>
      <c r="I708" s="42"/>
      <c r="J708" s="42"/>
      <c r="K708" s="20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2.75" customHeight="1">
      <c r="A709" s="42"/>
      <c r="B709" s="57"/>
      <c r="C709" s="57"/>
      <c r="D709" s="58"/>
      <c r="E709" s="42"/>
      <c r="F709" s="42"/>
      <c r="G709" s="42"/>
      <c r="H709" s="42"/>
      <c r="I709" s="42"/>
      <c r="J709" s="42"/>
      <c r="K709" s="20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2.75" customHeight="1">
      <c r="A710" s="42"/>
      <c r="B710" s="57"/>
      <c r="C710" s="57"/>
      <c r="D710" s="58"/>
      <c r="E710" s="42"/>
      <c r="F710" s="42"/>
      <c r="G710" s="42"/>
      <c r="H710" s="42"/>
      <c r="I710" s="42"/>
      <c r="J710" s="42"/>
      <c r="K710" s="20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2.75" customHeight="1">
      <c r="A711" s="42"/>
      <c r="B711" s="57"/>
      <c r="C711" s="57"/>
      <c r="D711" s="58"/>
      <c r="E711" s="42"/>
      <c r="F711" s="42"/>
      <c r="G711" s="42"/>
      <c r="H711" s="42"/>
      <c r="I711" s="42"/>
      <c r="J711" s="42"/>
      <c r="K711" s="20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2.75" customHeight="1">
      <c r="A712" s="42"/>
      <c r="B712" s="57"/>
      <c r="C712" s="57"/>
      <c r="D712" s="58"/>
      <c r="E712" s="42"/>
      <c r="F712" s="42"/>
      <c r="G712" s="42"/>
      <c r="H712" s="42"/>
      <c r="I712" s="42"/>
      <c r="J712" s="42"/>
      <c r="K712" s="20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2.75" customHeight="1">
      <c r="A713" s="42"/>
      <c r="B713" s="57"/>
      <c r="C713" s="57"/>
      <c r="D713" s="58"/>
      <c r="E713" s="42"/>
      <c r="F713" s="42"/>
      <c r="G713" s="42"/>
      <c r="H713" s="42"/>
      <c r="I713" s="42"/>
      <c r="J713" s="42"/>
      <c r="K713" s="20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2.75" customHeight="1">
      <c r="A714" s="42"/>
      <c r="B714" s="57"/>
      <c r="C714" s="57"/>
      <c r="D714" s="58"/>
      <c r="E714" s="42"/>
      <c r="F714" s="42"/>
      <c r="G714" s="42"/>
      <c r="H714" s="42"/>
      <c r="I714" s="42"/>
      <c r="J714" s="42"/>
      <c r="K714" s="20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2.75" customHeight="1">
      <c r="A715" s="42"/>
      <c r="B715" s="57"/>
      <c r="C715" s="57"/>
      <c r="D715" s="58"/>
      <c r="E715" s="42"/>
      <c r="F715" s="42"/>
      <c r="G715" s="42"/>
      <c r="H715" s="42"/>
      <c r="I715" s="42"/>
      <c r="J715" s="42"/>
      <c r="K715" s="20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2.75" customHeight="1">
      <c r="A716" s="42"/>
      <c r="B716" s="57"/>
      <c r="C716" s="57"/>
      <c r="D716" s="58"/>
      <c r="E716" s="42"/>
      <c r="F716" s="42"/>
      <c r="G716" s="42"/>
      <c r="H716" s="42"/>
      <c r="I716" s="42"/>
      <c r="J716" s="42"/>
      <c r="K716" s="20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2.75" customHeight="1">
      <c r="A717" s="42"/>
      <c r="B717" s="57"/>
      <c r="C717" s="57"/>
      <c r="D717" s="58"/>
      <c r="E717" s="42"/>
      <c r="F717" s="42"/>
      <c r="G717" s="42"/>
      <c r="H717" s="42"/>
      <c r="I717" s="42"/>
      <c r="J717" s="42"/>
      <c r="K717" s="20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2.75" customHeight="1">
      <c r="A718" s="42"/>
      <c r="B718" s="57"/>
      <c r="C718" s="57"/>
      <c r="D718" s="58"/>
      <c r="E718" s="42"/>
      <c r="F718" s="42"/>
      <c r="G718" s="42"/>
      <c r="H718" s="42"/>
      <c r="I718" s="42"/>
      <c r="J718" s="42"/>
      <c r="K718" s="20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2.75" customHeight="1">
      <c r="A719" s="42"/>
      <c r="B719" s="57"/>
      <c r="C719" s="57"/>
      <c r="D719" s="58"/>
      <c r="E719" s="42"/>
      <c r="F719" s="42"/>
      <c r="G719" s="42"/>
      <c r="H719" s="42"/>
      <c r="I719" s="42"/>
      <c r="J719" s="42"/>
      <c r="K719" s="20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2.75" customHeight="1">
      <c r="A720" s="42"/>
      <c r="B720" s="57"/>
      <c r="C720" s="57"/>
      <c r="D720" s="58"/>
      <c r="E720" s="42"/>
      <c r="F720" s="42"/>
      <c r="G720" s="42"/>
      <c r="H720" s="42"/>
      <c r="I720" s="42"/>
      <c r="J720" s="42"/>
      <c r="K720" s="20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2.75" customHeight="1">
      <c r="A721" s="42"/>
      <c r="B721" s="57"/>
      <c r="C721" s="57"/>
      <c r="D721" s="58"/>
      <c r="E721" s="42"/>
      <c r="F721" s="42"/>
      <c r="G721" s="42"/>
      <c r="H721" s="42"/>
      <c r="I721" s="42"/>
      <c r="J721" s="42"/>
      <c r="K721" s="20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2.75" customHeight="1">
      <c r="A722" s="42"/>
      <c r="B722" s="57"/>
      <c r="C722" s="57"/>
      <c r="D722" s="58"/>
      <c r="E722" s="42"/>
      <c r="F722" s="42"/>
      <c r="G722" s="42"/>
      <c r="H722" s="42"/>
      <c r="I722" s="42"/>
      <c r="J722" s="42"/>
      <c r="K722" s="20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2.75" customHeight="1">
      <c r="A723" s="42"/>
      <c r="B723" s="57"/>
      <c r="C723" s="57"/>
      <c r="D723" s="58"/>
      <c r="E723" s="42"/>
      <c r="F723" s="42"/>
      <c r="G723" s="42"/>
      <c r="H723" s="42"/>
      <c r="I723" s="42"/>
      <c r="J723" s="42"/>
      <c r="K723" s="20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2.75" customHeight="1">
      <c r="A724" s="42"/>
      <c r="B724" s="57"/>
      <c r="C724" s="57"/>
      <c r="D724" s="58"/>
      <c r="E724" s="42"/>
      <c r="F724" s="42"/>
      <c r="G724" s="42"/>
      <c r="H724" s="42"/>
      <c r="I724" s="42"/>
      <c r="J724" s="42"/>
      <c r="K724" s="20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2.75" customHeight="1">
      <c r="A725" s="42"/>
      <c r="B725" s="57"/>
      <c r="C725" s="57"/>
      <c r="D725" s="58"/>
      <c r="E725" s="42"/>
      <c r="F725" s="42"/>
      <c r="G725" s="42"/>
      <c r="H725" s="42"/>
      <c r="I725" s="42"/>
      <c r="J725" s="42"/>
      <c r="K725" s="20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2.75" customHeight="1">
      <c r="A726" s="42"/>
      <c r="B726" s="57"/>
      <c r="C726" s="57"/>
      <c r="D726" s="58"/>
      <c r="E726" s="42"/>
      <c r="F726" s="42"/>
      <c r="G726" s="42"/>
      <c r="H726" s="42"/>
      <c r="I726" s="42"/>
      <c r="J726" s="42"/>
      <c r="K726" s="20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2.75" customHeight="1">
      <c r="A727" s="42"/>
      <c r="B727" s="57"/>
      <c r="C727" s="57"/>
      <c r="D727" s="58"/>
      <c r="E727" s="42"/>
      <c r="F727" s="42"/>
      <c r="G727" s="42"/>
      <c r="H727" s="42"/>
      <c r="I727" s="42"/>
      <c r="J727" s="42"/>
      <c r="K727" s="20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2.75" customHeight="1">
      <c r="A728" s="42"/>
      <c r="B728" s="57"/>
      <c r="C728" s="57"/>
      <c r="D728" s="58"/>
      <c r="E728" s="42"/>
      <c r="F728" s="42"/>
      <c r="G728" s="42"/>
      <c r="H728" s="42"/>
      <c r="I728" s="42"/>
      <c r="J728" s="42"/>
      <c r="K728" s="20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2.75" customHeight="1">
      <c r="A729" s="42"/>
      <c r="B729" s="57"/>
      <c r="C729" s="57"/>
      <c r="D729" s="58"/>
      <c r="E729" s="42"/>
      <c r="F729" s="42"/>
      <c r="G729" s="42"/>
      <c r="H729" s="42"/>
      <c r="I729" s="42"/>
      <c r="J729" s="42"/>
      <c r="K729" s="20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2.75" customHeight="1">
      <c r="A730" s="42"/>
      <c r="B730" s="57"/>
      <c r="C730" s="57"/>
      <c r="D730" s="58"/>
      <c r="E730" s="42"/>
      <c r="F730" s="42"/>
      <c r="G730" s="42"/>
      <c r="H730" s="42"/>
      <c r="I730" s="42"/>
      <c r="J730" s="42"/>
      <c r="K730" s="20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2.75" customHeight="1">
      <c r="A731" s="42"/>
      <c r="B731" s="57"/>
      <c r="C731" s="57"/>
      <c r="D731" s="58"/>
      <c r="E731" s="42"/>
      <c r="F731" s="42"/>
      <c r="G731" s="42"/>
      <c r="H731" s="42"/>
      <c r="I731" s="42"/>
      <c r="J731" s="42"/>
      <c r="K731" s="20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2.75" customHeight="1">
      <c r="A732" s="42"/>
      <c r="B732" s="57"/>
      <c r="C732" s="57"/>
      <c r="D732" s="58"/>
      <c r="E732" s="42"/>
      <c r="F732" s="42"/>
      <c r="G732" s="42"/>
      <c r="H732" s="42"/>
      <c r="I732" s="42"/>
      <c r="J732" s="42"/>
      <c r="K732" s="20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2.75" customHeight="1">
      <c r="A733" s="42"/>
      <c r="B733" s="57"/>
      <c r="C733" s="57"/>
      <c r="D733" s="58"/>
      <c r="E733" s="42"/>
      <c r="F733" s="42"/>
      <c r="G733" s="42"/>
      <c r="H733" s="42"/>
      <c r="I733" s="42"/>
      <c r="J733" s="42"/>
      <c r="K733" s="20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2.75" customHeight="1">
      <c r="A734" s="42"/>
      <c r="B734" s="57"/>
      <c r="C734" s="57"/>
      <c r="D734" s="58"/>
      <c r="E734" s="42"/>
      <c r="F734" s="42"/>
      <c r="G734" s="42"/>
      <c r="H734" s="42"/>
      <c r="I734" s="42"/>
      <c r="J734" s="42"/>
      <c r="K734" s="20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2.75" customHeight="1">
      <c r="A735" s="42"/>
      <c r="B735" s="57"/>
      <c r="C735" s="57"/>
      <c r="D735" s="58"/>
      <c r="E735" s="42"/>
      <c r="F735" s="42"/>
      <c r="G735" s="42"/>
      <c r="H735" s="42"/>
      <c r="I735" s="42"/>
      <c r="J735" s="42"/>
      <c r="K735" s="20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2.75" customHeight="1">
      <c r="A736" s="42"/>
      <c r="B736" s="57"/>
      <c r="C736" s="57"/>
      <c r="D736" s="58"/>
      <c r="E736" s="42"/>
      <c r="F736" s="42"/>
      <c r="G736" s="42"/>
      <c r="H736" s="42"/>
      <c r="I736" s="42"/>
      <c r="J736" s="42"/>
      <c r="K736" s="20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2.75" customHeight="1">
      <c r="A737" s="42"/>
      <c r="B737" s="57"/>
      <c r="C737" s="57"/>
      <c r="D737" s="58"/>
      <c r="E737" s="42"/>
      <c r="F737" s="42"/>
      <c r="G737" s="42"/>
      <c r="H737" s="42"/>
      <c r="I737" s="42"/>
      <c r="J737" s="42"/>
      <c r="K737" s="20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2.75" customHeight="1">
      <c r="A738" s="42"/>
      <c r="B738" s="57"/>
      <c r="C738" s="57"/>
      <c r="D738" s="58"/>
      <c r="E738" s="42"/>
      <c r="F738" s="42"/>
      <c r="G738" s="42"/>
      <c r="H738" s="42"/>
      <c r="I738" s="42"/>
      <c r="J738" s="42"/>
      <c r="K738" s="20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2.75" customHeight="1">
      <c r="A739" s="42"/>
      <c r="B739" s="57"/>
      <c r="C739" s="57"/>
      <c r="D739" s="58"/>
      <c r="E739" s="42"/>
      <c r="F739" s="42"/>
      <c r="G739" s="42"/>
      <c r="H739" s="42"/>
      <c r="I739" s="42"/>
      <c r="J739" s="42"/>
      <c r="K739" s="20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2.75" customHeight="1">
      <c r="A740" s="42"/>
      <c r="B740" s="57"/>
      <c r="C740" s="57"/>
      <c r="D740" s="58"/>
      <c r="E740" s="42"/>
      <c r="F740" s="42"/>
      <c r="G740" s="42"/>
      <c r="H740" s="42"/>
      <c r="I740" s="42"/>
      <c r="J740" s="42"/>
      <c r="K740" s="20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2.75" customHeight="1">
      <c r="A741" s="42"/>
      <c r="B741" s="57"/>
      <c r="C741" s="57"/>
      <c r="D741" s="58"/>
      <c r="E741" s="42"/>
      <c r="F741" s="42"/>
      <c r="G741" s="42"/>
      <c r="H741" s="42"/>
      <c r="I741" s="42"/>
      <c r="J741" s="42"/>
      <c r="K741" s="20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2.75" customHeight="1">
      <c r="A742" s="42"/>
      <c r="B742" s="57"/>
      <c r="C742" s="57"/>
      <c r="D742" s="58"/>
      <c r="E742" s="42"/>
      <c r="F742" s="42"/>
      <c r="G742" s="42"/>
      <c r="H742" s="42"/>
      <c r="I742" s="42"/>
      <c r="J742" s="42"/>
      <c r="K742" s="20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2.75" customHeight="1">
      <c r="A743" s="42"/>
      <c r="B743" s="57"/>
      <c r="C743" s="57"/>
      <c r="D743" s="58"/>
      <c r="E743" s="42"/>
      <c r="F743" s="42"/>
      <c r="G743" s="42"/>
      <c r="H743" s="42"/>
      <c r="I743" s="42"/>
      <c r="J743" s="42"/>
      <c r="K743" s="20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2.75" customHeight="1">
      <c r="A744" s="42"/>
      <c r="B744" s="57"/>
      <c r="C744" s="57"/>
      <c r="D744" s="58"/>
      <c r="E744" s="42"/>
      <c r="F744" s="42"/>
      <c r="G744" s="42"/>
      <c r="H744" s="42"/>
      <c r="I744" s="42"/>
      <c r="J744" s="42"/>
      <c r="K744" s="20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2.75" customHeight="1">
      <c r="A745" s="42"/>
      <c r="B745" s="57"/>
      <c r="C745" s="57"/>
      <c r="D745" s="58"/>
      <c r="E745" s="42"/>
      <c r="F745" s="42"/>
      <c r="G745" s="42"/>
      <c r="H745" s="42"/>
      <c r="I745" s="42"/>
      <c r="J745" s="42"/>
      <c r="K745" s="20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2.75" customHeight="1">
      <c r="A746" s="42"/>
      <c r="B746" s="57"/>
      <c r="C746" s="57"/>
      <c r="D746" s="58"/>
      <c r="E746" s="42"/>
      <c r="F746" s="42"/>
      <c r="G746" s="42"/>
      <c r="H746" s="42"/>
      <c r="I746" s="42"/>
      <c r="J746" s="42"/>
      <c r="K746" s="20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2.75" customHeight="1">
      <c r="A747" s="42"/>
      <c r="B747" s="57"/>
      <c r="C747" s="57"/>
      <c r="D747" s="58"/>
      <c r="E747" s="42"/>
      <c r="F747" s="42"/>
      <c r="G747" s="42"/>
      <c r="H747" s="42"/>
      <c r="I747" s="42"/>
      <c r="J747" s="42"/>
      <c r="K747" s="20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2.75" customHeight="1">
      <c r="A748" s="42"/>
      <c r="B748" s="57"/>
      <c r="C748" s="57"/>
      <c r="D748" s="58"/>
      <c r="E748" s="42"/>
      <c r="F748" s="42"/>
      <c r="G748" s="42"/>
      <c r="H748" s="42"/>
      <c r="I748" s="42"/>
      <c r="J748" s="42"/>
      <c r="K748" s="20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2.75" customHeight="1">
      <c r="A749" s="42"/>
      <c r="B749" s="57"/>
      <c r="C749" s="57"/>
      <c r="D749" s="58"/>
      <c r="E749" s="42"/>
      <c r="F749" s="42"/>
      <c r="G749" s="42"/>
      <c r="H749" s="42"/>
      <c r="I749" s="42"/>
      <c r="J749" s="42"/>
      <c r="K749" s="20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2.75" customHeight="1">
      <c r="A750" s="42"/>
      <c r="B750" s="57"/>
      <c r="C750" s="57"/>
      <c r="D750" s="58"/>
      <c r="E750" s="42"/>
      <c r="F750" s="42"/>
      <c r="G750" s="42"/>
      <c r="H750" s="42"/>
      <c r="I750" s="42"/>
      <c r="J750" s="42"/>
      <c r="K750" s="20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2.75" customHeight="1">
      <c r="A751" s="42"/>
      <c r="B751" s="57"/>
      <c r="C751" s="57"/>
      <c r="D751" s="58"/>
      <c r="E751" s="42"/>
      <c r="F751" s="42"/>
      <c r="G751" s="42"/>
      <c r="H751" s="42"/>
      <c r="I751" s="42"/>
      <c r="J751" s="42"/>
      <c r="K751" s="20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2.75" customHeight="1">
      <c r="A752" s="42"/>
      <c r="B752" s="57"/>
      <c r="C752" s="57"/>
      <c r="D752" s="58"/>
      <c r="E752" s="42"/>
      <c r="F752" s="42"/>
      <c r="G752" s="42"/>
      <c r="H752" s="42"/>
      <c r="I752" s="42"/>
      <c r="J752" s="42"/>
      <c r="K752" s="20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2.75" customHeight="1">
      <c r="A753" s="42"/>
      <c r="B753" s="57"/>
      <c r="C753" s="57"/>
      <c r="D753" s="58"/>
      <c r="E753" s="42"/>
      <c r="F753" s="42"/>
      <c r="G753" s="42"/>
      <c r="H753" s="42"/>
      <c r="I753" s="42"/>
      <c r="J753" s="42"/>
      <c r="K753" s="20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2.75" customHeight="1">
      <c r="A754" s="42"/>
      <c r="B754" s="57"/>
      <c r="C754" s="57"/>
      <c r="D754" s="58"/>
      <c r="E754" s="42"/>
      <c r="F754" s="42"/>
      <c r="G754" s="42"/>
      <c r="H754" s="42"/>
      <c r="I754" s="42"/>
      <c r="J754" s="42"/>
      <c r="K754" s="20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2.75" customHeight="1">
      <c r="A755" s="42"/>
      <c r="B755" s="57"/>
      <c r="C755" s="57"/>
      <c r="D755" s="58"/>
      <c r="E755" s="42"/>
      <c r="F755" s="42"/>
      <c r="G755" s="42"/>
      <c r="H755" s="42"/>
      <c r="I755" s="42"/>
      <c r="J755" s="42"/>
      <c r="K755" s="20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2.75" customHeight="1">
      <c r="A756" s="42"/>
      <c r="B756" s="57"/>
      <c r="C756" s="57"/>
      <c r="D756" s="58"/>
      <c r="E756" s="42"/>
      <c r="F756" s="42"/>
      <c r="G756" s="42"/>
      <c r="H756" s="42"/>
      <c r="I756" s="42"/>
      <c r="J756" s="42"/>
      <c r="K756" s="20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2.75" customHeight="1">
      <c r="A757" s="42"/>
      <c r="B757" s="57"/>
      <c r="C757" s="57"/>
      <c r="D757" s="58"/>
      <c r="E757" s="42"/>
      <c r="F757" s="42"/>
      <c r="G757" s="42"/>
      <c r="H757" s="42"/>
      <c r="I757" s="42"/>
      <c r="J757" s="42"/>
      <c r="K757" s="20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2.75" customHeight="1">
      <c r="A758" s="42"/>
      <c r="B758" s="57"/>
      <c r="C758" s="57"/>
      <c r="D758" s="58"/>
      <c r="E758" s="42"/>
      <c r="F758" s="42"/>
      <c r="G758" s="42"/>
      <c r="H758" s="42"/>
      <c r="I758" s="42"/>
      <c r="J758" s="42"/>
      <c r="K758" s="20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2.75" customHeight="1">
      <c r="A759" s="42"/>
      <c r="B759" s="57"/>
      <c r="C759" s="57"/>
      <c r="D759" s="58"/>
      <c r="E759" s="42"/>
      <c r="F759" s="42"/>
      <c r="G759" s="42"/>
      <c r="H759" s="42"/>
      <c r="I759" s="42"/>
      <c r="J759" s="42"/>
      <c r="K759" s="20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2.75" customHeight="1">
      <c r="A760" s="42"/>
      <c r="B760" s="57"/>
      <c r="C760" s="57"/>
      <c r="D760" s="58"/>
      <c r="E760" s="42"/>
      <c r="F760" s="42"/>
      <c r="G760" s="42"/>
      <c r="H760" s="42"/>
      <c r="I760" s="42"/>
      <c r="J760" s="42"/>
      <c r="K760" s="20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2.75" customHeight="1">
      <c r="A761" s="42"/>
      <c r="B761" s="57"/>
      <c r="C761" s="57"/>
      <c r="D761" s="58"/>
      <c r="E761" s="42"/>
      <c r="F761" s="42"/>
      <c r="G761" s="42"/>
      <c r="H761" s="42"/>
      <c r="I761" s="42"/>
      <c r="J761" s="42"/>
      <c r="K761" s="20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2.75" customHeight="1">
      <c r="A762" s="42"/>
      <c r="B762" s="57"/>
      <c r="C762" s="57"/>
      <c r="D762" s="58"/>
      <c r="E762" s="42"/>
      <c r="F762" s="42"/>
      <c r="G762" s="42"/>
      <c r="H762" s="42"/>
      <c r="I762" s="42"/>
      <c r="J762" s="42"/>
      <c r="K762" s="20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2.75" customHeight="1">
      <c r="A763" s="42"/>
      <c r="B763" s="57"/>
      <c r="C763" s="57"/>
      <c r="D763" s="58"/>
      <c r="E763" s="42"/>
      <c r="F763" s="42"/>
      <c r="G763" s="42"/>
      <c r="H763" s="42"/>
      <c r="I763" s="42"/>
      <c r="J763" s="42"/>
      <c r="K763" s="20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2.75" customHeight="1">
      <c r="A764" s="42"/>
      <c r="B764" s="57"/>
      <c r="C764" s="57"/>
      <c r="D764" s="58"/>
      <c r="E764" s="42"/>
      <c r="F764" s="42"/>
      <c r="G764" s="42"/>
      <c r="H764" s="42"/>
      <c r="I764" s="42"/>
      <c r="J764" s="42"/>
      <c r="K764" s="20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2.75" customHeight="1">
      <c r="A765" s="42"/>
      <c r="B765" s="57"/>
      <c r="C765" s="57"/>
      <c r="D765" s="58"/>
      <c r="E765" s="42"/>
      <c r="F765" s="42"/>
      <c r="G765" s="42"/>
      <c r="H765" s="42"/>
      <c r="I765" s="42"/>
      <c r="J765" s="42"/>
      <c r="K765" s="20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2.75" customHeight="1">
      <c r="A766" s="42"/>
      <c r="B766" s="57"/>
      <c r="C766" s="57"/>
      <c r="D766" s="58"/>
      <c r="E766" s="42"/>
      <c r="F766" s="42"/>
      <c r="G766" s="42"/>
      <c r="H766" s="42"/>
      <c r="I766" s="42"/>
      <c r="J766" s="42"/>
      <c r="K766" s="20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2.75" customHeight="1">
      <c r="A767" s="42"/>
      <c r="B767" s="57"/>
      <c r="C767" s="57"/>
      <c r="D767" s="58"/>
      <c r="E767" s="42"/>
      <c r="F767" s="42"/>
      <c r="G767" s="42"/>
      <c r="H767" s="42"/>
      <c r="I767" s="42"/>
      <c r="J767" s="42"/>
      <c r="K767" s="20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2.75" customHeight="1">
      <c r="A768" s="42"/>
      <c r="B768" s="57"/>
      <c r="C768" s="57"/>
      <c r="D768" s="58"/>
      <c r="E768" s="42"/>
      <c r="F768" s="42"/>
      <c r="G768" s="42"/>
      <c r="H768" s="42"/>
      <c r="I768" s="42"/>
      <c r="J768" s="42"/>
      <c r="K768" s="20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2.75" customHeight="1">
      <c r="A769" s="42"/>
      <c r="B769" s="57"/>
      <c r="C769" s="57"/>
      <c r="D769" s="58"/>
      <c r="E769" s="42"/>
      <c r="F769" s="42"/>
      <c r="G769" s="42"/>
      <c r="H769" s="42"/>
      <c r="I769" s="42"/>
      <c r="J769" s="42"/>
      <c r="K769" s="20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2.75" customHeight="1">
      <c r="A770" s="42"/>
      <c r="B770" s="57"/>
      <c r="C770" s="57"/>
      <c r="D770" s="58"/>
      <c r="E770" s="42"/>
      <c r="F770" s="42"/>
      <c r="G770" s="42"/>
      <c r="H770" s="42"/>
      <c r="I770" s="42"/>
      <c r="J770" s="42"/>
      <c r="K770" s="20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2.75" customHeight="1">
      <c r="A771" s="42"/>
      <c r="B771" s="57"/>
      <c r="C771" s="57"/>
      <c r="D771" s="58"/>
      <c r="E771" s="42"/>
      <c r="F771" s="42"/>
      <c r="G771" s="42"/>
      <c r="H771" s="42"/>
      <c r="I771" s="42"/>
      <c r="J771" s="42"/>
      <c r="K771" s="20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2.75" customHeight="1">
      <c r="A772" s="42"/>
      <c r="B772" s="57"/>
      <c r="C772" s="57"/>
      <c r="D772" s="58"/>
      <c r="E772" s="42"/>
      <c r="F772" s="42"/>
      <c r="G772" s="42"/>
      <c r="H772" s="42"/>
      <c r="I772" s="42"/>
      <c r="J772" s="42"/>
      <c r="K772" s="20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2.75" customHeight="1">
      <c r="A773" s="42"/>
      <c r="B773" s="57"/>
      <c r="C773" s="57"/>
      <c r="D773" s="58"/>
      <c r="E773" s="42"/>
      <c r="F773" s="42"/>
      <c r="G773" s="42"/>
      <c r="H773" s="42"/>
      <c r="I773" s="42"/>
      <c r="J773" s="42"/>
      <c r="K773" s="20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2.75" customHeight="1">
      <c r="A774" s="42"/>
      <c r="B774" s="57"/>
      <c r="C774" s="57"/>
      <c r="D774" s="58"/>
      <c r="E774" s="42"/>
      <c r="F774" s="42"/>
      <c r="G774" s="42"/>
      <c r="H774" s="42"/>
      <c r="I774" s="42"/>
      <c r="J774" s="42"/>
      <c r="K774" s="20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2.75" customHeight="1">
      <c r="A775" s="42"/>
      <c r="B775" s="57"/>
      <c r="C775" s="57"/>
      <c r="D775" s="58"/>
      <c r="E775" s="42"/>
      <c r="F775" s="42"/>
      <c r="G775" s="42"/>
      <c r="H775" s="42"/>
      <c r="I775" s="42"/>
      <c r="J775" s="42"/>
      <c r="K775" s="20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2.75" customHeight="1">
      <c r="A776" s="42"/>
      <c r="B776" s="57"/>
      <c r="C776" s="57"/>
      <c r="D776" s="58"/>
      <c r="E776" s="42"/>
      <c r="F776" s="42"/>
      <c r="G776" s="42"/>
      <c r="H776" s="42"/>
      <c r="I776" s="42"/>
      <c r="J776" s="42"/>
      <c r="K776" s="20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2.75" customHeight="1">
      <c r="A777" s="42"/>
      <c r="B777" s="57"/>
      <c r="C777" s="57"/>
      <c r="D777" s="58"/>
      <c r="E777" s="42"/>
      <c r="F777" s="42"/>
      <c r="G777" s="42"/>
      <c r="H777" s="42"/>
      <c r="I777" s="42"/>
      <c r="J777" s="42"/>
      <c r="K777" s="20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2.75" customHeight="1">
      <c r="A778" s="42"/>
      <c r="B778" s="57"/>
      <c r="C778" s="57"/>
      <c r="D778" s="58"/>
      <c r="E778" s="42"/>
      <c r="F778" s="42"/>
      <c r="G778" s="42"/>
      <c r="H778" s="42"/>
      <c r="I778" s="42"/>
      <c r="J778" s="42"/>
      <c r="K778" s="20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2.75" customHeight="1">
      <c r="A779" s="42"/>
      <c r="B779" s="57"/>
      <c r="C779" s="57"/>
      <c r="D779" s="58"/>
      <c r="E779" s="42"/>
      <c r="F779" s="42"/>
      <c r="G779" s="42"/>
      <c r="H779" s="42"/>
      <c r="I779" s="42"/>
      <c r="J779" s="42"/>
      <c r="K779" s="20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2.75" customHeight="1">
      <c r="A780" s="42"/>
      <c r="B780" s="57"/>
      <c r="C780" s="57"/>
      <c r="D780" s="58"/>
      <c r="E780" s="42"/>
      <c r="F780" s="42"/>
      <c r="G780" s="42"/>
      <c r="H780" s="42"/>
      <c r="I780" s="42"/>
      <c r="J780" s="42"/>
      <c r="K780" s="20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2.75" customHeight="1">
      <c r="A781" s="42"/>
      <c r="B781" s="57"/>
      <c r="C781" s="57"/>
      <c r="D781" s="58"/>
      <c r="E781" s="42"/>
      <c r="F781" s="42"/>
      <c r="G781" s="42"/>
      <c r="H781" s="42"/>
      <c r="I781" s="42"/>
      <c r="J781" s="42"/>
      <c r="K781" s="20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2.75" customHeight="1">
      <c r="A782" s="42"/>
      <c r="B782" s="57"/>
      <c r="C782" s="57"/>
      <c r="D782" s="58"/>
      <c r="E782" s="42"/>
      <c r="F782" s="42"/>
      <c r="G782" s="42"/>
      <c r="H782" s="42"/>
      <c r="I782" s="42"/>
      <c r="J782" s="42"/>
      <c r="K782" s="20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2.75" customHeight="1">
      <c r="A783" s="42"/>
      <c r="B783" s="57"/>
      <c r="C783" s="57"/>
      <c r="D783" s="58"/>
      <c r="E783" s="42"/>
      <c r="F783" s="42"/>
      <c r="G783" s="42"/>
      <c r="H783" s="42"/>
      <c r="I783" s="42"/>
      <c r="J783" s="42"/>
      <c r="K783" s="20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2.75" customHeight="1">
      <c r="A784" s="42"/>
      <c r="B784" s="57"/>
      <c r="C784" s="57"/>
      <c r="D784" s="58"/>
      <c r="E784" s="42"/>
      <c r="F784" s="42"/>
      <c r="G784" s="42"/>
      <c r="H784" s="42"/>
      <c r="I784" s="42"/>
      <c r="J784" s="42"/>
      <c r="K784" s="20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2.75" customHeight="1">
      <c r="A785" s="42"/>
      <c r="B785" s="57"/>
      <c r="C785" s="57"/>
      <c r="D785" s="58"/>
      <c r="E785" s="42"/>
      <c r="F785" s="42"/>
      <c r="G785" s="42"/>
      <c r="H785" s="42"/>
      <c r="I785" s="42"/>
      <c r="J785" s="42"/>
      <c r="K785" s="20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2.75" customHeight="1">
      <c r="A786" s="42"/>
      <c r="B786" s="57"/>
      <c r="C786" s="57"/>
      <c r="D786" s="58"/>
      <c r="E786" s="42"/>
      <c r="F786" s="42"/>
      <c r="G786" s="42"/>
      <c r="H786" s="42"/>
      <c r="I786" s="42"/>
      <c r="J786" s="42"/>
      <c r="K786" s="20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2.75" customHeight="1">
      <c r="A787" s="42"/>
      <c r="B787" s="57"/>
      <c r="C787" s="57"/>
      <c r="D787" s="58"/>
      <c r="E787" s="42"/>
      <c r="F787" s="42"/>
      <c r="G787" s="42"/>
      <c r="H787" s="42"/>
      <c r="I787" s="42"/>
      <c r="J787" s="42"/>
      <c r="K787" s="20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2.75" customHeight="1">
      <c r="A788" s="42"/>
      <c r="B788" s="57"/>
      <c r="C788" s="57"/>
      <c r="D788" s="58"/>
      <c r="E788" s="42"/>
      <c r="F788" s="42"/>
      <c r="G788" s="42"/>
      <c r="H788" s="42"/>
      <c r="I788" s="42"/>
      <c r="J788" s="42"/>
      <c r="K788" s="20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2.75" customHeight="1">
      <c r="A789" s="42"/>
      <c r="B789" s="57"/>
      <c r="C789" s="57"/>
      <c r="D789" s="58"/>
      <c r="E789" s="42"/>
      <c r="F789" s="42"/>
      <c r="G789" s="42"/>
      <c r="H789" s="42"/>
      <c r="I789" s="42"/>
      <c r="J789" s="42"/>
      <c r="K789" s="20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2.75" customHeight="1">
      <c r="A790" s="42"/>
      <c r="B790" s="57"/>
      <c r="C790" s="57"/>
      <c r="D790" s="58"/>
      <c r="E790" s="42"/>
      <c r="F790" s="42"/>
      <c r="G790" s="42"/>
      <c r="H790" s="42"/>
      <c r="I790" s="42"/>
      <c r="J790" s="42"/>
      <c r="K790" s="20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2.75" customHeight="1">
      <c r="A791" s="42"/>
      <c r="B791" s="57"/>
      <c r="C791" s="57"/>
      <c r="D791" s="58"/>
      <c r="E791" s="42"/>
      <c r="F791" s="42"/>
      <c r="G791" s="42"/>
      <c r="H791" s="42"/>
      <c r="I791" s="42"/>
      <c r="J791" s="42"/>
      <c r="K791" s="20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2.75" customHeight="1">
      <c r="A792" s="42"/>
      <c r="B792" s="57"/>
      <c r="C792" s="57"/>
      <c r="D792" s="58"/>
      <c r="E792" s="42"/>
      <c r="F792" s="42"/>
      <c r="G792" s="42"/>
      <c r="H792" s="42"/>
      <c r="I792" s="42"/>
      <c r="J792" s="42"/>
      <c r="K792" s="20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2.75" customHeight="1">
      <c r="A793" s="42"/>
      <c r="B793" s="57"/>
      <c r="C793" s="57"/>
      <c r="D793" s="58"/>
      <c r="E793" s="42"/>
      <c r="F793" s="42"/>
      <c r="G793" s="42"/>
      <c r="H793" s="42"/>
      <c r="I793" s="42"/>
      <c r="J793" s="42"/>
      <c r="K793" s="20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2.75" customHeight="1">
      <c r="A794" s="42"/>
      <c r="B794" s="57"/>
      <c r="C794" s="57"/>
      <c r="D794" s="58"/>
      <c r="E794" s="42"/>
      <c r="F794" s="42"/>
      <c r="G794" s="42"/>
      <c r="H794" s="42"/>
      <c r="I794" s="42"/>
      <c r="J794" s="42"/>
      <c r="K794" s="20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2.75" customHeight="1">
      <c r="A795" s="42"/>
      <c r="B795" s="57"/>
      <c r="C795" s="57"/>
      <c r="D795" s="58"/>
      <c r="E795" s="42"/>
      <c r="F795" s="42"/>
      <c r="G795" s="42"/>
      <c r="H795" s="42"/>
      <c r="I795" s="42"/>
      <c r="J795" s="42"/>
      <c r="K795" s="20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2.75" customHeight="1">
      <c r="A796" s="42"/>
      <c r="B796" s="57"/>
      <c r="C796" s="57"/>
      <c r="D796" s="58"/>
      <c r="E796" s="42"/>
      <c r="F796" s="42"/>
      <c r="G796" s="42"/>
      <c r="H796" s="42"/>
      <c r="I796" s="42"/>
      <c r="J796" s="42"/>
      <c r="K796" s="20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2.75" customHeight="1">
      <c r="A797" s="42"/>
      <c r="B797" s="57"/>
      <c r="C797" s="57"/>
      <c r="D797" s="58"/>
      <c r="E797" s="42"/>
      <c r="F797" s="42"/>
      <c r="G797" s="42"/>
      <c r="H797" s="42"/>
      <c r="I797" s="42"/>
      <c r="J797" s="42"/>
      <c r="K797" s="20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2.75" customHeight="1">
      <c r="A798" s="42"/>
      <c r="B798" s="57"/>
      <c r="C798" s="57"/>
      <c r="D798" s="58"/>
      <c r="E798" s="42"/>
      <c r="F798" s="42"/>
      <c r="G798" s="42"/>
      <c r="H798" s="42"/>
      <c r="I798" s="42"/>
      <c r="J798" s="42"/>
      <c r="K798" s="20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2.75" customHeight="1">
      <c r="A799" s="42"/>
      <c r="B799" s="57"/>
      <c r="C799" s="57"/>
      <c r="D799" s="58"/>
      <c r="E799" s="42"/>
      <c r="F799" s="42"/>
      <c r="G799" s="42"/>
      <c r="H799" s="42"/>
      <c r="I799" s="42"/>
      <c r="J799" s="42"/>
      <c r="K799" s="20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2.75" customHeight="1">
      <c r="A800" s="42"/>
      <c r="B800" s="57"/>
      <c r="C800" s="57"/>
      <c r="D800" s="58"/>
      <c r="E800" s="42"/>
      <c r="F800" s="42"/>
      <c r="G800" s="42"/>
      <c r="H800" s="42"/>
      <c r="I800" s="42"/>
      <c r="J800" s="42"/>
      <c r="K800" s="20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2.75" customHeight="1">
      <c r="A801" s="42"/>
      <c r="B801" s="57"/>
      <c r="C801" s="57"/>
      <c r="D801" s="58"/>
      <c r="E801" s="42"/>
      <c r="F801" s="42"/>
      <c r="G801" s="42"/>
      <c r="H801" s="42"/>
      <c r="I801" s="42"/>
      <c r="J801" s="42"/>
      <c r="K801" s="20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2.75" customHeight="1">
      <c r="A802" s="42"/>
      <c r="B802" s="57"/>
      <c r="C802" s="57"/>
      <c r="D802" s="58"/>
      <c r="E802" s="42"/>
      <c r="F802" s="42"/>
      <c r="G802" s="42"/>
      <c r="H802" s="42"/>
      <c r="I802" s="42"/>
      <c r="J802" s="42"/>
      <c r="K802" s="20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2.75" customHeight="1">
      <c r="A803" s="42"/>
      <c r="B803" s="57"/>
      <c r="C803" s="57"/>
      <c r="D803" s="58"/>
      <c r="E803" s="42"/>
      <c r="F803" s="42"/>
      <c r="G803" s="42"/>
      <c r="H803" s="42"/>
      <c r="I803" s="42"/>
      <c r="J803" s="42"/>
      <c r="K803" s="20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2.75" customHeight="1">
      <c r="A804" s="42"/>
      <c r="B804" s="57"/>
      <c r="C804" s="57"/>
      <c r="D804" s="58"/>
      <c r="E804" s="42"/>
      <c r="F804" s="42"/>
      <c r="G804" s="42"/>
      <c r="H804" s="42"/>
      <c r="I804" s="42"/>
      <c r="J804" s="42"/>
      <c r="K804" s="20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2.75" customHeight="1">
      <c r="A805" s="42"/>
      <c r="B805" s="57"/>
      <c r="C805" s="57"/>
      <c r="D805" s="58"/>
      <c r="E805" s="42"/>
      <c r="F805" s="42"/>
      <c r="G805" s="42"/>
      <c r="H805" s="42"/>
      <c r="I805" s="42"/>
      <c r="J805" s="42"/>
      <c r="K805" s="20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2.75" customHeight="1">
      <c r="A806" s="42"/>
      <c r="B806" s="57"/>
      <c r="C806" s="57"/>
      <c r="D806" s="58"/>
      <c r="E806" s="42"/>
      <c r="F806" s="42"/>
      <c r="G806" s="42"/>
      <c r="H806" s="42"/>
      <c r="I806" s="42"/>
      <c r="J806" s="42"/>
      <c r="K806" s="20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2.75" customHeight="1">
      <c r="A807" s="42"/>
      <c r="B807" s="57"/>
      <c r="C807" s="57"/>
      <c r="D807" s="58"/>
      <c r="E807" s="42"/>
      <c r="F807" s="42"/>
      <c r="G807" s="42"/>
      <c r="H807" s="42"/>
      <c r="I807" s="42"/>
      <c r="J807" s="42"/>
      <c r="K807" s="20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2.75" customHeight="1">
      <c r="A808" s="42"/>
      <c r="B808" s="57"/>
      <c r="C808" s="57"/>
      <c r="D808" s="58"/>
      <c r="E808" s="42"/>
      <c r="F808" s="42"/>
      <c r="G808" s="42"/>
      <c r="H808" s="42"/>
      <c r="I808" s="42"/>
      <c r="J808" s="42"/>
      <c r="K808" s="20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2.75" customHeight="1">
      <c r="A809" s="42"/>
      <c r="B809" s="57"/>
      <c r="C809" s="57"/>
      <c r="D809" s="58"/>
      <c r="E809" s="42"/>
      <c r="F809" s="42"/>
      <c r="G809" s="42"/>
      <c r="H809" s="42"/>
      <c r="I809" s="42"/>
      <c r="J809" s="42"/>
      <c r="K809" s="20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2.75" customHeight="1">
      <c r="A810" s="42"/>
      <c r="B810" s="57"/>
      <c r="C810" s="57"/>
      <c r="D810" s="58"/>
      <c r="E810" s="42"/>
      <c r="F810" s="42"/>
      <c r="G810" s="42"/>
      <c r="H810" s="42"/>
      <c r="I810" s="42"/>
      <c r="J810" s="42"/>
      <c r="K810" s="20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2.75" customHeight="1">
      <c r="A811" s="42"/>
      <c r="B811" s="57"/>
      <c r="C811" s="57"/>
      <c r="D811" s="58"/>
      <c r="E811" s="42"/>
      <c r="F811" s="42"/>
      <c r="G811" s="42"/>
      <c r="H811" s="42"/>
      <c r="I811" s="42"/>
      <c r="J811" s="42"/>
      <c r="K811" s="20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2.75" customHeight="1">
      <c r="A812" s="42"/>
      <c r="B812" s="57"/>
      <c r="C812" s="57"/>
      <c r="D812" s="58"/>
      <c r="E812" s="42"/>
      <c r="F812" s="42"/>
      <c r="G812" s="42"/>
      <c r="H812" s="42"/>
      <c r="I812" s="42"/>
      <c r="J812" s="42"/>
      <c r="K812" s="20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2.75" customHeight="1">
      <c r="A813" s="42"/>
      <c r="B813" s="57"/>
      <c r="C813" s="57"/>
      <c r="D813" s="58"/>
      <c r="E813" s="42"/>
      <c r="F813" s="42"/>
      <c r="G813" s="42"/>
      <c r="H813" s="42"/>
      <c r="I813" s="42"/>
      <c r="J813" s="42"/>
      <c r="K813" s="20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2.75" customHeight="1">
      <c r="A814" s="42"/>
      <c r="B814" s="57"/>
      <c r="C814" s="57"/>
      <c r="D814" s="58"/>
      <c r="E814" s="42"/>
      <c r="F814" s="42"/>
      <c r="G814" s="42"/>
      <c r="H814" s="42"/>
      <c r="I814" s="42"/>
      <c r="J814" s="42"/>
      <c r="K814" s="20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2.75" customHeight="1">
      <c r="A815" s="42"/>
      <c r="B815" s="57"/>
      <c r="C815" s="57"/>
      <c r="D815" s="58"/>
      <c r="E815" s="42"/>
      <c r="F815" s="42"/>
      <c r="G815" s="42"/>
      <c r="H815" s="42"/>
      <c r="I815" s="42"/>
      <c r="J815" s="42"/>
      <c r="K815" s="20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2.75" customHeight="1">
      <c r="A816" s="42"/>
      <c r="B816" s="57"/>
      <c r="C816" s="57"/>
      <c r="D816" s="58"/>
      <c r="E816" s="42"/>
      <c r="F816" s="42"/>
      <c r="G816" s="42"/>
      <c r="H816" s="42"/>
      <c r="I816" s="42"/>
      <c r="J816" s="42"/>
      <c r="K816" s="20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2.75" customHeight="1">
      <c r="A817" s="42"/>
      <c r="B817" s="57"/>
      <c r="C817" s="57"/>
      <c r="D817" s="58"/>
      <c r="E817" s="42"/>
      <c r="F817" s="42"/>
      <c r="G817" s="42"/>
      <c r="H817" s="42"/>
      <c r="I817" s="42"/>
      <c r="J817" s="42"/>
      <c r="K817" s="20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2.75" customHeight="1">
      <c r="A818" s="42"/>
      <c r="B818" s="57"/>
      <c r="C818" s="57"/>
      <c r="D818" s="58"/>
      <c r="E818" s="42"/>
      <c r="F818" s="42"/>
      <c r="G818" s="42"/>
      <c r="H818" s="42"/>
      <c r="I818" s="42"/>
      <c r="J818" s="42"/>
      <c r="K818" s="20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2.75" customHeight="1">
      <c r="A819" s="42"/>
      <c r="B819" s="57"/>
      <c r="C819" s="57"/>
      <c r="D819" s="58"/>
      <c r="E819" s="42"/>
      <c r="F819" s="42"/>
      <c r="G819" s="42"/>
      <c r="H819" s="42"/>
      <c r="I819" s="42"/>
      <c r="J819" s="42"/>
      <c r="K819" s="20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2.75" customHeight="1">
      <c r="A820" s="42"/>
      <c r="B820" s="57"/>
      <c r="C820" s="57"/>
      <c r="D820" s="58"/>
      <c r="E820" s="42"/>
      <c r="F820" s="42"/>
      <c r="G820" s="42"/>
      <c r="H820" s="42"/>
      <c r="I820" s="42"/>
      <c r="J820" s="42"/>
      <c r="K820" s="20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2.75" customHeight="1">
      <c r="A821" s="42"/>
      <c r="B821" s="57"/>
      <c r="C821" s="57"/>
      <c r="D821" s="58"/>
      <c r="E821" s="42"/>
      <c r="F821" s="42"/>
      <c r="G821" s="42"/>
      <c r="H821" s="42"/>
      <c r="I821" s="42"/>
      <c r="J821" s="42"/>
      <c r="K821" s="20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2.75" customHeight="1">
      <c r="A822" s="42"/>
      <c r="B822" s="57"/>
      <c r="C822" s="57"/>
      <c r="D822" s="58"/>
      <c r="E822" s="42"/>
      <c r="F822" s="42"/>
      <c r="G822" s="42"/>
      <c r="H822" s="42"/>
      <c r="I822" s="42"/>
      <c r="J822" s="42"/>
      <c r="K822" s="20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2.75" customHeight="1">
      <c r="A823" s="42"/>
      <c r="B823" s="57"/>
      <c r="C823" s="57"/>
      <c r="D823" s="58"/>
      <c r="E823" s="42"/>
      <c r="F823" s="42"/>
      <c r="G823" s="42"/>
      <c r="H823" s="42"/>
      <c r="I823" s="42"/>
      <c r="J823" s="42"/>
      <c r="K823" s="20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2.75" customHeight="1">
      <c r="A824" s="42"/>
      <c r="B824" s="57"/>
      <c r="C824" s="57"/>
      <c r="D824" s="58"/>
      <c r="E824" s="42"/>
      <c r="F824" s="42"/>
      <c r="G824" s="42"/>
      <c r="H824" s="42"/>
      <c r="I824" s="42"/>
      <c r="J824" s="42"/>
      <c r="K824" s="20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2.75" customHeight="1">
      <c r="A825" s="42"/>
      <c r="B825" s="57"/>
      <c r="C825" s="57"/>
      <c r="D825" s="58"/>
      <c r="E825" s="42"/>
      <c r="F825" s="42"/>
      <c r="G825" s="42"/>
      <c r="H825" s="42"/>
      <c r="I825" s="42"/>
      <c r="J825" s="42"/>
      <c r="K825" s="20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2.75" customHeight="1">
      <c r="A826" s="42"/>
      <c r="B826" s="57"/>
      <c r="C826" s="57"/>
      <c r="D826" s="58"/>
      <c r="E826" s="42"/>
      <c r="F826" s="42"/>
      <c r="G826" s="42"/>
      <c r="H826" s="42"/>
      <c r="I826" s="42"/>
      <c r="J826" s="42"/>
      <c r="K826" s="20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2.75" customHeight="1">
      <c r="A827" s="42"/>
      <c r="B827" s="57"/>
      <c r="C827" s="57"/>
      <c r="D827" s="58"/>
      <c r="E827" s="42"/>
      <c r="F827" s="42"/>
      <c r="G827" s="42"/>
      <c r="H827" s="42"/>
      <c r="I827" s="42"/>
      <c r="J827" s="42"/>
      <c r="K827" s="20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2.75" customHeight="1">
      <c r="A828" s="42"/>
      <c r="B828" s="57"/>
      <c r="C828" s="57"/>
      <c r="D828" s="58"/>
      <c r="E828" s="42"/>
      <c r="F828" s="42"/>
      <c r="G828" s="42"/>
      <c r="H828" s="42"/>
      <c r="I828" s="42"/>
      <c r="J828" s="42"/>
      <c r="K828" s="20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2.75" customHeight="1">
      <c r="A829" s="42"/>
      <c r="B829" s="57"/>
      <c r="C829" s="57"/>
      <c r="D829" s="58"/>
      <c r="E829" s="42"/>
      <c r="F829" s="42"/>
      <c r="G829" s="42"/>
      <c r="H829" s="42"/>
      <c r="I829" s="42"/>
      <c r="J829" s="42"/>
      <c r="K829" s="20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2.75" customHeight="1">
      <c r="A830" s="42"/>
      <c r="B830" s="57"/>
      <c r="C830" s="57"/>
      <c r="D830" s="58"/>
      <c r="E830" s="42"/>
      <c r="F830" s="42"/>
      <c r="G830" s="42"/>
      <c r="H830" s="42"/>
      <c r="I830" s="42"/>
      <c r="J830" s="42"/>
      <c r="K830" s="20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2.75" customHeight="1">
      <c r="A831" s="42"/>
      <c r="B831" s="57"/>
      <c r="C831" s="57"/>
      <c r="D831" s="58"/>
      <c r="E831" s="42"/>
      <c r="F831" s="42"/>
      <c r="G831" s="42"/>
      <c r="H831" s="42"/>
      <c r="I831" s="42"/>
      <c r="J831" s="42"/>
      <c r="K831" s="20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2.75" customHeight="1">
      <c r="A832" s="42"/>
      <c r="B832" s="57"/>
      <c r="C832" s="57"/>
      <c r="D832" s="58"/>
      <c r="E832" s="42"/>
      <c r="F832" s="42"/>
      <c r="G832" s="42"/>
      <c r="H832" s="42"/>
      <c r="I832" s="42"/>
      <c r="J832" s="42"/>
      <c r="K832" s="20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2.75" customHeight="1">
      <c r="A833" s="42"/>
      <c r="B833" s="57"/>
      <c r="C833" s="57"/>
      <c r="D833" s="58"/>
      <c r="E833" s="42"/>
      <c r="F833" s="42"/>
      <c r="G833" s="42"/>
      <c r="H833" s="42"/>
      <c r="I833" s="42"/>
      <c r="J833" s="42"/>
      <c r="K833" s="20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2.75" customHeight="1">
      <c r="A834" s="42"/>
      <c r="B834" s="57"/>
      <c r="C834" s="57"/>
      <c r="D834" s="58"/>
      <c r="E834" s="42"/>
      <c r="F834" s="42"/>
      <c r="G834" s="42"/>
      <c r="H834" s="42"/>
      <c r="I834" s="42"/>
      <c r="J834" s="42"/>
      <c r="K834" s="20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2.75" customHeight="1">
      <c r="A835" s="42"/>
      <c r="B835" s="57"/>
      <c r="C835" s="57"/>
      <c r="D835" s="58"/>
      <c r="E835" s="42"/>
      <c r="F835" s="42"/>
      <c r="G835" s="42"/>
      <c r="H835" s="42"/>
      <c r="I835" s="42"/>
      <c r="J835" s="42"/>
      <c r="K835" s="20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2.75" customHeight="1">
      <c r="A836" s="42"/>
      <c r="B836" s="57"/>
      <c r="C836" s="57"/>
      <c r="D836" s="58"/>
      <c r="E836" s="42"/>
      <c r="F836" s="42"/>
      <c r="G836" s="42"/>
      <c r="H836" s="42"/>
      <c r="I836" s="42"/>
      <c r="J836" s="42"/>
      <c r="K836" s="20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2.75" customHeight="1">
      <c r="A837" s="42"/>
      <c r="B837" s="57"/>
      <c r="C837" s="57"/>
      <c r="D837" s="58"/>
      <c r="E837" s="42"/>
      <c r="F837" s="42"/>
      <c r="G837" s="42"/>
      <c r="H837" s="42"/>
      <c r="I837" s="42"/>
      <c r="J837" s="42"/>
      <c r="K837" s="20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2.75" customHeight="1">
      <c r="A838" s="42"/>
      <c r="B838" s="57"/>
      <c r="C838" s="57"/>
      <c r="D838" s="58"/>
      <c r="E838" s="42"/>
      <c r="F838" s="42"/>
      <c r="G838" s="42"/>
      <c r="H838" s="42"/>
      <c r="I838" s="42"/>
      <c r="J838" s="42"/>
      <c r="K838" s="20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2.75" customHeight="1">
      <c r="A839" s="42"/>
      <c r="B839" s="57"/>
      <c r="C839" s="57"/>
      <c r="D839" s="58"/>
      <c r="E839" s="42"/>
      <c r="F839" s="42"/>
      <c r="G839" s="42"/>
      <c r="H839" s="42"/>
      <c r="I839" s="42"/>
      <c r="J839" s="42"/>
      <c r="K839" s="20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2.75" customHeight="1">
      <c r="A840" s="42"/>
      <c r="B840" s="57"/>
      <c r="C840" s="57"/>
      <c r="D840" s="58"/>
      <c r="E840" s="42"/>
      <c r="F840" s="42"/>
      <c r="G840" s="42"/>
      <c r="H840" s="42"/>
      <c r="I840" s="42"/>
      <c r="J840" s="42"/>
      <c r="K840" s="20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2.75" customHeight="1">
      <c r="A841" s="42"/>
      <c r="B841" s="57"/>
      <c r="C841" s="57"/>
      <c r="D841" s="58"/>
      <c r="E841" s="42"/>
      <c r="F841" s="42"/>
      <c r="G841" s="42"/>
      <c r="H841" s="42"/>
      <c r="I841" s="42"/>
      <c r="J841" s="42"/>
      <c r="K841" s="20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2.75" customHeight="1">
      <c r="A842" s="42"/>
      <c r="B842" s="57"/>
      <c r="C842" s="57"/>
      <c r="D842" s="58"/>
      <c r="E842" s="42"/>
      <c r="F842" s="42"/>
      <c r="G842" s="42"/>
      <c r="H842" s="42"/>
      <c r="I842" s="42"/>
      <c r="J842" s="42"/>
      <c r="K842" s="20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2.75" customHeight="1">
      <c r="A843" s="42"/>
      <c r="B843" s="57"/>
      <c r="C843" s="57"/>
      <c r="D843" s="58"/>
      <c r="E843" s="42"/>
      <c r="F843" s="42"/>
      <c r="G843" s="42"/>
      <c r="H843" s="42"/>
      <c r="I843" s="42"/>
      <c r="J843" s="42"/>
      <c r="K843" s="20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2.75" customHeight="1">
      <c r="A844" s="42"/>
      <c r="B844" s="57"/>
      <c r="C844" s="57"/>
      <c r="D844" s="58"/>
      <c r="E844" s="42"/>
      <c r="F844" s="42"/>
      <c r="G844" s="42"/>
      <c r="H844" s="42"/>
      <c r="I844" s="42"/>
      <c r="J844" s="42"/>
      <c r="K844" s="20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2.75" customHeight="1">
      <c r="A845" s="42"/>
      <c r="B845" s="57"/>
      <c r="C845" s="57"/>
      <c r="D845" s="58"/>
      <c r="E845" s="42"/>
      <c r="F845" s="42"/>
      <c r="G845" s="42"/>
      <c r="H845" s="42"/>
      <c r="I845" s="42"/>
      <c r="J845" s="42"/>
      <c r="K845" s="20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2.75" customHeight="1">
      <c r="A846" s="42"/>
      <c r="B846" s="57"/>
      <c r="C846" s="57"/>
      <c r="D846" s="58"/>
      <c r="E846" s="42"/>
      <c r="F846" s="42"/>
      <c r="G846" s="42"/>
      <c r="H846" s="42"/>
      <c r="I846" s="42"/>
      <c r="J846" s="42"/>
      <c r="K846" s="20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2.75" customHeight="1">
      <c r="A847" s="42"/>
      <c r="B847" s="57"/>
      <c r="C847" s="57"/>
      <c r="D847" s="58"/>
      <c r="E847" s="42"/>
      <c r="F847" s="42"/>
      <c r="G847" s="42"/>
      <c r="H847" s="42"/>
      <c r="I847" s="42"/>
      <c r="J847" s="42"/>
      <c r="K847" s="20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2.75" customHeight="1">
      <c r="A848" s="42"/>
      <c r="B848" s="57"/>
      <c r="C848" s="57"/>
      <c r="D848" s="58"/>
      <c r="E848" s="42"/>
      <c r="F848" s="42"/>
      <c r="G848" s="42"/>
      <c r="H848" s="42"/>
      <c r="I848" s="42"/>
      <c r="J848" s="42"/>
      <c r="K848" s="20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2.75" customHeight="1">
      <c r="A849" s="42"/>
      <c r="B849" s="57"/>
      <c r="C849" s="57"/>
      <c r="D849" s="58"/>
      <c r="E849" s="42"/>
      <c r="F849" s="42"/>
      <c r="G849" s="42"/>
      <c r="H849" s="42"/>
      <c r="I849" s="42"/>
      <c r="J849" s="42"/>
      <c r="K849" s="20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2.75" customHeight="1">
      <c r="A850" s="42"/>
      <c r="B850" s="57"/>
      <c r="C850" s="57"/>
      <c r="D850" s="58"/>
      <c r="E850" s="42"/>
      <c r="F850" s="42"/>
      <c r="G850" s="42"/>
      <c r="H850" s="42"/>
      <c r="I850" s="42"/>
      <c r="J850" s="42"/>
      <c r="K850" s="20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2.75" customHeight="1">
      <c r="A851" s="42"/>
      <c r="B851" s="57"/>
      <c r="C851" s="57"/>
      <c r="D851" s="58"/>
      <c r="E851" s="42"/>
      <c r="F851" s="42"/>
      <c r="G851" s="42"/>
      <c r="H851" s="42"/>
      <c r="I851" s="42"/>
      <c r="J851" s="42"/>
      <c r="K851" s="20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2.75" customHeight="1">
      <c r="A852" s="42"/>
      <c r="B852" s="57"/>
      <c r="C852" s="57"/>
      <c r="D852" s="58"/>
      <c r="E852" s="42"/>
      <c r="F852" s="42"/>
      <c r="G852" s="42"/>
      <c r="H852" s="42"/>
      <c r="I852" s="42"/>
      <c r="J852" s="42"/>
      <c r="K852" s="20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2.75" customHeight="1">
      <c r="A853" s="42"/>
      <c r="B853" s="57"/>
      <c r="C853" s="57"/>
      <c r="D853" s="58"/>
      <c r="E853" s="42"/>
      <c r="F853" s="42"/>
      <c r="G853" s="42"/>
      <c r="H853" s="42"/>
      <c r="I853" s="42"/>
      <c r="J853" s="42"/>
      <c r="K853" s="20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2.75" customHeight="1">
      <c r="A854" s="42"/>
      <c r="B854" s="57"/>
      <c r="C854" s="57"/>
      <c r="D854" s="58"/>
      <c r="E854" s="42"/>
      <c r="F854" s="42"/>
      <c r="G854" s="42"/>
      <c r="H854" s="42"/>
      <c r="I854" s="42"/>
      <c r="J854" s="42"/>
      <c r="K854" s="20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2.75" customHeight="1">
      <c r="A855" s="42"/>
      <c r="B855" s="57"/>
      <c r="C855" s="57"/>
      <c r="D855" s="58"/>
      <c r="E855" s="42"/>
      <c r="F855" s="42"/>
      <c r="G855" s="42"/>
      <c r="H855" s="42"/>
      <c r="I855" s="42"/>
      <c r="J855" s="42"/>
      <c r="K855" s="20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2.75" customHeight="1">
      <c r="A856" s="42"/>
      <c r="B856" s="57"/>
      <c r="C856" s="57"/>
      <c r="D856" s="58"/>
      <c r="E856" s="42"/>
      <c r="F856" s="42"/>
      <c r="G856" s="42"/>
      <c r="H856" s="42"/>
      <c r="I856" s="42"/>
      <c r="J856" s="42"/>
      <c r="K856" s="20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2.75" customHeight="1">
      <c r="A857" s="42"/>
      <c r="B857" s="57"/>
      <c r="C857" s="57"/>
      <c r="D857" s="58"/>
      <c r="E857" s="42"/>
      <c r="F857" s="42"/>
      <c r="G857" s="42"/>
      <c r="H857" s="42"/>
      <c r="I857" s="42"/>
      <c r="J857" s="42"/>
      <c r="K857" s="20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2.75" customHeight="1">
      <c r="A858" s="42"/>
      <c r="B858" s="57"/>
      <c r="C858" s="57"/>
      <c r="D858" s="58"/>
      <c r="E858" s="42"/>
      <c r="F858" s="42"/>
      <c r="G858" s="42"/>
      <c r="H858" s="42"/>
      <c r="I858" s="42"/>
      <c r="J858" s="42"/>
      <c r="K858" s="20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2.75" customHeight="1">
      <c r="A859" s="42"/>
      <c r="B859" s="57"/>
      <c r="C859" s="57"/>
      <c r="D859" s="58"/>
      <c r="E859" s="42"/>
      <c r="F859" s="42"/>
      <c r="G859" s="42"/>
      <c r="H859" s="42"/>
      <c r="I859" s="42"/>
      <c r="J859" s="42"/>
      <c r="K859" s="20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2.75" customHeight="1">
      <c r="A860" s="42"/>
      <c r="B860" s="57"/>
      <c r="C860" s="57"/>
      <c r="D860" s="58"/>
      <c r="E860" s="42"/>
      <c r="F860" s="42"/>
      <c r="G860" s="42"/>
      <c r="H860" s="42"/>
      <c r="I860" s="42"/>
      <c r="J860" s="42"/>
      <c r="K860" s="20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2.75" customHeight="1">
      <c r="A861" s="42"/>
      <c r="B861" s="57"/>
      <c r="C861" s="57"/>
      <c r="D861" s="58"/>
      <c r="E861" s="42"/>
      <c r="F861" s="42"/>
      <c r="G861" s="42"/>
      <c r="H861" s="42"/>
      <c r="I861" s="42"/>
      <c r="J861" s="42"/>
      <c r="K861" s="20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2.75" customHeight="1">
      <c r="A862" s="42"/>
      <c r="B862" s="57"/>
      <c r="C862" s="57"/>
      <c r="D862" s="58"/>
      <c r="E862" s="42"/>
      <c r="F862" s="42"/>
      <c r="G862" s="42"/>
      <c r="H862" s="42"/>
      <c r="I862" s="42"/>
      <c r="J862" s="42"/>
      <c r="K862" s="20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2.75" customHeight="1">
      <c r="A863" s="42"/>
      <c r="B863" s="57"/>
      <c r="C863" s="57"/>
      <c r="D863" s="58"/>
      <c r="E863" s="42"/>
      <c r="F863" s="42"/>
      <c r="G863" s="42"/>
      <c r="H863" s="42"/>
      <c r="I863" s="42"/>
      <c r="J863" s="42"/>
      <c r="K863" s="20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2.75" customHeight="1">
      <c r="A864" s="42"/>
      <c r="B864" s="57"/>
      <c r="C864" s="57"/>
      <c r="D864" s="58"/>
      <c r="E864" s="42"/>
      <c r="F864" s="42"/>
      <c r="G864" s="42"/>
      <c r="H864" s="42"/>
      <c r="I864" s="42"/>
      <c r="J864" s="42"/>
      <c r="K864" s="20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2.75" customHeight="1">
      <c r="A865" s="42"/>
      <c r="B865" s="57"/>
      <c r="C865" s="57"/>
      <c r="D865" s="58"/>
      <c r="E865" s="42"/>
      <c r="F865" s="42"/>
      <c r="G865" s="42"/>
      <c r="H865" s="42"/>
      <c r="I865" s="42"/>
      <c r="J865" s="42"/>
      <c r="K865" s="20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2.75" customHeight="1">
      <c r="A866" s="42"/>
      <c r="B866" s="57"/>
      <c r="C866" s="57"/>
      <c r="D866" s="58"/>
      <c r="E866" s="42"/>
      <c r="F866" s="42"/>
      <c r="G866" s="42"/>
      <c r="H866" s="42"/>
      <c r="I866" s="42"/>
      <c r="J866" s="42"/>
      <c r="K866" s="20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2.75" customHeight="1">
      <c r="A867" s="42"/>
      <c r="B867" s="57"/>
      <c r="C867" s="57"/>
      <c r="D867" s="58"/>
      <c r="E867" s="42"/>
      <c r="F867" s="42"/>
      <c r="G867" s="42"/>
      <c r="H867" s="42"/>
      <c r="I867" s="42"/>
      <c r="J867" s="42"/>
      <c r="K867" s="20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2.75" customHeight="1">
      <c r="A868" s="42"/>
      <c r="B868" s="57"/>
      <c r="C868" s="57"/>
      <c r="D868" s="58"/>
      <c r="E868" s="42"/>
      <c r="F868" s="42"/>
      <c r="G868" s="42"/>
      <c r="H868" s="42"/>
      <c r="I868" s="42"/>
      <c r="J868" s="42"/>
      <c r="K868" s="20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2.75" customHeight="1">
      <c r="A869" s="42"/>
      <c r="B869" s="57"/>
      <c r="C869" s="57"/>
      <c r="D869" s="58"/>
      <c r="E869" s="42"/>
      <c r="F869" s="42"/>
      <c r="G869" s="42"/>
      <c r="H869" s="42"/>
      <c r="I869" s="42"/>
      <c r="J869" s="42"/>
      <c r="K869" s="20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2.75" customHeight="1">
      <c r="A870" s="42"/>
      <c r="B870" s="57"/>
      <c r="C870" s="57"/>
      <c r="D870" s="58"/>
      <c r="E870" s="42"/>
      <c r="F870" s="42"/>
      <c r="G870" s="42"/>
      <c r="H870" s="42"/>
      <c r="I870" s="42"/>
      <c r="J870" s="42"/>
      <c r="K870" s="20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2.75" customHeight="1">
      <c r="A871" s="42"/>
      <c r="B871" s="57"/>
      <c r="C871" s="57"/>
      <c r="D871" s="58"/>
      <c r="E871" s="42"/>
      <c r="F871" s="42"/>
      <c r="G871" s="42"/>
      <c r="H871" s="42"/>
      <c r="I871" s="42"/>
      <c r="J871" s="42"/>
      <c r="K871" s="20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2.75" customHeight="1">
      <c r="A872" s="42"/>
      <c r="B872" s="57"/>
      <c r="C872" s="57"/>
      <c r="D872" s="58"/>
      <c r="E872" s="42"/>
      <c r="F872" s="42"/>
      <c r="G872" s="42"/>
      <c r="H872" s="42"/>
      <c r="I872" s="42"/>
      <c r="J872" s="42"/>
      <c r="K872" s="20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2.75" customHeight="1">
      <c r="A873" s="42"/>
      <c r="B873" s="57"/>
      <c r="C873" s="57"/>
      <c r="D873" s="58"/>
      <c r="E873" s="42"/>
      <c r="F873" s="42"/>
      <c r="G873" s="42"/>
      <c r="H873" s="42"/>
      <c r="I873" s="42"/>
      <c r="J873" s="42"/>
      <c r="K873" s="20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2.75" customHeight="1">
      <c r="A874" s="42"/>
      <c r="B874" s="57"/>
      <c r="C874" s="57"/>
      <c r="D874" s="58"/>
      <c r="E874" s="42"/>
      <c r="F874" s="42"/>
      <c r="G874" s="42"/>
      <c r="H874" s="42"/>
      <c r="I874" s="42"/>
      <c r="J874" s="42"/>
      <c r="K874" s="20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2.75" customHeight="1">
      <c r="A875" s="42"/>
      <c r="B875" s="57"/>
      <c r="C875" s="57"/>
      <c r="D875" s="58"/>
      <c r="E875" s="42"/>
      <c r="F875" s="42"/>
      <c r="G875" s="42"/>
      <c r="H875" s="42"/>
      <c r="I875" s="42"/>
      <c r="J875" s="42"/>
      <c r="K875" s="20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2.75" customHeight="1">
      <c r="A876" s="42"/>
      <c r="B876" s="57"/>
      <c r="C876" s="57"/>
      <c r="D876" s="58"/>
      <c r="E876" s="42"/>
      <c r="F876" s="42"/>
      <c r="G876" s="42"/>
      <c r="H876" s="42"/>
      <c r="I876" s="42"/>
      <c r="J876" s="42"/>
      <c r="K876" s="20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2.75" customHeight="1">
      <c r="A877" s="42"/>
      <c r="B877" s="57"/>
      <c r="C877" s="57"/>
      <c r="D877" s="58"/>
      <c r="E877" s="42"/>
      <c r="F877" s="42"/>
      <c r="G877" s="42"/>
      <c r="H877" s="42"/>
      <c r="I877" s="42"/>
      <c r="J877" s="42"/>
      <c r="K877" s="20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2.75" customHeight="1">
      <c r="A878" s="42"/>
      <c r="B878" s="57"/>
      <c r="C878" s="57"/>
      <c r="D878" s="58"/>
      <c r="E878" s="42"/>
      <c r="F878" s="42"/>
      <c r="G878" s="42"/>
      <c r="H878" s="42"/>
      <c r="I878" s="42"/>
      <c r="J878" s="42"/>
      <c r="K878" s="20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2.75" customHeight="1">
      <c r="A879" s="42"/>
      <c r="B879" s="57"/>
      <c r="C879" s="57"/>
      <c r="D879" s="58"/>
      <c r="E879" s="42"/>
      <c r="F879" s="42"/>
      <c r="G879" s="42"/>
      <c r="H879" s="42"/>
      <c r="I879" s="42"/>
      <c r="J879" s="42"/>
      <c r="K879" s="20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2.75" customHeight="1">
      <c r="A880" s="42"/>
      <c r="B880" s="57"/>
      <c r="C880" s="57"/>
      <c r="D880" s="58"/>
      <c r="E880" s="42"/>
      <c r="F880" s="42"/>
      <c r="G880" s="42"/>
      <c r="H880" s="42"/>
      <c r="I880" s="42"/>
      <c r="J880" s="42"/>
      <c r="K880" s="20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2.75" customHeight="1">
      <c r="A881" s="42"/>
      <c r="B881" s="57"/>
      <c r="C881" s="57"/>
      <c r="D881" s="58"/>
      <c r="E881" s="42"/>
      <c r="F881" s="42"/>
      <c r="G881" s="42"/>
      <c r="H881" s="42"/>
      <c r="I881" s="42"/>
      <c r="J881" s="42"/>
      <c r="K881" s="20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2.75" customHeight="1">
      <c r="A882" s="42"/>
      <c r="B882" s="57"/>
      <c r="C882" s="57"/>
      <c r="D882" s="58"/>
      <c r="E882" s="42"/>
      <c r="F882" s="42"/>
      <c r="G882" s="42"/>
      <c r="H882" s="42"/>
      <c r="I882" s="42"/>
      <c r="J882" s="42"/>
      <c r="K882" s="20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2.75" customHeight="1">
      <c r="A883" s="42"/>
      <c r="B883" s="57"/>
      <c r="C883" s="57"/>
      <c r="D883" s="58"/>
      <c r="E883" s="42"/>
      <c r="F883" s="42"/>
      <c r="G883" s="42"/>
      <c r="H883" s="42"/>
      <c r="I883" s="42"/>
      <c r="J883" s="42"/>
      <c r="K883" s="20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2.75" customHeight="1">
      <c r="A884" s="42"/>
      <c r="B884" s="57"/>
      <c r="C884" s="57"/>
      <c r="D884" s="58"/>
      <c r="E884" s="42"/>
      <c r="F884" s="42"/>
      <c r="G884" s="42"/>
      <c r="H884" s="42"/>
      <c r="I884" s="42"/>
      <c r="J884" s="42"/>
      <c r="K884" s="20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2.75" customHeight="1">
      <c r="A885" s="42"/>
      <c r="B885" s="57"/>
      <c r="C885" s="57"/>
      <c r="D885" s="58"/>
      <c r="E885" s="42"/>
      <c r="F885" s="42"/>
      <c r="G885" s="42"/>
      <c r="H885" s="42"/>
      <c r="I885" s="42"/>
      <c r="J885" s="42"/>
      <c r="K885" s="20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2.75" customHeight="1">
      <c r="A886" s="42"/>
      <c r="B886" s="57"/>
      <c r="C886" s="57"/>
      <c r="D886" s="58"/>
      <c r="E886" s="42"/>
      <c r="F886" s="42"/>
      <c r="G886" s="42"/>
      <c r="H886" s="42"/>
      <c r="I886" s="42"/>
      <c r="J886" s="42"/>
      <c r="K886" s="20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2.75" customHeight="1">
      <c r="A887" s="42"/>
      <c r="B887" s="57"/>
      <c r="C887" s="57"/>
      <c r="D887" s="58"/>
      <c r="E887" s="42"/>
      <c r="F887" s="42"/>
      <c r="G887" s="42"/>
      <c r="H887" s="42"/>
      <c r="I887" s="42"/>
      <c r="J887" s="42"/>
      <c r="K887" s="20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2.75" customHeight="1">
      <c r="A888" s="42"/>
      <c r="B888" s="57"/>
      <c r="C888" s="57"/>
      <c r="D888" s="58"/>
      <c r="E888" s="42"/>
      <c r="F888" s="42"/>
      <c r="G888" s="42"/>
      <c r="H888" s="42"/>
      <c r="I888" s="42"/>
      <c r="J888" s="42"/>
      <c r="K888" s="20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2.75" customHeight="1">
      <c r="A889" s="42"/>
      <c r="B889" s="57"/>
      <c r="C889" s="57"/>
      <c r="D889" s="58"/>
      <c r="E889" s="42"/>
      <c r="F889" s="42"/>
      <c r="G889" s="42"/>
      <c r="H889" s="42"/>
      <c r="I889" s="42"/>
      <c r="J889" s="42"/>
      <c r="K889" s="20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2.75" customHeight="1">
      <c r="A890" s="42"/>
      <c r="B890" s="57"/>
      <c r="C890" s="57"/>
      <c r="D890" s="58"/>
      <c r="E890" s="42"/>
      <c r="F890" s="42"/>
      <c r="G890" s="42"/>
      <c r="H890" s="42"/>
      <c r="I890" s="42"/>
      <c r="J890" s="42"/>
      <c r="K890" s="20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2.75" customHeight="1">
      <c r="A891" s="42"/>
      <c r="B891" s="57"/>
      <c r="C891" s="57"/>
      <c r="D891" s="58"/>
      <c r="E891" s="42"/>
      <c r="F891" s="42"/>
      <c r="G891" s="42"/>
      <c r="H891" s="42"/>
      <c r="I891" s="42"/>
      <c r="J891" s="42"/>
      <c r="K891" s="20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2.75" customHeight="1">
      <c r="A892" s="42"/>
      <c r="B892" s="57"/>
      <c r="C892" s="57"/>
      <c r="D892" s="58"/>
      <c r="E892" s="42"/>
      <c r="F892" s="42"/>
      <c r="G892" s="42"/>
      <c r="H892" s="42"/>
      <c r="I892" s="42"/>
      <c r="J892" s="42"/>
      <c r="K892" s="20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2.75" customHeight="1">
      <c r="A893" s="42"/>
      <c r="B893" s="57"/>
      <c r="C893" s="57"/>
      <c r="D893" s="58"/>
      <c r="E893" s="42"/>
      <c r="F893" s="42"/>
      <c r="G893" s="42"/>
      <c r="H893" s="42"/>
      <c r="I893" s="42"/>
      <c r="J893" s="42"/>
      <c r="K893" s="20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2.75" customHeight="1">
      <c r="A894" s="42"/>
      <c r="B894" s="57"/>
      <c r="C894" s="57"/>
      <c r="D894" s="58"/>
      <c r="E894" s="42"/>
      <c r="F894" s="42"/>
      <c r="G894" s="42"/>
      <c r="H894" s="42"/>
      <c r="I894" s="42"/>
      <c r="J894" s="42"/>
      <c r="K894" s="20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2.75" customHeight="1">
      <c r="A895" s="42"/>
      <c r="B895" s="57"/>
      <c r="C895" s="57"/>
      <c r="D895" s="58"/>
      <c r="E895" s="42"/>
      <c r="F895" s="42"/>
      <c r="G895" s="42"/>
      <c r="H895" s="42"/>
      <c r="I895" s="42"/>
      <c r="J895" s="42"/>
      <c r="K895" s="20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2.75" customHeight="1">
      <c r="A896" s="42"/>
      <c r="B896" s="57"/>
      <c r="C896" s="57"/>
      <c r="D896" s="58"/>
      <c r="E896" s="42"/>
      <c r="F896" s="42"/>
      <c r="G896" s="42"/>
      <c r="H896" s="42"/>
      <c r="I896" s="42"/>
      <c r="J896" s="42"/>
      <c r="K896" s="20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2.75" customHeight="1">
      <c r="A897" s="42"/>
      <c r="B897" s="57"/>
      <c r="C897" s="57"/>
      <c r="D897" s="58"/>
      <c r="E897" s="42"/>
      <c r="F897" s="42"/>
      <c r="G897" s="42"/>
      <c r="H897" s="42"/>
      <c r="I897" s="42"/>
      <c r="J897" s="42"/>
      <c r="K897" s="20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2.75" customHeight="1">
      <c r="A898" s="42"/>
      <c r="B898" s="57"/>
      <c r="C898" s="57"/>
      <c r="D898" s="58"/>
      <c r="E898" s="42"/>
      <c r="F898" s="42"/>
      <c r="G898" s="42"/>
      <c r="H898" s="42"/>
      <c r="I898" s="42"/>
      <c r="J898" s="42"/>
      <c r="K898" s="20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2.75" customHeight="1">
      <c r="A899" s="42"/>
      <c r="B899" s="57"/>
      <c r="C899" s="57"/>
      <c r="D899" s="58"/>
      <c r="E899" s="42"/>
      <c r="F899" s="42"/>
      <c r="G899" s="42"/>
      <c r="H899" s="42"/>
      <c r="I899" s="42"/>
      <c r="J899" s="42"/>
      <c r="K899" s="20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2.75" customHeight="1">
      <c r="A900" s="42"/>
      <c r="B900" s="57"/>
      <c r="C900" s="57"/>
      <c r="D900" s="58"/>
      <c r="E900" s="42"/>
      <c r="F900" s="42"/>
      <c r="G900" s="42"/>
      <c r="H900" s="42"/>
      <c r="I900" s="42"/>
      <c r="J900" s="42"/>
      <c r="K900" s="20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2.75" customHeight="1">
      <c r="A901" s="42"/>
      <c r="B901" s="57"/>
      <c r="C901" s="57"/>
      <c r="D901" s="58"/>
      <c r="E901" s="42"/>
      <c r="F901" s="42"/>
      <c r="G901" s="42"/>
      <c r="H901" s="42"/>
      <c r="I901" s="42"/>
      <c r="J901" s="42"/>
      <c r="K901" s="20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2.75" customHeight="1">
      <c r="A902" s="42"/>
      <c r="B902" s="57"/>
      <c r="C902" s="57"/>
      <c r="D902" s="58"/>
      <c r="E902" s="42"/>
      <c r="F902" s="42"/>
      <c r="G902" s="42"/>
      <c r="H902" s="42"/>
      <c r="I902" s="42"/>
      <c r="J902" s="42"/>
      <c r="K902" s="20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2.75" customHeight="1">
      <c r="A903" s="42"/>
      <c r="B903" s="57"/>
      <c r="C903" s="57"/>
      <c r="D903" s="58"/>
      <c r="E903" s="42"/>
      <c r="F903" s="42"/>
      <c r="G903" s="42"/>
      <c r="H903" s="42"/>
      <c r="I903" s="42"/>
      <c r="J903" s="42"/>
      <c r="K903" s="20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2.75" customHeight="1">
      <c r="A904" s="42"/>
      <c r="B904" s="57"/>
      <c r="C904" s="57"/>
      <c r="D904" s="58"/>
      <c r="E904" s="42"/>
      <c r="F904" s="42"/>
      <c r="G904" s="42"/>
      <c r="H904" s="42"/>
      <c r="I904" s="42"/>
      <c r="J904" s="42"/>
      <c r="K904" s="20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2.75" customHeight="1">
      <c r="A905" s="42"/>
      <c r="B905" s="57"/>
      <c r="C905" s="57"/>
      <c r="D905" s="58"/>
      <c r="E905" s="42"/>
      <c r="F905" s="42"/>
      <c r="G905" s="42"/>
      <c r="H905" s="42"/>
      <c r="I905" s="42"/>
      <c r="J905" s="42"/>
      <c r="K905" s="20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2.75" customHeight="1">
      <c r="A906" s="42"/>
      <c r="B906" s="57"/>
      <c r="C906" s="57"/>
      <c r="D906" s="58"/>
      <c r="E906" s="42"/>
      <c r="F906" s="42"/>
      <c r="G906" s="42"/>
      <c r="H906" s="42"/>
      <c r="I906" s="42"/>
      <c r="J906" s="42"/>
      <c r="K906" s="20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2.75" customHeight="1">
      <c r="A907" s="42"/>
      <c r="B907" s="57"/>
      <c r="C907" s="57"/>
      <c r="D907" s="58"/>
      <c r="E907" s="42"/>
      <c r="F907" s="42"/>
      <c r="G907" s="42"/>
      <c r="H907" s="42"/>
      <c r="I907" s="42"/>
      <c r="J907" s="42"/>
      <c r="K907" s="20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2.75" customHeight="1">
      <c r="A908" s="42"/>
      <c r="B908" s="57"/>
      <c r="C908" s="57"/>
      <c r="D908" s="58"/>
      <c r="E908" s="42"/>
      <c r="F908" s="42"/>
      <c r="G908" s="42"/>
      <c r="H908" s="42"/>
      <c r="I908" s="42"/>
      <c r="J908" s="42"/>
      <c r="K908" s="20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2.75" customHeight="1">
      <c r="A909" s="42"/>
      <c r="B909" s="57"/>
      <c r="C909" s="57"/>
      <c r="D909" s="58"/>
      <c r="E909" s="42"/>
      <c r="F909" s="42"/>
      <c r="G909" s="42"/>
      <c r="H909" s="42"/>
      <c r="I909" s="42"/>
      <c r="J909" s="42"/>
      <c r="K909" s="20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2.75" customHeight="1">
      <c r="A910" s="42"/>
      <c r="B910" s="57"/>
      <c r="C910" s="57"/>
      <c r="D910" s="58"/>
      <c r="E910" s="42"/>
      <c r="F910" s="42"/>
      <c r="G910" s="42"/>
      <c r="H910" s="42"/>
      <c r="I910" s="42"/>
      <c r="J910" s="42"/>
      <c r="K910" s="20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2.75" customHeight="1">
      <c r="A911" s="42"/>
      <c r="B911" s="57"/>
      <c r="C911" s="57"/>
      <c r="D911" s="58"/>
      <c r="E911" s="42"/>
      <c r="F911" s="42"/>
      <c r="G911" s="42"/>
      <c r="H911" s="42"/>
      <c r="I911" s="42"/>
      <c r="J911" s="42"/>
      <c r="K911" s="20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2.75" customHeight="1">
      <c r="A912" s="42"/>
      <c r="B912" s="57"/>
      <c r="C912" s="57"/>
      <c r="D912" s="58"/>
      <c r="E912" s="42"/>
      <c r="F912" s="42"/>
      <c r="G912" s="42"/>
      <c r="H912" s="42"/>
      <c r="I912" s="42"/>
      <c r="J912" s="42"/>
      <c r="K912" s="20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2.75" customHeight="1">
      <c r="A913" s="42"/>
      <c r="B913" s="57"/>
      <c r="C913" s="57"/>
      <c r="D913" s="58"/>
      <c r="E913" s="42"/>
      <c r="F913" s="42"/>
      <c r="G913" s="42"/>
      <c r="H913" s="42"/>
      <c r="I913" s="42"/>
      <c r="J913" s="42"/>
      <c r="K913" s="20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2.75" customHeight="1">
      <c r="A914" s="42"/>
      <c r="B914" s="57"/>
      <c r="C914" s="57"/>
      <c r="D914" s="58"/>
      <c r="E914" s="42"/>
      <c r="F914" s="42"/>
      <c r="G914" s="42"/>
      <c r="H914" s="42"/>
      <c r="I914" s="42"/>
      <c r="J914" s="42"/>
      <c r="K914" s="20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2.75" customHeight="1">
      <c r="A915" s="42"/>
      <c r="B915" s="57"/>
      <c r="C915" s="57"/>
      <c r="D915" s="58"/>
      <c r="E915" s="42"/>
      <c r="F915" s="42"/>
      <c r="G915" s="42"/>
      <c r="H915" s="42"/>
      <c r="I915" s="42"/>
      <c r="J915" s="42"/>
      <c r="K915" s="20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2.75" customHeight="1">
      <c r="A916" s="42"/>
      <c r="B916" s="57"/>
      <c r="C916" s="57"/>
      <c r="D916" s="58"/>
      <c r="E916" s="42"/>
      <c r="F916" s="42"/>
      <c r="G916" s="42"/>
      <c r="H916" s="42"/>
      <c r="I916" s="42"/>
      <c r="J916" s="42"/>
      <c r="K916" s="20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2.75" customHeight="1">
      <c r="A917" s="42"/>
      <c r="B917" s="57"/>
      <c r="C917" s="57"/>
      <c r="D917" s="58"/>
      <c r="E917" s="42"/>
      <c r="F917" s="42"/>
      <c r="G917" s="42"/>
      <c r="H917" s="42"/>
      <c r="I917" s="42"/>
      <c r="J917" s="42"/>
      <c r="K917" s="20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2.75" customHeight="1">
      <c r="A918" s="42"/>
      <c r="B918" s="57"/>
      <c r="C918" s="57"/>
      <c r="D918" s="58"/>
      <c r="E918" s="42"/>
      <c r="F918" s="42"/>
      <c r="G918" s="42"/>
      <c r="H918" s="42"/>
      <c r="I918" s="42"/>
      <c r="J918" s="42"/>
      <c r="K918" s="20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2.75" customHeight="1">
      <c r="A919" s="42"/>
      <c r="B919" s="57"/>
      <c r="C919" s="57"/>
      <c r="D919" s="58"/>
      <c r="E919" s="42"/>
      <c r="F919" s="42"/>
      <c r="G919" s="42"/>
      <c r="H919" s="42"/>
      <c r="I919" s="42"/>
      <c r="J919" s="42"/>
      <c r="K919" s="20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2.75" customHeight="1">
      <c r="A920" s="42"/>
      <c r="B920" s="57"/>
      <c r="C920" s="57"/>
      <c r="D920" s="58"/>
      <c r="E920" s="42"/>
      <c r="F920" s="42"/>
      <c r="G920" s="42"/>
      <c r="H920" s="42"/>
      <c r="I920" s="42"/>
      <c r="J920" s="42"/>
      <c r="K920" s="20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2.75" customHeight="1">
      <c r="A921" s="42"/>
      <c r="B921" s="57"/>
      <c r="C921" s="57"/>
      <c r="D921" s="58"/>
      <c r="E921" s="42"/>
      <c r="F921" s="42"/>
      <c r="G921" s="42"/>
      <c r="H921" s="42"/>
      <c r="I921" s="42"/>
      <c r="J921" s="42"/>
      <c r="K921" s="20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2.75" customHeight="1">
      <c r="A922" s="42"/>
      <c r="B922" s="57"/>
      <c r="C922" s="57"/>
      <c r="D922" s="58"/>
      <c r="E922" s="42"/>
      <c r="F922" s="42"/>
      <c r="G922" s="42"/>
      <c r="H922" s="42"/>
      <c r="I922" s="42"/>
      <c r="J922" s="42"/>
      <c r="K922" s="20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2.75" customHeight="1">
      <c r="A923" s="42"/>
      <c r="B923" s="57"/>
      <c r="C923" s="57"/>
      <c r="D923" s="58"/>
      <c r="E923" s="42"/>
      <c r="F923" s="42"/>
      <c r="G923" s="42"/>
      <c r="H923" s="42"/>
      <c r="I923" s="42"/>
      <c r="J923" s="42"/>
      <c r="K923" s="20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2.75" customHeight="1">
      <c r="A924" s="42"/>
      <c r="B924" s="57"/>
      <c r="C924" s="57"/>
      <c r="D924" s="58"/>
      <c r="E924" s="42"/>
      <c r="F924" s="42"/>
      <c r="G924" s="42"/>
      <c r="H924" s="42"/>
      <c r="I924" s="42"/>
      <c r="J924" s="42"/>
      <c r="K924" s="20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2.75" customHeight="1">
      <c r="A925" s="42"/>
      <c r="B925" s="57"/>
      <c r="C925" s="57"/>
      <c r="D925" s="58"/>
      <c r="E925" s="42"/>
      <c r="F925" s="42"/>
      <c r="G925" s="42"/>
      <c r="H925" s="42"/>
      <c r="I925" s="42"/>
      <c r="J925" s="42"/>
      <c r="K925" s="20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2.75" customHeight="1">
      <c r="A926" s="42"/>
      <c r="B926" s="57"/>
      <c r="C926" s="57"/>
      <c r="D926" s="58"/>
      <c r="E926" s="42"/>
      <c r="F926" s="42"/>
      <c r="G926" s="42"/>
      <c r="H926" s="42"/>
      <c r="I926" s="42"/>
      <c r="J926" s="42"/>
      <c r="K926" s="20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2.75" customHeight="1">
      <c r="A927" s="42"/>
      <c r="B927" s="57"/>
      <c r="C927" s="57"/>
      <c r="D927" s="58"/>
      <c r="E927" s="42"/>
      <c r="F927" s="42"/>
      <c r="G927" s="42"/>
      <c r="H927" s="42"/>
      <c r="I927" s="42"/>
      <c r="J927" s="42"/>
      <c r="K927" s="20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2.75" customHeight="1">
      <c r="A928" s="42"/>
      <c r="B928" s="57"/>
      <c r="C928" s="57"/>
      <c r="D928" s="58"/>
      <c r="E928" s="42"/>
      <c r="F928" s="42"/>
      <c r="G928" s="42"/>
      <c r="H928" s="42"/>
      <c r="I928" s="42"/>
      <c r="J928" s="42"/>
      <c r="K928" s="20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2.75" customHeight="1">
      <c r="A929" s="42"/>
      <c r="B929" s="57"/>
      <c r="C929" s="57"/>
      <c r="D929" s="58"/>
      <c r="E929" s="42"/>
      <c r="F929" s="42"/>
      <c r="G929" s="42"/>
      <c r="H929" s="42"/>
      <c r="I929" s="42"/>
      <c r="J929" s="42"/>
      <c r="K929" s="20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2.75" customHeight="1">
      <c r="A930" s="42"/>
      <c r="B930" s="57"/>
      <c r="C930" s="57"/>
      <c r="D930" s="58"/>
      <c r="E930" s="42"/>
      <c r="F930" s="42"/>
      <c r="G930" s="42"/>
      <c r="H930" s="42"/>
      <c r="I930" s="42"/>
      <c r="J930" s="42"/>
      <c r="K930" s="20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2.75" customHeight="1">
      <c r="A931" s="42"/>
      <c r="B931" s="57"/>
      <c r="C931" s="57"/>
      <c r="D931" s="58"/>
      <c r="E931" s="42"/>
      <c r="F931" s="42"/>
      <c r="G931" s="42"/>
      <c r="H931" s="42"/>
      <c r="I931" s="42"/>
      <c r="J931" s="42"/>
      <c r="K931" s="20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2.75" customHeight="1">
      <c r="A932" s="42"/>
      <c r="B932" s="57"/>
      <c r="C932" s="57"/>
      <c r="D932" s="58"/>
      <c r="E932" s="42"/>
      <c r="F932" s="42"/>
      <c r="G932" s="42"/>
      <c r="H932" s="42"/>
      <c r="I932" s="42"/>
      <c r="J932" s="42"/>
      <c r="K932" s="20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2.75" customHeight="1">
      <c r="A933" s="42"/>
      <c r="B933" s="57"/>
      <c r="C933" s="57"/>
      <c r="D933" s="58"/>
      <c r="E933" s="42"/>
      <c r="F933" s="42"/>
      <c r="G933" s="42"/>
      <c r="H933" s="42"/>
      <c r="I933" s="42"/>
      <c r="J933" s="42"/>
      <c r="K933" s="20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2.75" customHeight="1">
      <c r="A934" s="42"/>
      <c r="B934" s="57"/>
      <c r="C934" s="57"/>
      <c r="D934" s="58"/>
      <c r="E934" s="42"/>
      <c r="F934" s="42"/>
      <c r="G934" s="42"/>
      <c r="H934" s="42"/>
      <c r="I934" s="42"/>
      <c r="J934" s="42"/>
      <c r="K934" s="20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2.75" customHeight="1">
      <c r="A935" s="42"/>
      <c r="B935" s="57"/>
      <c r="C935" s="57"/>
      <c r="D935" s="58"/>
      <c r="E935" s="42"/>
      <c r="F935" s="42"/>
      <c r="G935" s="42"/>
      <c r="H935" s="42"/>
      <c r="I935" s="42"/>
      <c r="J935" s="42"/>
      <c r="K935" s="20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2.75" customHeight="1">
      <c r="A936" s="42"/>
      <c r="B936" s="57"/>
      <c r="C936" s="57"/>
      <c r="D936" s="58"/>
      <c r="E936" s="42"/>
      <c r="F936" s="42"/>
      <c r="G936" s="42"/>
      <c r="H936" s="42"/>
      <c r="I936" s="42"/>
      <c r="J936" s="42"/>
      <c r="K936" s="20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2.75" customHeight="1">
      <c r="A937" s="42"/>
      <c r="B937" s="57"/>
      <c r="C937" s="57"/>
      <c r="D937" s="58"/>
      <c r="E937" s="42"/>
      <c r="F937" s="42"/>
      <c r="G937" s="42"/>
      <c r="H937" s="42"/>
      <c r="I937" s="42"/>
      <c r="J937" s="42"/>
      <c r="K937" s="20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2.75" customHeight="1">
      <c r="A938" s="42"/>
      <c r="B938" s="57"/>
      <c r="C938" s="57"/>
      <c r="D938" s="58"/>
      <c r="E938" s="42"/>
      <c r="F938" s="42"/>
      <c r="G938" s="42"/>
      <c r="H938" s="42"/>
      <c r="I938" s="42"/>
      <c r="J938" s="42"/>
      <c r="K938" s="20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2.75" customHeight="1">
      <c r="A939" s="42"/>
      <c r="B939" s="57"/>
      <c r="C939" s="57"/>
      <c r="D939" s="58"/>
      <c r="E939" s="42"/>
      <c r="F939" s="42"/>
      <c r="G939" s="42"/>
      <c r="H939" s="42"/>
      <c r="I939" s="42"/>
      <c r="J939" s="42"/>
      <c r="K939" s="20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2.75" customHeight="1">
      <c r="A940" s="42"/>
      <c r="B940" s="57"/>
      <c r="C940" s="57"/>
      <c r="D940" s="58"/>
      <c r="E940" s="42"/>
      <c r="F940" s="42"/>
      <c r="G940" s="42"/>
      <c r="H940" s="42"/>
      <c r="I940" s="42"/>
      <c r="J940" s="42"/>
      <c r="K940" s="20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2.75" customHeight="1">
      <c r="A941" s="42"/>
      <c r="B941" s="57"/>
      <c r="C941" s="57"/>
      <c r="D941" s="58"/>
      <c r="E941" s="42"/>
      <c r="F941" s="42"/>
      <c r="G941" s="42"/>
      <c r="H941" s="42"/>
      <c r="I941" s="42"/>
      <c r="J941" s="42"/>
      <c r="K941" s="20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2.75" customHeight="1">
      <c r="A942" s="42"/>
      <c r="B942" s="57"/>
      <c r="C942" s="57"/>
      <c r="D942" s="58"/>
      <c r="E942" s="42"/>
      <c r="F942" s="42"/>
      <c r="G942" s="42"/>
      <c r="H942" s="42"/>
      <c r="I942" s="42"/>
      <c r="J942" s="42"/>
      <c r="K942" s="20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2.75" customHeight="1">
      <c r="A943" s="42"/>
      <c r="B943" s="57"/>
      <c r="C943" s="57"/>
      <c r="D943" s="58"/>
      <c r="E943" s="42"/>
      <c r="F943" s="42"/>
      <c r="G943" s="42"/>
      <c r="H943" s="42"/>
      <c r="I943" s="42"/>
      <c r="J943" s="42"/>
      <c r="K943" s="20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2.75" customHeight="1">
      <c r="A944" s="42"/>
      <c r="B944" s="57"/>
      <c r="C944" s="57"/>
      <c r="D944" s="58"/>
      <c r="E944" s="42"/>
      <c r="F944" s="42"/>
      <c r="G944" s="42"/>
      <c r="H944" s="42"/>
      <c r="I944" s="42"/>
      <c r="J944" s="42"/>
      <c r="K944" s="20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2.75" customHeight="1">
      <c r="A945" s="42"/>
      <c r="B945" s="57"/>
      <c r="C945" s="57"/>
      <c r="D945" s="58"/>
      <c r="E945" s="42"/>
      <c r="F945" s="42"/>
      <c r="G945" s="42"/>
      <c r="H945" s="42"/>
      <c r="I945" s="42"/>
      <c r="J945" s="42"/>
      <c r="K945" s="20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2.75" customHeight="1">
      <c r="A946" s="42"/>
      <c r="B946" s="57"/>
      <c r="C946" s="57"/>
      <c r="D946" s="58"/>
      <c r="E946" s="42"/>
      <c r="F946" s="42"/>
      <c r="G946" s="42"/>
      <c r="H946" s="42"/>
      <c r="I946" s="42"/>
      <c r="J946" s="42"/>
      <c r="K946" s="20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2.75" customHeight="1">
      <c r="A947" s="42"/>
      <c r="B947" s="57"/>
      <c r="C947" s="57"/>
      <c r="D947" s="58"/>
      <c r="E947" s="42"/>
      <c r="F947" s="42"/>
      <c r="G947" s="42"/>
      <c r="H947" s="42"/>
      <c r="I947" s="42"/>
      <c r="J947" s="42"/>
      <c r="K947" s="20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2.75" customHeight="1">
      <c r="A948" s="42"/>
      <c r="B948" s="57"/>
      <c r="C948" s="57"/>
      <c r="D948" s="58"/>
      <c r="E948" s="42"/>
      <c r="F948" s="42"/>
      <c r="G948" s="42"/>
      <c r="H948" s="42"/>
      <c r="I948" s="42"/>
      <c r="J948" s="42"/>
      <c r="K948" s="20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2.75" customHeight="1">
      <c r="A949" s="42"/>
      <c r="B949" s="57"/>
      <c r="C949" s="57"/>
      <c r="D949" s="58"/>
      <c r="E949" s="42"/>
      <c r="F949" s="42"/>
      <c r="G949" s="42"/>
      <c r="H949" s="42"/>
      <c r="I949" s="42"/>
      <c r="J949" s="42"/>
      <c r="K949" s="20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2.75" customHeight="1">
      <c r="A950" s="42"/>
      <c r="B950" s="57"/>
      <c r="C950" s="57"/>
      <c r="D950" s="58"/>
      <c r="E950" s="42"/>
      <c r="F950" s="42"/>
      <c r="G950" s="42"/>
      <c r="H950" s="42"/>
      <c r="I950" s="42"/>
      <c r="J950" s="42"/>
      <c r="K950" s="20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2.75" customHeight="1">
      <c r="A951" s="42"/>
      <c r="B951" s="57"/>
      <c r="C951" s="57"/>
      <c r="D951" s="58"/>
      <c r="E951" s="42"/>
      <c r="F951" s="42"/>
      <c r="G951" s="42"/>
      <c r="H951" s="42"/>
      <c r="I951" s="42"/>
      <c r="J951" s="42"/>
      <c r="K951" s="20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2.75" customHeight="1">
      <c r="A952" s="42"/>
      <c r="B952" s="57"/>
      <c r="C952" s="57"/>
      <c r="D952" s="58"/>
      <c r="E952" s="42"/>
      <c r="F952" s="42"/>
      <c r="G952" s="42"/>
      <c r="H952" s="42"/>
      <c r="I952" s="42"/>
      <c r="J952" s="42"/>
      <c r="K952" s="20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2.75" customHeight="1">
      <c r="A953" s="42"/>
      <c r="B953" s="57"/>
      <c r="C953" s="57"/>
      <c r="D953" s="58"/>
      <c r="E953" s="42"/>
      <c r="F953" s="42"/>
      <c r="G953" s="42"/>
      <c r="H953" s="42"/>
      <c r="I953" s="42"/>
      <c r="J953" s="42"/>
      <c r="K953" s="20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2.75" customHeight="1">
      <c r="A954" s="42"/>
      <c r="B954" s="57"/>
      <c r="C954" s="57"/>
      <c r="D954" s="58"/>
      <c r="E954" s="42"/>
      <c r="F954" s="42"/>
      <c r="G954" s="42"/>
      <c r="H954" s="42"/>
      <c r="I954" s="42"/>
      <c r="J954" s="42"/>
      <c r="K954" s="20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2.75" customHeight="1">
      <c r="A955" s="42"/>
      <c r="B955" s="57"/>
      <c r="C955" s="57"/>
      <c r="D955" s="58"/>
      <c r="E955" s="42"/>
      <c r="F955" s="42"/>
      <c r="G955" s="42"/>
      <c r="H955" s="42"/>
      <c r="I955" s="42"/>
      <c r="J955" s="42"/>
      <c r="K955" s="20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2.75" customHeight="1">
      <c r="A956" s="42"/>
      <c r="B956" s="57"/>
      <c r="C956" s="57"/>
      <c r="D956" s="58"/>
      <c r="E956" s="42"/>
      <c r="F956" s="42"/>
      <c r="G956" s="42"/>
      <c r="H956" s="42"/>
      <c r="I956" s="42"/>
      <c r="J956" s="42"/>
      <c r="K956" s="20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2.75" customHeight="1">
      <c r="A957" s="42"/>
      <c r="B957" s="57"/>
      <c r="C957" s="57"/>
      <c r="D957" s="58"/>
      <c r="E957" s="42"/>
      <c r="F957" s="42"/>
      <c r="G957" s="42"/>
      <c r="H957" s="42"/>
      <c r="I957" s="42"/>
      <c r="J957" s="42"/>
      <c r="K957" s="20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2.75" customHeight="1">
      <c r="A958" s="42"/>
      <c r="B958" s="57"/>
      <c r="C958" s="57"/>
      <c r="D958" s="58"/>
      <c r="E958" s="42"/>
      <c r="F958" s="42"/>
      <c r="G958" s="42"/>
      <c r="H958" s="42"/>
      <c r="I958" s="42"/>
      <c r="J958" s="42"/>
      <c r="K958" s="20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2.75" customHeight="1">
      <c r="A959" s="42"/>
      <c r="B959" s="57"/>
      <c r="C959" s="57"/>
      <c r="D959" s="58"/>
      <c r="E959" s="42"/>
      <c r="F959" s="42"/>
      <c r="G959" s="42"/>
      <c r="H959" s="42"/>
      <c r="I959" s="42"/>
      <c r="J959" s="42"/>
      <c r="K959" s="20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2.75" customHeight="1">
      <c r="A960" s="42"/>
      <c r="B960" s="57"/>
      <c r="C960" s="57"/>
      <c r="D960" s="58"/>
      <c r="E960" s="42"/>
      <c r="F960" s="42"/>
      <c r="G960" s="42"/>
      <c r="H960" s="42"/>
      <c r="I960" s="42"/>
      <c r="J960" s="42"/>
      <c r="K960" s="20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2.75" customHeight="1">
      <c r="A961" s="42"/>
      <c r="B961" s="57"/>
      <c r="C961" s="57"/>
      <c r="D961" s="58"/>
      <c r="E961" s="42"/>
      <c r="F961" s="42"/>
      <c r="G961" s="42"/>
      <c r="H961" s="42"/>
      <c r="I961" s="42"/>
      <c r="J961" s="42"/>
      <c r="K961" s="20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2.75" customHeight="1">
      <c r="A962" s="42"/>
      <c r="B962" s="57"/>
      <c r="C962" s="57"/>
      <c r="D962" s="58"/>
      <c r="E962" s="42"/>
      <c r="F962" s="42"/>
      <c r="G962" s="42"/>
      <c r="H962" s="42"/>
      <c r="I962" s="42"/>
      <c r="J962" s="42"/>
      <c r="K962" s="20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2.75" customHeight="1">
      <c r="A963" s="42"/>
      <c r="B963" s="57"/>
      <c r="C963" s="57"/>
      <c r="D963" s="58"/>
      <c r="E963" s="42"/>
      <c r="F963" s="42"/>
      <c r="G963" s="42"/>
      <c r="H963" s="42"/>
      <c r="I963" s="42"/>
      <c r="J963" s="42"/>
      <c r="K963" s="20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2.75" customHeight="1">
      <c r="A964" s="42"/>
      <c r="B964" s="57"/>
      <c r="C964" s="57"/>
      <c r="D964" s="58"/>
      <c r="E964" s="42"/>
      <c r="F964" s="42"/>
      <c r="G964" s="42"/>
      <c r="H964" s="42"/>
      <c r="I964" s="42"/>
      <c r="J964" s="42"/>
      <c r="K964" s="20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2.75" customHeight="1">
      <c r="A965" s="42"/>
      <c r="B965" s="57"/>
      <c r="C965" s="57"/>
      <c r="D965" s="58"/>
      <c r="E965" s="42"/>
      <c r="F965" s="42"/>
      <c r="G965" s="42"/>
      <c r="H965" s="42"/>
      <c r="I965" s="42"/>
      <c r="J965" s="42"/>
      <c r="K965" s="20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2.75" customHeight="1">
      <c r="A966" s="42"/>
      <c r="B966" s="57"/>
      <c r="C966" s="57"/>
      <c r="D966" s="58"/>
      <c r="E966" s="42"/>
      <c r="F966" s="42"/>
      <c r="G966" s="42"/>
      <c r="H966" s="42"/>
      <c r="I966" s="42"/>
      <c r="J966" s="42"/>
      <c r="K966" s="20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2.75" customHeight="1">
      <c r="A967" s="42"/>
      <c r="B967" s="57"/>
      <c r="C967" s="57"/>
      <c r="D967" s="58"/>
      <c r="E967" s="42"/>
      <c r="F967" s="42"/>
      <c r="G967" s="42"/>
      <c r="H967" s="42"/>
      <c r="I967" s="42"/>
      <c r="J967" s="42"/>
      <c r="K967" s="20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2.75" customHeight="1">
      <c r="A968" s="42"/>
      <c r="B968" s="57"/>
      <c r="C968" s="57"/>
      <c r="D968" s="58"/>
      <c r="E968" s="42"/>
      <c r="F968" s="42"/>
      <c r="G968" s="42"/>
      <c r="H968" s="42"/>
      <c r="I968" s="42"/>
      <c r="J968" s="42"/>
      <c r="K968" s="20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2.75" customHeight="1">
      <c r="A969" s="42"/>
      <c r="B969" s="57"/>
      <c r="C969" s="57"/>
      <c r="D969" s="58"/>
      <c r="E969" s="42"/>
      <c r="F969" s="42"/>
      <c r="G969" s="42"/>
      <c r="H969" s="42"/>
      <c r="I969" s="42"/>
      <c r="J969" s="42"/>
      <c r="K969" s="20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2.75" customHeight="1">
      <c r="A970" s="42"/>
      <c r="B970" s="57"/>
      <c r="C970" s="57"/>
      <c r="D970" s="58"/>
      <c r="E970" s="42"/>
      <c r="F970" s="42"/>
      <c r="G970" s="42"/>
      <c r="H970" s="42"/>
      <c r="I970" s="42"/>
      <c r="J970" s="42"/>
      <c r="K970" s="20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2.75" customHeight="1">
      <c r="A971" s="42"/>
      <c r="B971" s="57"/>
      <c r="C971" s="57"/>
      <c r="D971" s="58"/>
      <c r="E971" s="42"/>
      <c r="F971" s="42"/>
      <c r="G971" s="42"/>
      <c r="H971" s="42"/>
      <c r="I971" s="42"/>
      <c r="J971" s="42"/>
      <c r="K971" s="20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2.75" customHeight="1">
      <c r="A972" s="42"/>
      <c r="B972" s="57"/>
      <c r="C972" s="57"/>
      <c r="D972" s="58"/>
      <c r="E972" s="42"/>
      <c r="F972" s="42"/>
      <c r="G972" s="42"/>
      <c r="H972" s="42"/>
      <c r="I972" s="42"/>
      <c r="J972" s="42"/>
      <c r="K972" s="20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2.75" customHeight="1">
      <c r="A973" s="42"/>
      <c r="B973" s="57"/>
      <c r="C973" s="57"/>
      <c r="D973" s="58"/>
      <c r="E973" s="42"/>
      <c r="F973" s="42"/>
      <c r="G973" s="42"/>
      <c r="H973" s="42"/>
      <c r="I973" s="42"/>
      <c r="J973" s="42"/>
      <c r="K973" s="20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2.75" customHeight="1">
      <c r="A974" s="42"/>
      <c r="B974" s="57"/>
      <c r="C974" s="57"/>
      <c r="D974" s="58"/>
      <c r="E974" s="42"/>
      <c r="F974" s="42"/>
      <c r="G974" s="42"/>
      <c r="H974" s="42"/>
      <c r="I974" s="42"/>
      <c r="J974" s="42"/>
      <c r="K974" s="20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2.75" customHeight="1">
      <c r="A975" s="42"/>
      <c r="B975" s="57"/>
      <c r="C975" s="57"/>
      <c r="D975" s="58"/>
      <c r="E975" s="42"/>
      <c r="F975" s="42"/>
      <c r="G975" s="42"/>
      <c r="H975" s="42"/>
      <c r="I975" s="42"/>
      <c r="J975" s="42"/>
      <c r="K975" s="20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2.75" customHeight="1">
      <c r="A976" s="42"/>
      <c r="B976" s="57"/>
      <c r="C976" s="57"/>
      <c r="D976" s="58"/>
      <c r="E976" s="42"/>
      <c r="F976" s="42"/>
      <c r="G976" s="42"/>
      <c r="H976" s="42"/>
      <c r="I976" s="42"/>
      <c r="J976" s="42"/>
      <c r="K976" s="20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2.75" customHeight="1">
      <c r="A977" s="42"/>
      <c r="B977" s="57"/>
      <c r="C977" s="57"/>
      <c r="D977" s="58"/>
      <c r="E977" s="42"/>
      <c r="F977" s="42"/>
      <c r="G977" s="42"/>
      <c r="H977" s="42"/>
      <c r="I977" s="42"/>
      <c r="J977" s="42"/>
      <c r="K977" s="20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2.75" customHeight="1">
      <c r="A978" s="42"/>
      <c r="B978" s="57"/>
      <c r="C978" s="57"/>
      <c r="D978" s="58"/>
      <c r="E978" s="42"/>
      <c r="F978" s="42"/>
      <c r="G978" s="42"/>
      <c r="H978" s="42"/>
      <c r="I978" s="42"/>
      <c r="J978" s="42"/>
      <c r="K978" s="20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2.75" customHeight="1">
      <c r="A979" s="42"/>
      <c r="B979" s="57"/>
      <c r="C979" s="57"/>
      <c r="D979" s="58"/>
      <c r="E979" s="42"/>
      <c r="F979" s="42"/>
      <c r="G979" s="42"/>
      <c r="H979" s="42"/>
      <c r="I979" s="42"/>
      <c r="J979" s="42"/>
      <c r="K979" s="20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2.75" customHeight="1">
      <c r="A980" s="42"/>
      <c r="B980" s="57"/>
      <c r="C980" s="57"/>
      <c r="D980" s="58"/>
      <c r="E980" s="42"/>
      <c r="F980" s="42"/>
      <c r="G980" s="42"/>
      <c r="H980" s="42"/>
      <c r="I980" s="42"/>
      <c r="J980" s="42"/>
      <c r="K980" s="20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2.75" customHeight="1">
      <c r="A981" s="42"/>
      <c r="B981" s="57"/>
      <c r="C981" s="57"/>
      <c r="D981" s="58"/>
      <c r="E981" s="42"/>
      <c r="F981" s="42"/>
      <c r="G981" s="42"/>
      <c r="H981" s="42"/>
      <c r="I981" s="42"/>
      <c r="J981" s="42"/>
      <c r="K981" s="20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2.75" customHeight="1">
      <c r="A982" s="42"/>
      <c r="B982" s="57"/>
      <c r="C982" s="57"/>
      <c r="D982" s="58"/>
      <c r="E982" s="42"/>
      <c r="F982" s="42"/>
      <c r="G982" s="42"/>
      <c r="H982" s="42"/>
      <c r="I982" s="42"/>
      <c r="J982" s="42"/>
      <c r="K982" s="20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2.75" customHeight="1">
      <c r="A983" s="42"/>
      <c r="B983" s="57"/>
      <c r="C983" s="57"/>
      <c r="D983" s="58"/>
      <c r="E983" s="42"/>
      <c r="F983" s="42"/>
      <c r="G983" s="42"/>
      <c r="H983" s="42"/>
      <c r="I983" s="42"/>
      <c r="J983" s="42"/>
      <c r="K983" s="20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2.75" customHeight="1">
      <c r="A984" s="42"/>
      <c r="B984" s="57"/>
      <c r="C984" s="57"/>
      <c r="D984" s="58"/>
      <c r="E984" s="42"/>
      <c r="F984" s="42"/>
      <c r="G984" s="42"/>
      <c r="H984" s="42"/>
      <c r="I984" s="42"/>
      <c r="J984" s="42"/>
      <c r="K984" s="20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2.75" customHeight="1">
      <c r="A985" s="42"/>
      <c r="B985" s="57"/>
      <c r="C985" s="57"/>
      <c r="D985" s="58"/>
      <c r="E985" s="42"/>
      <c r="F985" s="42"/>
      <c r="G985" s="42"/>
      <c r="H985" s="42"/>
      <c r="I985" s="42"/>
      <c r="J985" s="42"/>
      <c r="K985" s="20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2.75" customHeight="1">
      <c r="A986" s="42"/>
      <c r="B986" s="57"/>
      <c r="C986" s="57"/>
      <c r="D986" s="58"/>
      <c r="E986" s="42"/>
      <c r="F986" s="42"/>
      <c r="G986" s="42"/>
      <c r="H986" s="42"/>
      <c r="I986" s="42"/>
      <c r="J986" s="42"/>
      <c r="K986" s="20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2.75" customHeight="1">
      <c r="A987" s="42"/>
      <c r="B987" s="57"/>
      <c r="C987" s="57"/>
      <c r="D987" s="58"/>
      <c r="E987" s="42"/>
      <c r="F987" s="42"/>
      <c r="G987" s="42"/>
      <c r="H987" s="42"/>
      <c r="I987" s="42"/>
      <c r="J987" s="42"/>
      <c r="K987" s="20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2.75" customHeight="1">
      <c r="A988" s="42"/>
      <c r="B988" s="57"/>
      <c r="C988" s="57"/>
      <c r="D988" s="58"/>
      <c r="E988" s="42"/>
      <c r="F988" s="42"/>
      <c r="G988" s="42"/>
      <c r="H988" s="42"/>
      <c r="I988" s="42"/>
      <c r="J988" s="42"/>
      <c r="K988" s="20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2.75" customHeight="1">
      <c r="A989" s="42"/>
      <c r="B989" s="57"/>
      <c r="C989" s="57"/>
      <c r="D989" s="58"/>
      <c r="E989" s="42"/>
      <c r="F989" s="42"/>
      <c r="G989" s="42"/>
      <c r="H989" s="42"/>
      <c r="I989" s="42"/>
      <c r="J989" s="42"/>
      <c r="K989" s="20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2.75" customHeight="1">
      <c r="A990" s="42"/>
      <c r="B990" s="57"/>
      <c r="C990" s="57"/>
      <c r="D990" s="58"/>
      <c r="E990" s="42"/>
      <c r="F990" s="42"/>
      <c r="G990" s="42"/>
      <c r="H990" s="42"/>
      <c r="I990" s="42"/>
      <c r="J990" s="42"/>
      <c r="K990" s="20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2.75" customHeight="1">
      <c r="A991" s="42"/>
      <c r="B991" s="57"/>
      <c r="C991" s="57"/>
      <c r="D991" s="58"/>
      <c r="E991" s="42"/>
      <c r="F991" s="42"/>
      <c r="G991" s="42"/>
      <c r="H991" s="42"/>
      <c r="I991" s="42"/>
      <c r="J991" s="42"/>
      <c r="K991" s="20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2.75" customHeight="1">
      <c r="A992" s="42"/>
      <c r="B992" s="57"/>
      <c r="C992" s="57"/>
      <c r="D992" s="58"/>
      <c r="E992" s="42"/>
      <c r="F992" s="42"/>
      <c r="G992" s="42"/>
      <c r="H992" s="42"/>
      <c r="I992" s="42"/>
      <c r="J992" s="42"/>
      <c r="K992" s="20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2.75" customHeight="1">
      <c r="A993" s="42"/>
      <c r="B993" s="57"/>
      <c r="C993" s="57"/>
      <c r="D993" s="58"/>
      <c r="E993" s="42"/>
      <c r="F993" s="42"/>
      <c r="G993" s="42"/>
      <c r="H993" s="42"/>
      <c r="I993" s="42"/>
      <c r="J993" s="42"/>
      <c r="K993" s="20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2.75" customHeight="1">
      <c r="A994" s="42"/>
      <c r="B994" s="57"/>
      <c r="C994" s="57"/>
      <c r="D994" s="58"/>
      <c r="E994" s="42"/>
      <c r="F994" s="42"/>
      <c r="G994" s="42"/>
      <c r="H994" s="42"/>
      <c r="I994" s="42"/>
      <c r="J994" s="42"/>
      <c r="K994" s="20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2.75" customHeight="1">
      <c r="A995" s="42"/>
      <c r="B995" s="57"/>
      <c r="C995" s="57"/>
      <c r="D995" s="58"/>
      <c r="E995" s="42"/>
      <c r="F995" s="42"/>
      <c r="G995" s="42"/>
      <c r="H995" s="42"/>
      <c r="I995" s="42"/>
      <c r="J995" s="42"/>
      <c r="K995" s="20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2.75" customHeight="1">
      <c r="A996" s="42"/>
      <c r="B996" s="57"/>
      <c r="C996" s="57"/>
      <c r="D996" s="58"/>
      <c r="E996" s="42"/>
      <c r="F996" s="42"/>
      <c r="G996" s="42"/>
      <c r="H996" s="42"/>
      <c r="I996" s="42"/>
      <c r="J996" s="42"/>
      <c r="K996" s="20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2.75" customHeight="1">
      <c r="A997" s="42"/>
      <c r="B997" s="57"/>
      <c r="C997" s="57"/>
      <c r="D997" s="58"/>
      <c r="E997" s="42"/>
      <c r="F997" s="42"/>
      <c r="G997" s="42"/>
      <c r="H997" s="42"/>
      <c r="I997" s="42"/>
      <c r="J997" s="42"/>
      <c r="K997" s="20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2.75" customHeight="1">
      <c r="A998" s="42"/>
      <c r="B998" s="57"/>
      <c r="C998" s="57"/>
      <c r="D998" s="58"/>
      <c r="E998" s="42"/>
      <c r="F998" s="42"/>
      <c r="G998" s="42"/>
      <c r="H998" s="42"/>
      <c r="I998" s="42"/>
      <c r="J998" s="42"/>
      <c r="K998" s="20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2.75" customHeight="1">
      <c r="A999" s="42"/>
      <c r="B999" s="57"/>
      <c r="C999" s="57"/>
      <c r="D999" s="58"/>
      <c r="E999" s="42"/>
      <c r="F999" s="42"/>
      <c r="G999" s="42"/>
      <c r="H999" s="42"/>
      <c r="I999" s="42"/>
      <c r="J999" s="42"/>
      <c r="K999" s="20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2.75" customHeight="1">
      <c r="A1000" s="42"/>
      <c r="B1000" s="57"/>
      <c r="C1000" s="57"/>
      <c r="D1000" s="58"/>
      <c r="E1000" s="42"/>
      <c r="F1000" s="42"/>
      <c r="G1000" s="42"/>
      <c r="H1000" s="42"/>
      <c r="I1000" s="42"/>
      <c r="J1000" s="42"/>
      <c r="K1000" s="20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mergeCells count="4">
    <mergeCell ref="F1:J1"/>
    <mergeCell ref="L2:P6"/>
    <mergeCell ref="L8:P9"/>
    <mergeCell ref="B29:C29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8" width="9.25"/>
    <col customWidth="1" min="9" max="9" width="9.13"/>
    <col customWidth="1" min="10" max="11" width="9.25"/>
    <col customWidth="1" min="12" max="26" width="9.13"/>
  </cols>
  <sheetData>
    <row r="1" ht="12.75" customHeight="1">
      <c r="A1" s="47"/>
      <c r="B1" s="59" t="s">
        <v>129</v>
      </c>
      <c r="C1" s="59" t="s">
        <v>130</v>
      </c>
      <c r="D1" s="59" t="s">
        <v>131</v>
      </c>
      <c r="E1" s="59" t="s">
        <v>132</v>
      </c>
      <c r="F1" s="59" t="s">
        <v>133</v>
      </c>
      <c r="G1" s="59" t="s">
        <v>134</v>
      </c>
      <c r="H1" s="59" t="s">
        <v>135</v>
      </c>
      <c r="I1" s="60" t="s">
        <v>136</v>
      </c>
      <c r="J1" s="60" t="s">
        <v>137</v>
      </c>
      <c r="K1" s="59" t="s">
        <v>138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2.75" customHeight="1">
      <c r="A2" s="47" t="s">
        <v>99</v>
      </c>
      <c r="B2" s="61">
        <v>39.8</v>
      </c>
      <c r="C2" s="61">
        <v>28.0</v>
      </c>
      <c r="D2" s="61">
        <v>32.2</v>
      </c>
      <c r="E2" s="61">
        <v>33.6</v>
      </c>
      <c r="F2" s="61">
        <v>33.1</v>
      </c>
      <c r="G2" s="61">
        <v>37.1</v>
      </c>
      <c r="H2" s="61">
        <v>38.3</v>
      </c>
      <c r="I2" s="62">
        <v>40.0</v>
      </c>
      <c r="J2" s="62">
        <v>25.0</v>
      </c>
      <c r="K2" s="61">
        <v>42.5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2.75" customHeight="1">
      <c r="A3" s="47" t="s">
        <v>101</v>
      </c>
      <c r="B3" s="61">
        <v>74.9</v>
      </c>
      <c r="C3" s="61">
        <v>67.3</v>
      </c>
      <c r="D3" s="61">
        <v>81.5</v>
      </c>
      <c r="E3" s="61">
        <v>71.2</v>
      </c>
      <c r="F3" s="61">
        <v>68.2</v>
      </c>
      <c r="G3" s="61">
        <v>72.4</v>
      </c>
      <c r="H3" s="61">
        <v>81.3</v>
      </c>
      <c r="I3" s="62">
        <v>79.0</v>
      </c>
      <c r="J3" s="62">
        <v>50.0</v>
      </c>
      <c r="K3" s="61">
        <v>80.2</v>
      </c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2.75" customHeight="1">
      <c r="A4" s="47" t="s">
        <v>102</v>
      </c>
      <c r="B4" s="61">
        <v>198.2</v>
      </c>
      <c r="C4" s="61">
        <v>190.5</v>
      </c>
      <c r="D4" s="61">
        <v>202.8</v>
      </c>
      <c r="E4" s="61">
        <v>193.7</v>
      </c>
      <c r="F4" s="61">
        <v>190.7</v>
      </c>
      <c r="G4" s="61">
        <v>194.8</v>
      </c>
      <c r="H4" s="61">
        <v>197.5</v>
      </c>
      <c r="I4" s="62">
        <v>245.0</v>
      </c>
      <c r="J4" s="62">
        <v>135.0</v>
      </c>
      <c r="K4" s="61">
        <v>207.4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2.75" customHeight="1">
      <c r="A5" s="47" t="s">
        <v>103</v>
      </c>
      <c r="B5" s="61">
        <v>99.4</v>
      </c>
      <c r="C5" s="61">
        <v>76.2</v>
      </c>
      <c r="D5" s="61">
        <v>97.1</v>
      </c>
      <c r="E5" s="61">
        <v>86.7</v>
      </c>
      <c r="F5" s="61">
        <v>82.3</v>
      </c>
      <c r="G5" s="61">
        <v>87.4</v>
      </c>
      <c r="H5" s="61">
        <v>98.1</v>
      </c>
      <c r="I5" s="62">
        <v>90.0</v>
      </c>
      <c r="J5" s="62">
        <v>70.0</v>
      </c>
      <c r="K5" s="61">
        <v>100.6</v>
      </c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2.75" customHeight="1">
      <c r="A6" s="47" t="s">
        <v>104</v>
      </c>
      <c r="B6" s="61">
        <v>97.3</v>
      </c>
      <c r="C6" s="61">
        <v>81.6</v>
      </c>
      <c r="D6" s="61">
        <v>139.8</v>
      </c>
      <c r="E6" s="61">
        <v>95.6</v>
      </c>
      <c r="F6" s="61">
        <v>83.6</v>
      </c>
      <c r="G6" s="61">
        <v>99.0</v>
      </c>
      <c r="H6" s="61">
        <v>137.8</v>
      </c>
      <c r="I6" s="62">
        <v>159.0</v>
      </c>
      <c r="J6" s="62">
        <v>70.0</v>
      </c>
      <c r="K6" s="61">
        <v>98.4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2.75" customHeight="1">
      <c r="A7" s="47" t="s">
        <v>105</v>
      </c>
      <c r="B7" s="61">
        <v>73.4</v>
      </c>
      <c r="C7" s="61">
        <v>60.0</v>
      </c>
      <c r="D7" s="61">
        <v>77.0</v>
      </c>
      <c r="E7" s="61">
        <v>69.6</v>
      </c>
      <c r="F7" s="61">
        <v>61.7</v>
      </c>
      <c r="G7" s="61">
        <v>71.2</v>
      </c>
      <c r="H7" s="61">
        <v>86.3</v>
      </c>
      <c r="I7" s="62">
        <v>70.0</v>
      </c>
      <c r="J7" s="62">
        <v>60.0</v>
      </c>
      <c r="K7" s="61">
        <v>73.0</v>
      </c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2.75" customHeight="1">
      <c r="A8" s="47" t="s">
        <v>106</v>
      </c>
      <c r="B8" s="61">
        <v>36.8</v>
      </c>
      <c r="C8" s="61">
        <v>35.2</v>
      </c>
      <c r="D8" s="61">
        <v>46.4</v>
      </c>
      <c r="E8" s="61">
        <v>36.1</v>
      </c>
      <c r="F8" s="61">
        <v>35.4</v>
      </c>
      <c r="G8" s="61">
        <v>43.0</v>
      </c>
      <c r="H8" s="61">
        <v>36.0</v>
      </c>
      <c r="I8" s="62">
        <v>40.0</v>
      </c>
      <c r="J8" s="62">
        <v>35.0</v>
      </c>
      <c r="K8" s="61">
        <v>38.7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2.75" customHeight="1">
      <c r="A9" s="47" t="s">
        <v>108</v>
      </c>
      <c r="B9" s="61">
        <v>64.4</v>
      </c>
      <c r="C9" s="61">
        <v>62.4</v>
      </c>
      <c r="D9" s="61">
        <v>72.3</v>
      </c>
      <c r="E9" s="61">
        <v>68.9</v>
      </c>
      <c r="F9" s="61">
        <v>62.4</v>
      </c>
      <c r="G9" s="61">
        <v>67.0</v>
      </c>
      <c r="H9" s="61">
        <v>63.1</v>
      </c>
      <c r="I9" s="62">
        <v>80.0</v>
      </c>
      <c r="J9" s="62">
        <v>53.0</v>
      </c>
      <c r="K9" s="61">
        <v>69.9</v>
      </c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2.75" customHeight="1">
      <c r="A10" s="47" t="s">
        <v>109</v>
      </c>
      <c r="B10" s="61">
        <v>25.1</v>
      </c>
      <c r="C10" s="61">
        <v>17.5</v>
      </c>
      <c r="D10" s="61">
        <v>23.3</v>
      </c>
      <c r="E10" s="61">
        <v>20.3</v>
      </c>
      <c r="F10" s="61">
        <v>20.3</v>
      </c>
      <c r="G10" s="61">
        <v>24.3</v>
      </c>
      <c r="H10" s="61">
        <v>28.9</v>
      </c>
      <c r="I10" s="62">
        <v>20.0</v>
      </c>
      <c r="J10" s="62">
        <v>16.0</v>
      </c>
      <c r="K10" s="61">
        <v>34.1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2.75" customHeight="1">
      <c r="A11" s="47" t="s">
        <v>110</v>
      </c>
      <c r="B11" s="61">
        <v>49.2</v>
      </c>
      <c r="C11" s="61">
        <v>43.0</v>
      </c>
      <c r="D11" s="61">
        <v>58.5</v>
      </c>
      <c r="E11" s="61">
        <v>47.1</v>
      </c>
      <c r="F11" s="61">
        <v>46.6</v>
      </c>
      <c r="G11" s="61">
        <v>48.8</v>
      </c>
      <c r="H11" s="61">
        <v>58.5</v>
      </c>
      <c r="I11" s="62">
        <v>55.0</v>
      </c>
      <c r="J11" s="62">
        <v>35.0</v>
      </c>
      <c r="K11" s="61">
        <v>54.1</v>
      </c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2.75" customHeight="1">
      <c r="A12" s="47" t="s">
        <v>111</v>
      </c>
      <c r="B12" s="61">
        <v>99.8</v>
      </c>
      <c r="C12" s="61">
        <v>77.2</v>
      </c>
      <c r="D12" s="61">
        <v>90.9</v>
      </c>
      <c r="E12" s="61">
        <v>83.7</v>
      </c>
      <c r="F12" s="61">
        <v>79.9</v>
      </c>
      <c r="G12" s="61">
        <v>89.7</v>
      </c>
      <c r="H12" s="61">
        <v>95.7</v>
      </c>
      <c r="I12" s="62">
        <v>100.0</v>
      </c>
      <c r="J12" s="62">
        <v>50.0</v>
      </c>
      <c r="K12" s="61">
        <v>92.2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2.75" customHeight="1">
      <c r="A13" s="47" t="s">
        <v>112</v>
      </c>
      <c r="B13" s="61">
        <v>83.4</v>
      </c>
      <c r="C13" s="61">
        <v>122.4</v>
      </c>
      <c r="D13" s="61">
        <v>82.4</v>
      </c>
      <c r="E13" s="61">
        <v>93.1</v>
      </c>
      <c r="F13" s="61">
        <v>90.7</v>
      </c>
      <c r="G13" s="61">
        <v>101.5</v>
      </c>
      <c r="H13" s="61">
        <v>83.3</v>
      </c>
      <c r="I13" s="62">
        <v>50.0</v>
      </c>
      <c r="J13" s="62">
        <v>130.0</v>
      </c>
      <c r="K13" s="61">
        <v>89.7</v>
      </c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2.75" customHeight="1">
      <c r="A14" s="47" t="s">
        <v>113</v>
      </c>
      <c r="B14" s="61">
        <v>170.2</v>
      </c>
      <c r="C14" s="61">
        <v>284.8</v>
      </c>
      <c r="D14" s="61">
        <v>143.8</v>
      </c>
      <c r="E14" s="61">
        <v>177.9</v>
      </c>
      <c r="F14" s="61">
        <v>221.8</v>
      </c>
      <c r="G14" s="61">
        <v>175.6</v>
      </c>
      <c r="H14" s="61">
        <v>169.9</v>
      </c>
      <c r="I14" s="62">
        <v>129.0</v>
      </c>
      <c r="J14" s="62">
        <v>320.0</v>
      </c>
      <c r="K14" s="61">
        <v>174.4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2.75" customHeight="1">
      <c r="A15" s="47" t="s">
        <v>114</v>
      </c>
      <c r="B15" s="61">
        <v>28.0</v>
      </c>
      <c r="C15" s="61">
        <v>43.2</v>
      </c>
      <c r="D15" s="61">
        <v>21.7</v>
      </c>
      <c r="E15" s="61">
        <v>38.3</v>
      </c>
      <c r="F15" s="61">
        <v>34.1</v>
      </c>
      <c r="G15" s="61">
        <v>31.8</v>
      </c>
      <c r="H15" s="61">
        <v>22.9</v>
      </c>
      <c r="I15" s="62">
        <v>20.0</v>
      </c>
      <c r="J15" s="62">
        <v>60.0</v>
      </c>
      <c r="K15" s="61">
        <v>33.7</v>
      </c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2.75" customHeight="1">
      <c r="A16" s="47" t="s">
        <v>115</v>
      </c>
      <c r="B16" s="61">
        <v>23.0</v>
      </c>
      <c r="C16" s="61">
        <v>18.9</v>
      </c>
      <c r="D16" s="61">
        <v>18.2</v>
      </c>
      <c r="E16" s="61">
        <v>33.3</v>
      </c>
      <c r="F16" s="61">
        <v>25.1</v>
      </c>
      <c r="G16" s="61">
        <v>24.4</v>
      </c>
      <c r="H16" s="61">
        <v>19.5</v>
      </c>
      <c r="I16" s="62">
        <v>15.0</v>
      </c>
      <c r="J16" s="62">
        <v>60.0</v>
      </c>
      <c r="K16" s="61">
        <v>25.0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2.75" customHeight="1">
      <c r="A17" s="47" t="s">
        <v>116</v>
      </c>
      <c r="B17" s="61">
        <v>26.9</v>
      </c>
      <c r="C17" s="61">
        <v>30.4</v>
      </c>
      <c r="D17" s="61">
        <v>20.0</v>
      </c>
      <c r="E17" s="61">
        <v>38.9</v>
      </c>
      <c r="F17" s="61">
        <v>34.3</v>
      </c>
      <c r="G17" s="61">
        <v>39.5</v>
      </c>
      <c r="H17" s="61">
        <v>23.4</v>
      </c>
      <c r="I17" s="62">
        <v>20.0</v>
      </c>
      <c r="J17" s="62">
        <v>24.0</v>
      </c>
      <c r="K17" s="61">
        <v>28.1</v>
      </c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2.75" customHeight="1">
      <c r="A18" s="47" t="s">
        <v>117</v>
      </c>
      <c r="B18" s="61">
        <v>210.7</v>
      </c>
      <c r="C18" s="61">
        <v>213.2</v>
      </c>
      <c r="D18" s="61">
        <v>201.0</v>
      </c>
      <c r="E18" s="61">
        <v>209.9</v>
      </c>
      <c r="F18" s="61">
        <v>203.5</v>
      </c>
      <c r="G18" s="61">
        <v>211.9</v>
      </c>
      <c r="H18" s="61">
        <v>206.8</v>
      </c>
      <c r="I18" s="62">
        <v>200.0</v>
      </c>
      <c r="J18" s="62">
        <v>250.0</v>
      </c>
      <c r="K18" s="61">
        <v>213.8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2.75" customHeight="1">
      <c r="A19" s="47" t="s">
        <v>118</v>
      </c>
      <c r="B19" s="61">
        <v>18.2</v>
      </c>
      <c r="C19" s="61">
        <v>15.8</v>
      </c>
      <c r="D19" s="61">
        <v>18.0</v>
      </c>
      <c r="E19" s="61">
        <v>17.7</v>
      </c>
      <c r="F19" s="61">
        <v>17.5</v>
      </c>
      <c r="G19" s="61">
        <v>26.2</v>
      </c>
      <c r="H19" s="61">
        <v>27.2</v>
      </c>
      <c r="I19" s="62">
        <v>14.0</v>
      </c>
      <c r="J19" s="62">
        <v>14.0</v>
      </c>
      <c r="K19" s="61">
        <v>18.3</v>
      </c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2.75" customHeight="1">
      <c r="A20" s="47" t="s">
        <v>119</v>
      </c>
      <c r="B20" s="61">
        <v>27.1</v>
      </c>
      <c r="C20" s="61">
        <v>35.7</v>
      </c>
      <c r="D20" s="61">
        <v>22.5</v>
      </c>
      <c r="E20" s="61">
        <v>29.5</v>
      </c>
      <c r="F20" s="61">
        <v>28.5</v>
      </c>
      <c r="G20" s="61">
        <v>39.3</v>
      </c>
      <c r="H20" s="61">
        <v>24.5</v>
      </c>
      <c r="I20" s="62">
        <v>19.0</v>
      </c>
      <c r="J20" s="62">
        <v>40.0</v>
      </c>
      <c r="K20" s="61">
        <v>27.5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2.75" customHeight="1">
      <c r="A21" s="47" t="s">
        <v>120</v>
      </c>
      <c r="B21" s="61">
        <v>54.0</v>
      </c>
      <c r="C21" s="61">
        <v>60.3</v>
      </c>
      <c r="D21" s="61">
        <v>36.2</v>
      </c>
      <c r="E21" s="61">
        <v>64.0</v>
      </c>
      <c r="F21" s="61">
        <v>66.1</v>
      </c>
      <c r="G21" s="61">
        <v>63.2</v>
      </c>
      <c r="H21" s="61">
        <v>52.8</v>
      </c>
      <c r="I21" s="62">
        <v>24.0</v>
      </c>
      <c r="J21" s="62">
        <v>55.0</v>
      </c>
      <c r="K21" s="61">
        <v>54.8</v>
      </c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2.75" customHeight="1">
      <c r="A22" s="47" t="s">
        <v>121</v>
      </c>
      <c r="B22" s="61">
        <v>44.6</v>
      </c>
      <c r="C22" s="61">
        <v>52.4</v>
      </c>
      <c r="D22" s="61">
        <v>42.0</v>
      </c>
      <c r="E22" s="61">
        <v>56.3</v>
      </c>
      <c r="F22" s="61">
        <v>46.4</v>
      </c>
      <c r="G22" s="61">
        <v>63.2</v>
      </c>
      <c r="H22" s="61">
        <v>44.4</v>
      </c>
      <c r="I22" s="62">
        <v>35.0</v>
      </c>
      <c r="J22" s="62">
        <v>55.0</v>
      </c>
      <c r="K22" s="61">
        <v>50.6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2.75" customHeight="1">
      <c r="A23" s="47" t="s">
        <v>122</v>
      </c>
      <c r="B23" s="61">
        <v>39.4</v>
      </c>
      <c r="C23" s="61">
        <v>48.6</v>
      </c>
      <c r="D23" s="61">
        <v>38.3</v>
      </c>
      <c r="E23" s="61">
        <v>45.6</v>
      </c>
      <c r="F23" s="61">
        <v>48.4</v>
      </c>
      <c r="G23" s="61">
        <v>50.4</v>
      </c>
      <c r="H23" s="61">
        <v>38.3</v>
      </c>
      <c r="I23" s="62">
        <v>38.0</v>
      </c>
      <c r="J23" s="62">
        <v>40.0</v>
      </c>
      <c r="K23" s="61">
        <v>39.6</v>
      </c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2.75" customHeight="1">
      <c r="A24" s="47" t="s">
        <v>123</v>
      </c>
      <c r="B24" s="61">
        <v>52.8</v>
      </c>
      <c r="C24" s="61">
        <v>62.8</v>
      </c>
      <c r="D24" s="61">
        <v>52.0</v>
      </c>
      <c r="E24" s="61">
        <v>65.3</v>
      </c>
      <c r="F24" s="61">
        <v>61.8</v>
      </c>
      <c r="G24" s="61">
        <v>61.8</v>
      </c>
      <c r="H24" s="61">
        <v>52.0</v>
      </c>
      <c r="I24" s="62">
        <v>51.0</v>
      </c>
      <c r="J24" s="62">
        <v>80.0</v>
      </c>
      <c r="K24" s="61">
        <v>53.5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2.75" customHeight="1">
      <c r="A25" s="47" t="s">
        <v>124</v>
      </c>
      <c r="B25" s="61">
        <v>19.0</v>
      </c>
      <c r="C25" s="61">
        <v>13.2</v>
      </c>
      <c r="D25" s="61">
        <v>18.6</v>
      </c>
      <c r="E25" s="61">
        <v>22.1</v>
      </c>
      <c r="F25" s="61">
        <v>14.5</v>
      </c>
      <c r="G25" s="61">
        <v>20.1</v>
      </c>
      <c r="H25" s="61">
        <v>15.7</v>
      </c>
      <c r="I25" s="62">
        <v>12.0</v>
      </c>
      <c r="J25" s="62">
        <v>12.0</v>
      </c>
      <c r="K25" s="61">
        <v>22.0</v>
      </c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2.75" customHeight="1">
      <c r="A26" s="47" t="s">
        <v>125</v>
      </c>
      <c r="B26" s="61">
        <v>12.9</v>
      </c>
      <c r="C26" s="61">
        <v>19.5</v>
      </c>
      <c r="D26" s="61">
        <v>12.1</v>
      </c>
      <c r="E26" s="61">
        <v>20.1</v>
      </c>
      <c r="F26" s="61">
        <v>21.6</v>
      </c>
      <c r="G26" s="61">
        <v>25.0</v>
      </c>
      <c r="H26" s="61">
        <v>12.4</v>
      </c>
      <c r="I26" s="62">
        <v>12.0</v>
      </c>
      <c r="J26" s="62">
        <v>12.0</v>
      </c>
      <c r="K26" s="61">
        <v>14.4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2.75" customHeight="1">
      <c r="A27" s="47" t="s">
        <v>126</v>
      </c>
      <c r="B27" s="61">
        <v>59.6</v>
      </c>
      <c r="C27" s="61">
        <v>50.5</v>
      </c>
      <c r="D27" s="61">
        <v>60.0</v>
      </c>
      <c r="E27" s="61">
        <v>51.0</v>
      </c>
      <c r="F27" s="61">
        <v>50.5</v>
      </c>
      <c r="G27" s="61">
        <v>51.3</v>
      </c>
      <c r="H27" s="61">
        <v>56.6</v>
      </c>
      <c r="I27" s="62">
        <v>55.0</v>
      </c>
      <c r="J27" s="62">
        <v>50.0</v>
      </c>
      <c r="K27" s="61">
        <v>55.6</v>
      </c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2.75" customHeight="1">
      <c r="A28" s="47" t="s">
        <v>127</v>
      </c>
      <c r="B28" s="61">
        <v>3.5</v>
      </c>
      <c r="C28" s="61">
        <v>10.4</v>
      </c>
      <c r="D28" s="61">
        <v>1.2</v>
      </c>
      <c r="E28" s="61">
        <v>7.0</v>
      </c>
      <c r="F28" s="61">
        <v>11.2</v>
      </c>
      <c r="G28" s="61">
        <v>14.5</v>
      </c>
      <c r="H28" s="61">
        <v>1.2</v>
      </c>
      <c r="I28" s="62">
        <v>1.0</v>
      </c>
      <c r="J28" s="62">
        <v>1.0</v>
      </c>
      <c r="K28" s="61">
        <v>4.1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2.75" customHeight="1">
      <c r="A29" s="47"/>
      <c r="B29" s="63"/>
      <c r="C29" s="64"/>
      <c r="D29" s="63"/>
      <c r="E29" s="63"/>
      <c r="F29" s="63"/>
      <c r="G29" s="63"/>
      <c r="H29" s="63"/>
      <c r="J29" s="63"/>
      <c r="K29" s="63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2.75" customHeight="1">
      <c r="A30" s="47"/>
      <c r="B30" s="63"/>
      <c r="C30" s="64"/>
      <c r="D30" s="63"/>
      <c r="E30" s="63"/>
      <c r="F30" s="63"/>
      <c r="G30" s="63"/>
      <c r="H30" s="63"/>
      <c r="J30" s="63"/>
      <c r="K30" s="63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2.75" customHeight="1">
      <c r="A31" s="47"/>
      <c r="B31" s="63"/>
      <c r="C31" s="64"/>
      <c r="D31" s="63"/>
      <c r="E31" s="63"/>
      <c r="F31" s="63"/>
      <c r="G31" s="63"/>
      <c r="H31" s="63"/>
      <c r="J31" s="63"/>
      <c r="K31" s="63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2.75" customHeight="1">
      <c r="A32" s="47"/>
      <c r="B32" s="63"/>
      <c r="C32" s="64"/>
      <c r="D32" s="63"/>
      <c r="E32" s="63"/>
      <c r="F32" s="63"/>
      <c r="G32" s="63"/>
      <c r="H32" s="63"/>
      <c r="J32" s="63"/>
      <c r="K32" s="63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2.75" customHeight="1">
      <c r="A33" s="47"/>
      <c r="B33" s="63"/>
      <c r="C33" s="64"/>
      <c r="D33" s="63"/>
      <c r="E33" s="63"/>
      <c r="F33" s="63"/>
      <c r="G33" s="63"/>
      <c r="H33" s="63"/>
      <c r="J33" s="63"/>
      <c r="K33" s="63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2.75" customHeight="1">
      <c r="A34" s="47"/>
      <c r="B34" s="63"/>
      <c r="C34" s="64"/>
      <c r="D34" s="63"/>
      <c r="E34" s="63"/>
      <c r="F34" s="63"/>
      <c r="G34" s="63"/>
      <c r="H34" s="63"/>
      <c r="J34" s="63"/>
      <c r="K34" s="63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2.75" customHeight="1">
      <c r="A35" s="47"/>
      <c r="B35" s="63"/>
      <c r="C35" s="64"/>
      <c r="D35" s="63"/>
      <c r="E35" s="63"/>
      <c r="F35" s="63"/>
      <c r="G35" s="63"/>
      <c r="H35" s="63"/>
      <c r="J35" s="63"/>
      <c r="K35" s="63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2.75" customHeight="1">
      <c r="A36" s="47"/>
      <c r="B36" s="63"/>
      <c r="C36" s="64"/>
      <c r="D36" s="63"/>
      <c r="E36" s="63"/>
      <c r="F36" s="63"/>
      <c r="G36" s="63"/>
      <c r="H36" s="63"/>
      <c r="J36" s="63"/>
      <c r="K36" s="63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2.75" customHeight="1">
      <c r="A37" s="47"/>
      <c r="B37" s="63"/>
      <c r="C37" s="64"/>
      <c r="D37" s="63"/>
      <c r="E37" s="63"/>
      <c r="F37" s="63"/>
      <c r="G37" s="63"/>
      <c r="H37" s="63"/>
      <c r="J37" s="63"/>
      <c r="K37" s="63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2.75" customHeight="1">
      <c r="A38" s="47"/>
      <c r="B38" s="63"/>
      <c r="C38" s="64"/>
      <c r="D38" s="63"/>
      <c r="E38" s="63"/>
      <c r="F38" s="63"/>
      <c r="G38" s="63"/>
      <c r="H38" s="63"/>
      <c r="J38" s="63"/>
      <c r="K38" s="63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2.75" customHeight="1">
      <c r="A39" s="47"/>
      <c r="B39" s="63"/>
      <c r="C39" s="64"/>
      <c r="D39" s="63"/>
      <c r="E39" s="63"/>
      <c r="F39" s="63"/>
      <c r="G39" s="63"/>
      <c r="H39" s="63"/>
      <c r="J39" s="63"/>
      <c r="K39" s="63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2.75" customHeight="1">
      <c r="A40" s="47"/>
      <c r="B40" s="63"/>
      <c r="C40" s="64"/>
      <c r="D40" s="63"/>
      <c r="E40" s="63"/>
      <c r="F40" s="63"/>
      <c r="G40" s="63"/>
      <c r="H40" s="63"/>
      <c r="J40" s="63"/>
      <c r="K40" s="63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2.75" customHeight="1">
      <c r="A41" s="47"/>
      <c r="B41" s="63"/>
      <c r="C41" s="64"/>
      <c r="D41" s="63"/>
      <c r="E41" s="63"/>
      <c r="F41" s="63"/>
      <c r="G41" s="63"/>
      <c r="H41" s="63"/>
      <c r="J41" s="63"/>
      <c r="K41" s="63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2.75" customHeight="1">
      <c r="A42" s="47"/>
      <c r="B42" s="63"/>
      <c r="C42" s="64"/>
      <c r="D42" s="63"/>
      <c r="E42" s="63"/>
      <c r="F42" s="63"/>
      <c r="G42" s="63"/>
      <c r="H42" s="63"/>
      <c r="J42" s="63"/>
      <c r="K42" s="63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2.75" customHeight="1">
      <c r="A43" s="47"/>
      <c r="B43" s="63"/>
      <c r="C43" s="64"/>
      <c r="D43" s="63"/>
      <c r="E43" s="63"/>
      <c r="F43" s="63"/>
      <c r="G43" s="63"/>
      <c r="H43" s="63"/>
      <c r="J43" s="63"/>
      <c r="K43" s="63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2.75" customHeight="1">
      <c r="A44" s="47"/>
      <c r="B44" s="63"/>
      <c r="C44" s="64"/>
      <c r="D44" s="63"/>
      <c r="E44" s="63"/>
      <c r="F44" s="63"/>
      <c r="G44" s="63"/>
      <c r="H44" s="63"/>
      <c r="J44" s="63"/>
      <c r="K44" s="63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2.75" customHeight="1">
      <c r="A45" s="47"/>
      <c r="B45" s="63"/>
      <c r="C45" s="64"/>
      <c r="D45" s="63"/>
      <c r="E45" s="63"/>
      <c r="F45" s="63"/>
      <c r="G45" s="63"/>
      <c r="H45" s="63"/>
      <c r="J45" s="63"/>
      <c r="K45" s="63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2.75" customHeight="1">
      <c r="A46" s="47"/>
      <c r="B46" s="63"/>
      <c r="C46" s="64"/>
      <c r="D46" s="63"/>
      <c r="E46" s="63"/>
      <c r="F46" s="63"/>
      <c r="G46" s="63"/>
      <c r="H46" s="63"/>
      <c r="J46" s="63"/>
      <c r="K46" s="63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2.75" customHeight="1">
      <c r="A47" s="47"/>
      <c r="B47" s="63"/>
      <c r="C47" s="64"/>
      <c r="D47" s="63"/>
      <c r="E47" s="63"/>
      <c r="F47" s="63"/>
      <c r="G47" s="63"/>
      <c r="H47" s="63"/>
      <c r="J47" s="63"/>
      <c r="K47" s="63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2.75" customHeight="1">
      <c r="A48" s="47"/>
      <c r="B48" s="63"/>
      <c r="C48" s="64"/>
      <c r="D48" s="63"/>
      <c r="E48" s="63"/>
      <c r="F48" s="63"/>
      <c r="G48" s="63"/>
      <c r="H48" s="63"/>
      <c r="J48" s="63"/>
      <c r="K48" s="63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2.75" customHeight="1">
      <c r="A49" s="47"/>
      <c r="B49" s="63"/>
      <c r="C49" s="64"/>
      <c r="D49" s="63"/>
      <c r="E49" s="63"/>
      <c r="F49" s="63"/>
      <c r="G49" s="63"/>
      <c r="H49" s="63"/>
      <c r="J49" s="63"/>
      <c r="K49" s="63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2.75" customHeight="1">
      <c r="A50" s="47"/>
      <c r="B50" s="63"/>
      <c r="C50" s="64"/>
      <c r="D50" s="63"/>
      <c r="E50" s="63"/>
      <c r="F50" s="63"/>
      <c r="G50" s="63"/>
      <c r="H50" s="63"/>
      <c r="J50" s="63"/>
      <c r="K50" s="63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2.75" customHeight="1">
      <c r="A51" s="47"/>
      <c r="B51" s="63"/>
      <c r="C51" s="64"/>
      <c r="D51" s="63"/>
      <c r="E51" s="63"/>
      <c r="F51" s="63"/>
      <c r="G51" s="63"/>
      <c r="H51" s="63"/>
      <c r="J51" s="63"/>
      <c r="K51" s="63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2.75" customHeight="1">
      <c r="A52" s="47"/>
      <c r="B52" s="63"/>
      <c r="C52" s="64"/>
      <c r="D52" s="63"/>
      <c r="E52" s="63"/>
      <c r="F52" s="63"/>
      <c r="G52" s="63"/>
      <c r="H52" s="63"/>
      <c r="J52" s="63"/>
      <c r="K52" s="63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2.75" customHeight="1">
      <c r="A53" s="47"/>
      <c r="B53" s="63"/>
      <c r="C53" s="64"/>
      <c r="D53" s="63"/>
      <c r="E53" s="63"/>
      <c r="F53" s="63"/>
      <c r="G53" s="63"/>
      <c r="H53" s="63"/>
      <c r="J53" s="63"/>
      <c r="K53" s="63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2.75" customHeight="1">
      <c r="A54" s="47"/>
      <c r="B54" s="63"/>
      <c r="C54" s="64"/>
      <c r="D54" s="63"/>
      <c r="E54" s="63"/>
      <c r="F54" s="63"/>
      <c r="G54" s="63"/>
      <c r="H54" s="63"/>
      <c r="J54" s="63"/>
      <c r="K54" s="63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2.75" customHeight="1">
      <c r="A55" s="47"/>
      <c r="B55" s="63"/>
      <c r="C55" s="64"/>
      <c r="D55" s="63"/>
      <c r="E55" s="63"/>
      <c r="F55" s="63"/>
      <c r="G55" s="63"/>
      <c r="H55" s="63"/>
      <c r="J55" s="63"/>
      <c r="K55" s="63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2.75" customHeight="1">
      <c r="A56" s="47"/>
      <c r="B56" s="63"/>
      <c r="C56" s="64"/>
      <c r="D56" s="63"/>
      <c r="E56" s="63"/>
      <c r="F56" s="63"/>
      <c r="G56" s="63"/>
      <c r="H56" s="63"/>
      <c r="J56" s="63"/>
      <c r="K56" s="63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2.75" customHeight="1">
      <c r="A57" s="47"/>
      <c r="B57" s="63"/>
      <c r="C57" s="64"/>
      <c r="D57" s="63"/>
      <c r="E57" s="63"/>
      <c r="F57" s="63"/>
      <c r="G57" s="63"/>
      <c r="H57" s="63"/>
      <c r="J57" s="63"/>
      <c r="K57" s="63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2.75" customHeight="1">
      <c r="A58" s="47"/>
      <c r="B58" s="63"/>
      <c r="C58" s="64"/>
      <c r="D58" s="63"/>
      <c r="E58" s="63"/>
      <c r="F58" s="63"/>
      <c r="G58" s="63"/>
      <c r="H58" s="63"/>
      <c r="J58" s="63"/>
      <c r="K58" s="63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2.75" customHeight="1">
      <c r="A59" s="47"/>
      <c r="B59" s="63"/>
      <c r="C59" s="64"/>
      <c r="D59" s="63"/>
      <c r="E59" s="63"/>
      <c r="F59" s="63"/>
      <c r="G59" s="63"/>
      <c r="H59" s="63"/>
      <c r="J59" s="63"/>
      <c r="K59" s="63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2.75" customHeight="1">
      <c r="A60" s="47"/>
      <c r="B60" s="63"/>
      <c r="C60" s="64"/>
      <c r="D60" s="63"/>
      <c r="E60" s="63"/>
      <c r="F60" s="63"/>
      <c r="G60" s="63"/>
      <c r="H60" s="63"/>
      <c r="J60" s="63"/>
      <c r="K60" s="63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2.75" customHeight="1">
      <c r="A61" s="47"/>
      <c r="B61" s="63"/>
      <c r="C61" s="64"/>
      <c r="D61" s="63"/>
      <c r="E61" s="63"/>
      <c r="F61" s="63"/>
      <c r="G61" s="63"/>
      <c r="H61" s="63"/>
      <c r="J61" s="63"/>
      <c r="K61" s="63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2.75" customHeight="1">
      <c r="A62" s="47"/>
      <c r="B62" s="63"/>
      <c r="C62" s="64"/>
      <c r="D62" s="63"/>
      <c r="E62" s="63"/>
      <c r="F62" s="63"/>
      <c r="G62" s="63"/>
      <c r="H62" s="63"/>
      <c r="J62" s="63"/>
      <c r="K62" s="63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2.75" customHeight="1">
      <c r="A63" s="47"/>
      <c r="B63" s="63"/>
      <c r="C63" s="64"/>
      <c r="D63" s="63"/>
      <c r="E63" s="63"/>
      <c r="F63" s="63"/>
      <c r="G63" s="63"/>
      <c r="H63" s="63"/>
      <c r="J63" s="63"/>
      <c r="K63" s="63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2.75" customHeight="1">
      <c r="A64" s="47"/>
      <c r="B64" s="63"/>
      <c r="C64" s="64"/>
      <c r="D64" s="63"/>
      <c r="E64" s="63"/>
      <c r="F64" s="63"/>
      <c r="G64" s="63"/>
      <c r="H64" s="63"/>
      <c r="J64" s="63"/>
      <c r="K64" s="63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2.75" customHeight="1">
      <c r="A65" s="47"/>
      <c r="B65" s="63"/>
      <c r="C65" s="64"/>
      <c r="D65" s="63"/>
      <c r="E65" s="63"/>
      <c r="F65" s="63"/>
      <c r="G65" s="63"/>
      <c r="H65" s="63"/>
      <c r="J65" s="63"/>
      <c r="K65" s="63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2.75" customHeight="1">
      <c r="A66" s="47"/>
      <c r="B66" s="63"/>
      <c r="C66" s="64"/>
      <c r="D66" s="63"/>
      <c r="E66" s="63"/>
      <c r="F66" s="63"/>
      <c r="G66" s="63"/>
      <c r="H66" s="63"/>
      <c r="J66" s="63"/>
      <c r="K66" s="63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2.75" customHeight="1">
      <c r="A67" s="47"/>
      <c r="B67" s="63"/>
      <c r="C67" s="64"/>
      <c r="D67" s="63"/>
      <c r="E67" s="63"/>
      <c r="F67" s="63"/>
      <c r="G67" s="63"/>
      <c r="H67" s="63"/>
      <c r="J67" s="63"/>
      <c r="K67" s="63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2.75" customHeight="1">
      <c r="A68" s="47"/>
      <c r="B68" s="63"/>
      <c r="C68" s="64"/>
      <c r="D68" s="63"/>
      <c r="E68" s="63"/>
      <c r="F68" s="63"/>
      <c r="G68" s="63"/>
      <c r="H68" s="63"/>
      <c r="J68" s="63"/>
      <c r="K68" s="63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2.75" customHeight="1">
      <c r="A69" s="47"/>
      <c r="B69" s="63"/>
      <c r="C69" s="64"/>
      <c r="D69" s="63"/>
      <c r="E69" s="63"/>
      <c r="F69" s="63"/>
      <c r="G69" s="63"/>
      <c r="H69" s="63"/>
      <c r="J69" s="63"/>
      <c r="K69" s="63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2.75" customHeight="1">
      <c r="A70" s="47"/>
      <c r="B70" s="63"/>
      <c r="C70" s="64"/>
      <c r="D70" s="63"/>
      <c r="E70" s="63"/>
      <c r="F70" s="63"/>
      <c r="G70" s="63"/>
      <c r="H70" s="63"/>
      <c r="J70" s="63"/>
      <c r="K70" s="63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2.75" customHeight="1">
      <c r="A71" s="47"/>
      <c r="B71" s="63"/>
      <c r="C71" s="64"/>
      <c r="D71" s="63"/>
      <c r="E71" s="63"/>
      <c r="F71" s="63"/>
      <c r="G71" s="63"/>
      <c r="H71" s="63"/>
      <c r="J71" s="63"/>
      <c r="K71" s="63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2.75" customHeight="1">
      <c r="A72" s="47"/>
      <c r="B72" s="63"/>
      <c r="C72" s="64"/>
      <c r="D72" s="63"/>
      <c r="E72" s="63"/>
      <c r="F72" s="63"/>
      <c r="G72" s="63"/>
      <c r="H72" s="63"/>
      <c r="J72" s="63"/>
      <c r="K72" s="63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2.75" customHeight="1">
      <c r="A73" s="47"/>
      <c r="B73" s="63"/>
      <c r="C73" s="64"/>
      <c r="D73" s="63"/>
      <c r="E73" s="63"/>
      <c r="F73" s="63"/>
      <c r="G73" s="63"/>
      <c r="H73" s="63"/>
      <c r="J73" s="63"/>
      <c r="K73" s="63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2.75" customHeight="1">
      <c r="A74" s="47"/>
      <c r="B74" s="63"/>
      <c r="C74" s="64"/>
      <c r="D74" s="63"/>
      <c r="E74" s="63"/>
      <c r="F74" s="63"/>
      <c r="G74" s="63"/>
      <c r="H74" s="63"/>
      <c r="J74" s="63"/>
      <c r="K74" s="63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2.75" customHeight="1">
      <c r="A75" s="47"/>
      <c r="B75" s="63"/>
      <c r="C75" s="64"/>
      <c r="D75" s="63"/>
      <c r="E75" s="63"/>
      <c r="F75" s="63"/>
      <c r="G75" s="63"/>
      <c r="H75" s="63"/>
      <c r="J75" s="63"/>
      <c r="K75" s="63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2.75" customHeight="1">
      <c r="A76" s="47"/>
      <c r="B76" s="63"/>
      <c r="C76" s="64"/>
      <c r="D76" s="63"/>
      <c r="E76" s="63"/>
      <c r="F76" s="63"/>
      <c r="G76" s="63"/>
      <c r="H76" s="63"/>
      <c r="J76" s="63"/>
      <c r="K76" s="63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2.75" customHeight="1">
      <c r="A77" s="47"/>
      <c r="B77" s="63"/>
      <c r="C77" s="64"/>
      <c r="D77" s="63"/>
      <c r="E77" s="63"/>
      <c r="F77" s="63"/>
      <c r="G77" s="63"/>
      <c r="H77" s="63"/>
      <c r="J77" s="63"/>
      <c r="K77" s="63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2.75" customHeight="1">
      <c r="A78" s="47"/>
      <c r="B78" s="63"/>
      <c r="C78" s="64"/>
      <c r="D78" s="63"/>
      <c r="E78" s="63"/>
      <c r="F78" s="63"/>
      <c r="G78" s="63"/>
      <c r="H78" s="63"/>
      <c r="J78" s="63"/>
      <c r="K78" s="63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2.75" customHeight="1">
      <c r="A79" s="47"/>
      <c r="B79" s="63"/>
      <c r="C79" s="64"/>
      <c r="D79" s="63"/>
      <c r="E79" s="63"/>
      <c r="F79" s="63"/>
      <c r="G79" s="63"/>
      <c r="H79" s="63"/>
      <c r="J79" s="63"/>
      <c r="K79" s="63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2.75" customHeight="1">
      <c r="A80" s="47"/>
      <c r="B80" s="63"/>
      <c r="C80" s="64"/>
      <c r="D80" s="63"/>
      <c r="E80" s="63"/>
      <c r="F80" s="63"/>
      <c r="G80" s="63"/>
      <c r="H80" s="63"/>
      <c r="J80" s="63"/>
      <c r="K80" s="63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2.75" customHeight="1">
      <c r="A81" s="47"/>
      <c r="B81" s="63"/>
      <c r="C81" s="64"/>
      <c r="D81" s="63"/>
      <c r="E81" s="63"/>
      <c r="F81" s="63"/>
      <c r="G81" s="63"/>
      <c r="H81" s="63"/>
      <c r="J81" s="63"/>
      <c r="K81" s="63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2.75" customHeight="1">
      <c r="A82" s="47"/>
      <c r="B82" s="63"/>
      <c r="C82" s="64"/>
      <c r="D82" s="63"/>
      <c r="E82" s="63"/>
      <c r="F82" s="63"/>
      <c r="G82" s="63"/>
      <c r="H82" s="63"/>
      <c r="J82" s="63"/>
      <c r="K82" s="63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2.75" customHeight="1">
      <c r="A83" s="47"/>
      <c r="B83" s="63"/>
      <c r="C83" s="64"/>
      <c r="D83" s="63"/>
      <c r="E83" s="63"/>
      <c r="F83" s="63"/>
      <c r="G83" s="63"/>
      <c r="H83" s="63"/>
      <c r="J83" s="63"/>
      <c r="K83" s="63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2.75" customHeight="1">
      <c r="A84" s="47"/>
      <c r="B84" s="63"/>
      <c r="C84" s="64"/>
      <c r="D84" s="63"/>
      <c r="E84" s="63"/>
      <c r="F84" s="63"/>
      <c r="G84" s="63"/>
      <c r="H84" s="63"/>
      <c r="J84" s="63"/>
      <c r="K84" s="63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2.75" customHeight="1">
      <c r="A85" s="47"/>
      <c r="B85" s="63"/>
      <c r="C85" s="64"/>
      <c r="D85" s="63"/>
      <c r="E85" s="63"/>
      <c r="F85" s="63"/>
      <c r="G85" s="63"/>
      <c r="H85" s="63"/>
      <c r="J85" s="63"/>
      <c r="K85" s="63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2.75" customHeight="1">
      <c r="A86" s="47"/>
      <c r="B86" s="63"/>
      <c r="C86" s="64"/>
      <c r="D86" s="63"/>
      <c r="E86" s="63"/>
      <c r="F86" s="63"/>
      <c r="G86" s="63"/>
      <c r="H86" s="63"/>
      <c r="J86" s="63"/>
      <c r="K86" s="63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2.75" customHeight="1">
      <c r="A87" s="47"/>
      <c r="B87" s="63"/>
      <c r="C87" s="64"/>
      <c r="D87" s="63"/>
      <c r="E87" s="63"/>
      <c r="F87" s="63"/>
      <c r="G87" s="63"/>
      <c r="H87" s="63"/>
      <c r="J87" s="63"/>
      <c r="K87" s="63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2.75" customHeight="1">
      <c r="A88" s="47"/>
      <c r="B88" s="63"/>
      <c r="C88" s="64"/>
      <c r="D88" s="63"/>
      <c r="E88" s="63"/>
      <c r="F88" s="63"/>
      <c r="G88" s="63"/>
      <c r="H88" s="63"/>
      <c r="J88" s="63"/>
      <c r="K88" s="63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2.75" customHeight="1">
      <c r="A89" s="47"/>
      <c r="B89" s="63"/>
      <c r="C89" s="64"/>
      <c r="D89" s="63"/>
      <c r="E89" s="63"/>
      <c r="F89" s="63"/>
      <c r="G89" s="63"/>
      <c r="H89" s="63"/>
      <c r="J89" s="63"/>
      <c r="K89" s="63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2.75" customHeight="1">
      <c r="A90" s="47"/>
      <c r="B90" s="63"/>
      <c r="C90" s="64"/>
      <c r="D90" s="63"/>
      <c r="E90" s="63"/>
      <c r="F90" s="63"/>
      <c r="G90" s="63"/>
      <c r="H90" s="63"/>
      <c r="J90" s="63"/>
      <c r="K90" s="63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2.75" customHeight="1">
      <c r="A91" s="47"/>
      <c r="B91" s="63"/>
      <c r="C91" s="64"/>
      <c r="D91" s="63"/>
      <c r="E91" s="63"/>
      <c r="F91" s="63"/>
      <c r="G91" s="63"/>
      <c r="H91" s="63"/>
      <c r="J91" s="63"/>
      <c r="K91" s="63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2.75" customHeight="1">
      <c r="A92" s="47"/>
      <c r="B92" s="63"/>
      <c r="C92" s="64"/>
      <c r="D92" s="63"/>
      <c r="E92" s="63"/>
      <c r="F92" s="63"/>
      <c r="G92" s="63"/>
      <c r="H92" s="63"/>
      <c r="J92" s="63"/>
      <c r="K92" s="63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2.75" customHeight="1">
      <c r="A93" s="47"/>
      <c r="B93" s="63"/>
      <c r="C93" s="64"/>
      <c r="D93" s="63"/>
      <c r="E93" s="63"/>
      <c r="F93" s="63"/>
      <c r="G93" s="63"/>
      <c r="H93" s="63"/>
      <c r="J93" s="63"/>
      <c r="K93" s="63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2.75" customHeight="1">
      <c r="A94" s="47"/>
      <c r="B94" s="63"/>
      <c r="C94" s="64"/>
      <c r="D94" s="63"/>
      <c r="E94" s="63"/>
      <c r="F94" s="63"/>
      <c r="G94" s="63"/>
      <c r="H94" s="63"/>
      <c r="J94" s="63"/>
      <c r="K94" s="63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2.75" customHeight="1">
      <c r="A95" s="47"/>
      <c r="B95" s="63"/>
      <c r="C95" s="64"/>
      <c r="D95" s="63"/>
      <c r="E95" s="63"/>
      <c r="F95" s="63"/>
      <c r="G95" s="63"/>
      <c r="H95" s="63"/>
      <c r="J95" s="63"/>
      <c r="K95" s="63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2.75" customHeight="1">
      <c r="A96" s="47"/>
      <c r="B96" s="63"/>
      <c r="C96" s="64"/>
      <c r="D96" s="63"/>
      <c r="E96" s="63"/>
      <c r="F96" s="63"/>
      <c r="G96" s="63"/>
      <c r="H96" s="63"/>
      <c r="J96" s="63"/>
      <c r="K96" s="63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2.75" customHeight="1">
      <c r="A97" s="47"/>
      <c r="B97" s="63"/>
      <c r="C97" s="64"/>
      <c r="D97" s="63"/>
      <c r="E97" s="63"/>
      <c r="F97" s="63"/>
      <c r="G97" s="63"/>
      <c r="H97" s="63"/>
      <c r="J97" s="63"/>
      <c r="K97" s="63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2.75" customHeight="1">
      <c r="A98" s="47"/>
      <c r="B98" s="63"/>
      <c r="C98" s="64"/>
      <c r="D98" s="63"/>
      <c r="E98" s="63"/>
      <c r="F98" s="63"/>
      <c r="G98" s="63"/>
      <c r="H98" s="63"/>
      <c r="J98" s="63"/>
      <c r="K98" s="63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2.75" customHeight="1">
      <c r="A99" s="47"/>
      <c r="B99" s="63"/>
      <c r="C99" s="64"/>
      <c r="D99" s="63"/>
      <c r="E99" s="63"/>
      <c r="F99" s="63"/>
      <c r="G99" s="63"/>
      <c r="H99" s="63"/>
      <c r="J99" s="63"/>
      <c r="K99" s="63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2.75" customHeight="1">
      <c r="A100" s="47"/>
      <c r="B100" s="63"/>
      <c r="C100" s="64"/>
      <c r="D100" s="63"/>
      <c r="E100" s="63"/>
      <c r="F100" s="63"/>
      <c r="G100" s="63"/>
      <c r="H100" s="63"/>
      <c r="J100" s="63"/>
      <c r="K100" s="63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2.75" customHeight="1">
      <c r="A101" s="47"/>
      <c r="B101" s="63"/>
      <c r="C101" s="64"/>
      <c r="D101" s="63"/>
      <c r="E101" s="63"/>
      <c r="F101" s="63"/>
      <c r="G101" s="63"/>
      <c r="H101" s="63"/>
      <c r="J101" s="63"/>
      <c r="K101" s="63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2.75" customHeight="1">
      <c r="A102" s="47"/>
      <c r="B102" s="63"/>
      <c r="C102" s="64"/>
      <c r="D102" s="63"/>
      <c r="E102" s="63"/>
      <c r="F102" s="63"/>
      <c r="G102" s="63"/>
      <c r="H102" s="63"/>
      <c r="J102" s="63"/>
      <c r="K102" s="63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2.75" customHeight="1">
      <c r="A103" s="47"/>
      <c r="B103" s="63"/>
      <c r="C103" s="64"/>
      <c r="D103" s="63"/>
      <c r="E103" s="63"/>
      <c r="F103" s="63"/>
      <c r="G103" s="63"/>
      <c r="H103" s="63"/>
      <c r="J103" s="63"/>
      <c r="K103" s="63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2.75" customHeight="1">
      <c r="A104" s="47"/>
      <c r="B104" s="63"/>
      <c r="C104" s="64"/>
      <c r="D104" s="63"/>
      <c r="E104" s="63"/>
      <c r="F104" s="63"/>
      <c r="G104" s="63"/>
      <c r="H104" s="63"/>
      <c r="J104" s="63"/>
      <c r="K104" s="63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2.75" customHeight="1">
      <c r="A105" s="47"/>
      <c r="B105" s="63"/>
      <c r="C105" s="64"/>
      <c r="D105" s="63"/>
      <c r="E105" s="63"/>
      <c r="F105" s="63"/>
      <c r="G105" s="63"/>
      <c r="H105" s="63"/>
      <c r="J105" s="63"/>
      <c r="K105" s="63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2.75" customHeight="1">
      <c r="A106" s="47"/>
      <c r="B106" s="63"/>
      <c r="C106" s="64"/>
      <c r="D106" s="63"/>
      <c r="E106" s="63"/>
      <c r="F106" s="63"/>
      <c r="G106" s="63"/>
      <c r="H106" s="63"/>
      <c r="J106" s="63"/>
      <c r="K106" s="63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2.75" customHeight="1">
      <c r="A107" s="47"/>
      <c r="B107" s="63"/>
      <c r="C107" s="64"/>
      <c r="D107" s="63"/>
      <c r="E107" s="63"/>
      <c r="F107" s="63"/>
      <c r="G107" s="63"/>
      <c r="H107" s="63"/>
      <c r="J107" s="63"/>
      <c r="K107" s="63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2.75" customHeight="1">
      <c r="A108" s="47"/>
      <c r="B108" s="63"/>
      <c r="C108" s="64"/>
      <c r="D108" s="63"/>
      <c r="E108" s="63"/>
      <c r="F108" s="63"/>
      <c r="G108" s="63"/>
      <c r="H108" s="63"/>
      <c r="J108" s="63"/>
      <c r="K108" s="63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2.75" customHeight="1">
      <c r="A109" s="47"/>
      <c r="B109" s="63"/>
      <c r="C109" s="64"/>
      <c r="D109" s="63"/>
      <c r="E109" s="63"/>
      <c r="F109" s="63"/>
      <c r="G109" s="63"/>
      <c r="H109" s="63"/>
      <c r="J109" s="63"/>
      <c r="K109" s="63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2.75" customHeight="1">
      <c r="A110" s="47"/>
      <c r="B110" s="63"/>
      <c r="C110" s="64"/>
      <c r="D110" s="63"/>
      <c r="E110" s="63"/>
      <c r="F110" s="63"/>
      <c r="G110" s="63"/>
      <c r="H110" s="63"/>
      <c r="J110" s="63"/>
      <c r="K110" s="63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2.75" customHeight="1">
      <c r="A111" s="47"/>
      <c r="B111" s="63"/>
      <c r="C111" s="64"/>
      <c r="D111" s="63"/>
      <c r="E111" s="63"/>
      <c r="F111" s="63"/>
      <c r="G111" s="63"/>
      <c r="H111" s="63"/>
      <c r="J111" s="63"/>
      <c r="K111" s="63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2.75" customHeight="1">
      <c r="A112" s="47"/>
      <c r="B112" s="63"/>
      <c r="C112" s="64"/>
      <c r="D112" s="63"/>
      <c r="E112" s="63"/>
      <c r="F112" s="63"/>
      <c r="G112" s="63"/>
      <c r="H112" s="63"/>
      <c r="J112" s="63"/>
      <c r="K112" s="63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2.75" customHeight="1">
      <c r="A113" s="47"/>
      <c r="B113" s="63"/>
      <c r="C113" s="64"/>
      <c r="D113" s="63"/>
      <c r="E113" s="63"/>
      <c r="F113" s="63"/>
      <c r="G113" s="63"/>
      <c r="H113" s="63"/>
      <c r="J113" s="63"/>
      <c r="K113" s="63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2.75" customHeight="1">
      <c r="A114" s="47"/>
      <c r="B114" s="63"/>
      <c r="C114" s="64"/>
      <c r="D114" s="63"/>
      <c r="E114" s="63"/>
      <c r="F114" s="63"/>
      <c r="G114" s="63"/>
      <c r="H114" s="63"/>
      <c r="J114" s="63"/>
      <c r="K114" s="63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2.75" customHeight="1">
      <c r="A115" s="47"/>
      <c r="B115" s="63"/>
      <c r="C115" s="64"/>
      <c r="D115" s="63"/>
      <c r="E115" s="63"/>
      <c r="F115" s="63"/>
      <c r="G115" s="63"/>
      <c r="H115" s="63"/>
      <c r="J115" s="63"/>
      <c r="K115" s="63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2.75" customHeight="1">
      <c r="A116" s="47"/>
      <c r="B116" s="63"/>
      <c r="C116" s="64"/>
      <c r="D116" s="63"/>
      <c r="E116" s="63"/>
      <c r="F116" s="63"/>
      <c r="G116" s="63"/>
      <c r="H116" s="63"/>
      <c r="J116" s="63"/>
      <c r="K116" s="63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2.75" customHeight="1">
      <c r="A117" s="47"/>
      <c r="B117" s="63"/>
      <c r="C117" s="64"/>
      <c r="D117" s="63"/>
      <c r="E117" s="63"/>
      <c r="F117" s="63"/>
      <c r="G117" s="63"/>
      <c r="H117" s="63"/>
      <c r="J117" s="63"/>
      <c r="K117" s="63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2.75" customHeight="1">
      <c r="A118" s="47"/>
      <c r="B118" s="63"/>
      <c r="C118" s="64"/>
      <c r="D118" s="63"/>
      <c r="E118" s="63"/>
      <c r="F118" s="63"/>
      <c r="G118" s="63"/>
      <c r="H118" s="63"/>
      <c r="J118" s="63"/>
      <c r="K118" s="63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2.75" customHeight="1">
      <c r="A119" s="47"/>
      <c r="B119" s="63"/>
      <c r="C119" s="64"/>
      <c r="D119" s="63"/>
      <c r="E119" s="63"/>
      <c r="F119" s="63"/>
      <c r="G119" s="63"/>
      <c r="H119" s="63"/>
      <c r="J119" s="63"/>
      <c r="K119" s="63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2.75" customHeight="1">
      <c r="A120" s="47"/>
      <c r="B120" s="63"/>
      <c r="C120" s="64"/>
      <c r="D120" s="63"/>
      <c r="E120" s="63"/>
      <c r="F120" s="63"/>
      <c r="G120" s="63"/>
      <c r="H120" s="63"/>
      <c r="J120" s="63"/>
      <c r="K120" s="63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2.75" customHeight="1">
      <c r="A121" s="47"/>
      <c r="B121" s="63"/>
      <c r="C121" s="64"/>
      <c r="D121" s="63"/>
      <c r="E121" s="63"/>
      <c r="F121" s="63"/>
      <c r="G121" s="63"/>
      <c r="H121" s="63"/>
      <c r="J121" s="63"/>
      <c r="K121" s="63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2.75" customHeight="1">
      <c r="A122" s="47"/>
      <c r="B122" s="63"/>
      <c r="C122" s="64"/>
      <c r="D122" s="63"/>
      <c r="E122" s="63"/>
      <c r="F122" s="63"/>
      <c r="G122" s="63"/>
      <c r="H122" s="63"/>
      <c r="J122" s="63"/>
      <c r="K122" s="63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2.75" customHeight="1">
      <c r="A123" s="47"/>
      <c r="B123" s="63"/>
      <c r="C123" s="64"/>
      <c r="D123" s="63"/>
      <c r="E123" s="63"/>
      <c r="F123" s="63"/>
      <c r="G123" s="63"/>
      <c r="H123" s="63"/>
      <c r="J123" s="63"/>
      <c r="K123" s="63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2.75" customHeight="1">
      <c r="A124" s="47"/>
      <c r="B124" s="63"/>
      <c r="C124" s="64"/>
      <c r="D124" s="63"/>
      <c r="E124" s="63"/>
      <c r="F124" s="63"/>
      <c r="G124" s="63"/>
      <c r="H124" s="63"/>
      <c r="J124" s="63"/>
      <c r="K124" s="63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2.75" customHeight="1">
      <c r="A125" s="47"/>
      <c r="B125" s="63"/>
      <c r="C125" s="64"/>
      <c r="D125" s="63"/>
      <c r="E125" s="63"/>
      <c r="F125" s="63"/>
      <c r="G125" s="63"/>
      <c r="H125" s="63"/>
      <c r="J125" s="63"/>
      <c r="K125" s="63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2.75" customHeight="1">
      <c r="A126" s="47"/>
      <c r="B126" s="63"/>
      <c r="C126" s="64"/>
      <c r="D126" s="63"/>
      <c r="E126" s="63"/>
      <c r="F126" s="63"/>
      <c r="G126" s="63"/>
      <c r="H126" s="63"/>
      <c r="J126" s="63"/>
      <c r="K126" s="63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2.75" customHeight="1">
      <c r="A127" s="47"/>
      <c r="B127" s="63"/>
      <c r="C127" s="64"/>
      <c r="D127" s="63"/>
      <c r="E127" s="63"/>
      <c r="F127" s="63"/>
      <c r="G127" s="63"/>
      <c r="H127" s="63"/>
      <c r="J127" s="63"/>
      <c r="K127" s="63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2.75" customHeight="1">
      <c r="A128" s="47"/>
      <c r="B128" s="63"/>
      <c r="C128" s="64"/>
      <c r="D128" s="63"/>
      <c r="E128" s="63"/>
      <c r="F128" s="63"/>
      <c r="G128" s="63"/>
      <c r="H128" s="63"/>
      <c r="J128" s="63"/>
      <c r="K128" s="63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2.75" customHeight="1">
      <c r="A129" s="47"/>
      <c r="B129" s="63"/>
      <c r="C129" s="64"/>
      <c r="D129" s="63"/>
      <c r="E129" s="63"/>
      <c r="F129" s="63"/>
      <c r="G129" s="63"/>
      <c r="H129" s="63"/>
      <c r="J129" s="63"/>
      <c r="K129" s="63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2.75" customHeight="1">
      <c r="A130" s="47"/>
      <c r="B130" s="63"/>
      <c r="C130" s="64"/>
      <c r="D130" s="63"/>
      <c r="E130" s="63"/>
      <c r="F130" s="63"/>
      <c r="G130" s="63"/>
      <c r="H130" s="63"/>
      <c r="J130" s="63"/>
      <c r="K130" s="63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2.75" customHeight="1">
      <c r="A131" s="47"/>
      <c r="B131" s="63"/>
      <c r="C131" s="64"/>
      <c r="D131" s="63"/>
      <c r="E131" s="63"/>
      <c r="F131" s="63"/>
      <c r="G131" s="63"/>
      <c r="H131" s="63"/>
      <c r="J131" s="63"/>
      <c r="K131" s="63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2.75" customHeight="1">
      <c r="A132" s="47"/>
      <c r="B132" s="63"/>
      <c r="C132" s="64"/>
      <c r="D132" s="63"/>
      <c r="E132" s="63"/>
      <c r="F132" s="63"/>
      <c r="G132" s="63"/>
      <c r="H132" s="63"/>
      <c r="J132" s="63"/>
      <c r="K132" s="63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2.75" customHeight="1">
      <c r="A133" s="47"/>
      <c r="B133" s="63"/>
      <c r="C133" s="64"/>
      <c r="D133" s="63"/>
      <c r="E133" s="63"/>
      <c r="F133" s="63"/>
      <c r="G133" s="63"/>
      <c r="H133" s="63"/>
      <c r="J133" s="63"/>
      <c r="K133" s="63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2.75" customHeight="1">
      <c r="A134" s="47"/>
      <c r="B134" s="63"/>
      <c r="C134" s="64"/>
      <c r="D134" s="63"/>
      <c r="E134" s="63"/>
      <c r="F134" s="63"/>
      <c r="G134" s="63"/>
      <c r="H134" s="63"/>
      <c r="J134" s="63"/>
      <c r="K134" s="63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2.75" customHeight="1">
      <c r="A135" s="47"/>
      <c r="B135" s="63"/>
      <c r="C135" s="64"/>
      <c r="D135" s="63"/>
      <c r="E135" s="63"/>
      <c r="F135" s="63"/>
      <c r="G135" s="63"/>
      <c r="H135" s="63"/>
      <c r="J135" s="63"/>
      <c r="K135" s="63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2.75" customHeight="1">
      <c r="A136" s="47"/>
      <c r="B136" s="63"/>
      <c r="C136" s="64"/>
      <c r="D136" s="63"/>
      <c r="E136" s="63"/>
      <c r="F136" s="63"/>
      <c r="G136" s="63"/>
      <c r="H136" s="63"/>
      <c r="J136" s="63"/>
      <c r="K136" s="63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2.75" customHeight="1">
      <c r="A137" s="47"/>
      <c r="B137" s="63"/>
      <c r="C137" s="64"/>
      <c r="D137" s="63"/>
      <c r="E137" s="63"/>
      <c r="F137" s="63"/>
      <c r="G137" s="63"/>
      <c r="H137" s="63"/>
      <c r="J137" s="63"/>
      <c r="K137" s="63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2.75" customHeight="1">
      <c r="A138" s="47"/>
      <c r="B138" s="63"/>
      <c r="C138" s="64"/>
      <c r="D138" s="63"/>
      <c r="E138" s="63"/>
      <c r="F138" s="63"/>
      <c r="G138" s="63"/>
      <c r="H138" s="63"/>
      <c r="J138" s="63"/>
      <c r="K138" s="63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2.75" customHeight="1">
      <c r="A139" s="47"/>
      <c r="B139" s="63"/>
      <c r="C139" s="64"/>
      <c r="D139" s="63"/>
      <c r="E139" s="63"/>
      <c r="F139" s="63"/>
      <c r="G139" s="63"/>
      <c r="H139" s="63"/>
      <c r="J139" s="63"/>
      <c r="K139" s="63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2.75" customHeight="1">
      <c r="A140" s="47"/>
      <c r="B140" s="63"/>
      <c r="C140" s="64"/>
      <c r="D140" s="63"/>
      <c r="E140" s="63"/>
      <c r="F140" s="63"/>
      <c r="G140" s="63"/>
      <c r="H140" s="63"/>
      <c r="J140" s="63"/>
      <c r="K140" s="63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2.75" customHeight="1">
      <c r="A141" s="47"/>
      <c r="B141" s="63"/>
      <c r="C141" s="64"/>
      <c r="D141" s="63"/>
      <c r="E141" s="63"/>
      <c r="F141" s="63"/>
      <c r="G141" s="63"/>
      <c r="H141" s="63"/>
      <c r="J141" s="63"/>
      <c r="K141" s="63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2.75" customHeight="1">
      <c r="A142" s="47"/>
      <c r="B142" s="63"/>
      <c r="C142" s="64"/>
      <c r="D142" s="63"/>
      <c r="E142" s="63"/>
      <c r="F142" s="63"/>
      <c r="G142" s="63"/>
      <c r="H142" s="63"/>
      <c r="J142" s="63"/>
      <c r="K142" s="63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2.75" customHeight="1">
      <c r="A143" s="47"/>
      <c r="B143" s="63"/>
      <c r="C143" s="64"/>
      <c r="D143" s="63"/>
      <c r="E143" s="63"/>
      <c r="F143" s="63"/>
      <c r="G143" s="63"/>
      <c r="H143" s="63"/>
      <c r="J143" s="63"/>
      <c r="K143" s="63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2.75" customHeight="1">
      <c r="A144" s="47"/>
      <c r="B144" s="63"/>
      <c r="C144" s="64"/>
      <c r="D144" s="63"/>
      <c r="E144" s="63"/>
      <c r="F144" s="63"/>
      <c r="G144" s="63"/>
      <c r="H144" s="63"/>
      <c r="J144" s="63"/>
      <c r="K144" s="63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2.75" customHeight="1">
      <c r="A145" s="47"/>
      <c r="B145" s="63"/>
      <c r="C145" s="64"/>
      <c r="D145" s="63"/>
      <c r="E145" s="63"/>
      <c r="F145" s="63"/>
      <c r="G145" s="63"/>
      <c r="H145" s="63"/>
      <c r="J145" s="63"/>
      <c r="K145" s="63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2.75" customHeight="1">
      <c r="A146" s="47"/>
      <c r="B146" s="63"/>
      <c r="C146" s="64"/>
      <c r="D146" s="63"/>
      <c r="E146" s="63"/>
      <c r="F146" s="63"/>
      <c r="G146" s="63"/>
      <c r="H146" s="63"/>
      <c r="J146" s="63"/>
      <c r="K146" s="63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2.75" customHeight="1">
      <c r="A147" s="47"/>
      <c r="B147" s="63"/>
      <c r="C147" s="64"/>
      <c r="D147" s="63"/>
      <c r="E147" s="63"/>
      <c r="F147" s="63"/>
      <c r="G147" s="63"/>
      <c r="H147" s="63"/>
      <c r="J147" s="63"/>
      <c r="K147" s="63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2.75" customHeight="1">
      <c r="A148" s="47"/>
      <c r="B148" s="63"/>
      <c r="C148" s="64"/>
      <c r="D148" s="63"/>
      <c r="E148" s="63"/>
      <c r="F148" s="63"/>
      <c r="G148" s="63"/>
      <c r="H148" s="63"/>
      <c r="J148" s="63"/>
      <c r="K148" s="63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2.75" customHeight="1">
      <c r="A149" s="47"/>
      <c r="B149" s="63"/>
      <c r="C149" s="64"/>
      <c r="D149" s="63"/>
      <c r="E149" s="63"/>
      <c r="F149" s="63"/>
      <c r="G149" s="63"/>
      <c r="H149" s="63"/>
      <c r="J149" s="63"/>
      <c r="K149" s="63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2.75" customHeight="1">
      <c r="A150" s="47"/>
      <c r="B150" s="63"/>
      <c r="C150" s="64"/>
      <c r="D150" s="63"/>
      <c r="E150" s="63"/>
      <c r="F150" s="63"/>
      <c r="G150" s="63"/>
      <c r="H150" s="63"/>
      <c r="J150" s="63"/>
      <c r="K150" s="63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2.75" customHeight="1">
      <c r="A151" s="47"/>
      <c r="B151" s="63"/>
      <c r="C151" s="64"/>
      <c r="D151" s="63"/>
      <c r="E151" s="63"/>
      <c r="F151" s="63"/>
      <c r="G151" s="63"/>
      <c r="H151" s="63"/>
      <c r="J151" s="63"/>
      <c r="K151" s="63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2.75" customHeight="1">
      <c r="A152" s="47"/>
      <c r="B152" s="63"/>
      <c r="C152" s="64"/>
      <c r="D152" s="63"/>
      <c r="E152" s="63"/>
      <c r="F152" s="63"/>
      <c r="G152" s="63"/>
      <c r="H152" s="63"/>
      <c r="J152" s="63"/>
      <c r="K152" s="63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2.75" customHeight="1">
      <c r="A153" s="47"/>
      <c r="B153" s="63"/>
      <c r="C153" s="64"/>
      <c r="D153" s="63"/>
      <c r="E153" s="63"/>
      <c r="F153" s="63"/>
      <c r="G153" s="63"/>
      <c r="H153" s="63"/>
      <c r="J153" s="63"/>
      <c r="K153" s="63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2.75" customHeight="1">
      <c r="A154" s="47"/>
      <c r="B154" s="63"/>
      <c r="C154" s="64"/>
      <c r="D154" s="63"/>
      <c r="E154" s="63"/>
      <c r="F154" s="63"/>
      <c r="G154" s="63"/>
      <c r="H154" s="63"/>
      <c r="J154" s="63"/>
      <c r="K154" s="63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2.75" customHeight="1">
      <c r="A155" s="47"/>
      <c r="B155" s="63"/>
      <c r="C155" s="64"/>
      <c r="D155" s="63"/>
      <c r="E155" s="63"/>
      <c r="F155" s="63"/>
      <c r="G155" s="63"/>
      <c r="H155" s="63"/>
      <c r="J155" s="63"/>
      <c r="K155" s="63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2.75" customHeight="1">
      <c r="A156" s="47"/>
      <c r="B156" s="63"/>
      <c r="C156" s="64"/>
      <c r="D156" s="63"/>
      <c r="E156" s="63"/>
      <c r="F156" s="63"/>
      <c r="G156" s="63"/>
      <c r="H156" s="63"/>
      <c r="J156" s="63"/>
      <c r="K156" s="63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2.75" customHeight="1">
      <c r="A157" s="47"/>
      <c r="B157" s="63"/>
      <c r="C157" s="64"/>
      <c r="D157" s="63"/>
      <c r="E157" s="63"/>
      <c r="F157" s="63"/>
      <c r="G157" s="63"/>
      <c r="H157" s="63"/>
      <c r="J157" s="63"/>
      <c r="K157" s="63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2.75" customHeight="1">
      <c r="A158" s="47"/>
      <c r="B158" s="63"/>
      <c r="C158" s="64"/>
      <c r="D158" s="63"/>
      <c r="E158" s="63"/>
      <c r="F158" s="63"/>
      <c r="G158" s="63"/>
      <c r="H158" s="63"/>
      <c r="J158" s="63"/>
      <c r="K158" s="63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2.75" customHeight="1">
      <c r="A159" s="47"/>
      <c r="B159" s="63"/>
      <c r="C159" s="64"/>
      <c r="D159" s="63"/>
      <c r="E159" s="63"/>
      <c r="F159" s="63"/>
      <c r="G159" s="63"/>
      <c r="H159" s="63"/>
      <c r="J159" s="63"/>
      <c r="K159" s="63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2.75" customHeight="1">
      <c r="A160" s="47"/>
      <c r="B160" s="63"/>
      <c r="C160" s="64"/>
      <c r="D160" s="63"/>
      <c r="E160" s="63"/>
      <c r="F160" s="63"/>
      <c r="G160" s="63"/>
      <c r="H160" s="63"/>
      <c r="J160" s="63"/>
      <c r="K160" s="63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2.75" customHeight="1">
      <c r="A161" s="47"/>
      <c r="B161" s="63"/>
      <c r="C161" s="64"/>
      <c r="D161" s="63"/>
      <c r="E161" s="63"/>
      <c r="F161" s="63"/>
      <c r="G161" s="63"/>
      <c r="H161" s="63"/>
      <c r="J161" s="63"/>
      <c r="K161" s="63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2.75" customHeight="1">
      <c r="A162" s="47"/>
      <c r="B162" s="63"/>
      <c r="C162" s="64"/>
      <c r="D162" s="63"/>
      <c r="E162" s="63"/>
      <c r="F162" s="63"/>
      <c r="G162" s="63"/>
      <c r="H162" s="63"/>
      <c r="J162" s="63"/>
      <c r="K162" s="63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2.75" customHeight="1">
      <c r="A163" s="47"/>
      <c r="B163" s="63"/>
      <c r="C163" s="64"/>
      <c r="D163" s="63"/>
      <c r="E163" s="63"/>
      <c r="F163" s="63"/>
      <c r="G163" s="63"/>
      <c r="H163" s="63"/>
      <c r="J163" s="63"/>
      <c r="K163" s="63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2.75" customHeight="1">
      <c r="A164" s="47"/>
      <c r="B164" s="63"/>
      <c r="C164" s="64"/>
      <c r="D164" s="63"/>
      <c r="E164" s="63"/>
      <c r="F164" s="63"/>
      <c r="G164" s="63"/>
      <c r="H164" s="63"/>
      <c r="J164" s="63"/>
      <c r="K164" s="63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2.75" customHeight="1">
      <c r="A165" s="47"/>
      <c r="B165" s="63"/>
      <c r="C165" s="64"/>
      <c r="D165" s="63"/>
      <c r="E165" s="63"/>
      <c r="F165" s="63"/>
      <c r="G165" s="63"/>
      <c r="H165" s="63"/>
      <c r="J165" s="63"/>
      <c r="K165" s="63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2.75" customHeight="1">
      <c r="A166" s="47"/>
      <c r="B166" s="63"/>
      <c r="C166" s="64"/>
      <c r="D166" s="63"/>
      <c r="E166" s="63"/>
      <c r="F166" s="63"/>
      <c r="G166" s="63"/>
      <c r="H166" s="63"/>
      <c r="J166" s="63"/>
      <c r="K166" s="63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2.75" customHeight="1">
      <c r="A167" s="47"/>
      <c r="B167" s="63"/>
      <c r="C167" s="64"/>
      <c r="D167" s="63"/>
      <c r="E167" s="63"/>
      <c r="F167" s="63"/>
      <c r="G167" s="63"/>
      <c r="H167" s="63"/>
      <c r="J167" s="63"/>
      <c r="K167" s="63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2.75" customHeight="1">
      <c r="A168" s="47"/>
      <c r="B168" s="63"/>
      <c r="C168" s="64"/>
      <c r="D168" s="63"/>
      <c r="E168" s="63"/>
      <c r="F168" s="63"/>
      <c r="G168" s="63"/>
      <c r="H168" s="63"/>
      <c r="J168" s="63"/>
      <c r="K168" s="63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2.75" customHeight="1">
      <c r="A169" s="47"/>
      <c r="B169" s="63"/>
      <c r="C169" s="64"/>
      <c r="D169" s="63"/>
      <c r="E169" s="63"/>
      <c r="F169" s="63"/>
      <c r="G169" s="63"/>
      <c r="H169" s="63"/>
      <c r="J169" s="63"/>
      <c r="K169" s="63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2.75" customHeight="1">
      <c r="A170" s="47"/>
      <c r="B170" s="63"/>
      <c r="C170" s="64"/>
      <c r="D170" s="63"/>
      <c r="E170" s="63"/>
      <c r="F170" s="63"/>
      <c r="G170" s="63"/>
      <c r="H170" s="63"/>
      <c r="J170" s="63"/>
      <c r="K170" s="63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2.75" customHeight="1">
      <c r="A171" s="47"/>
      <c r="B171" s="63"/>
      <c r="C171" s="64"/>
      <c r="D171" s="63"/>
      <c r="E171" s="63"/>
      <c r="F171" s="63"/>
      <c r="G171" s="63"/>
      <c r="H171" s="63"/>
      <c r="J171" s="63"/>
      <c r="K171" s="63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2.75" customHeight="1">
      <c r="A172" s="47"/>
      <c r="B172" s="63"/>
      <c r="C172" s="64"/>
      <c r="D172" s="63"/>
      <c r="E172" s="63"/>
      <c r="F172" s="63"/>
      <c r="G172" s="63"/>
      <c r="H172" s="63"/>
      <c r="J172" s="63"/>
      <c r="K172" s="63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2.75" customHeight="1">
      <c r="A173" s="47"/>
      <c r="B173" s="63"/>
      <c r="C173" s="64"/>
      <c r="D173" s="63"/>
      <c r="E173" s="63"/>
      <c r="F173" s="63"/>
      <c r="G173" s="63"/>
      <c r="H173" s="63"/>
      <c r="J173" s="63"/>
      <c r="K173" s="63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2.75" customHeight="1">
      <c r="A174" s="47"/>
      <c r="B174" s="63"/>
      <c r="C174" s="64"/>
      <c r="D174" s="63"/>
      <c r="E174" s="63"/>
      <c r="F174" s="63"/>
      <c r="G174" s="63"/>
      <c r="H174" s="63"/>
      <c r="J174" s="63"/>
      <c r="K174" s="63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2.75" customHeight="1">
      <c r="A175" s="47"/>
      <c r="B175" s="63"/>
      <c r="C175" s="64"/>
      <c r="D175" s="63"/>
      <c r="E175" s="63"/>
      <c r="F175" s="63"/>
      <c r="G175" s="63"/>
      <c r="H175" s="63"/>
      <c r="J175" s="63"/>
      <c r="K175" s="63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2.75" customHeight="1">
      <c r="A176" s="47"/>
      <c r="B176" s="63"/>
      <c r="C176" s="64"/>
      <c r="D176" s="63"/>
      <c r="E176" s="63"/>
      <c r="F176" s="63"/>
      <c r="G176" s="63"/>
      <c r="H176" s="63"/>
      <c r="J176" s="63"/>
      <c r="K176" s="63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2.75" customHeight="1">
      <c r="A177" s="47"/>
      <c r="B177" s="63"/>
      <c r="C177" s="64"/>
      <c r="D177" s="63"/>
      <c r="E177" s="63"/>
      <c r="F177" s="63"/>
      <c r="G177" s="63"/>
      <c r="H177" s="63"/>
      <c r="J177" s="63"/>
      <c r="K177" s="63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2.75" customHeight="1">
      <c r="A178" s="47"/>
      <c r="B178" s="63"/>
      <c r="C178" s="64"/>
      <c r="D178" s="63"/>
      <c r="E178" s="63"/>
      <c r="F178" s="63"/>
      <c r="G178" s="63"/>
      <c r="H178" s="63"/>
      <c r="J178" s="63"/>
      <c r="K178" s="63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2.75" customHeight="1">
      <c r="A179" s="47"/>
      <c r="B179" s="63"/>
      <c r="C179" s="64"/>
      <c r="D179" s="63"/>
      <c r="E179" s="63"/>
      <c r="F179" s="63"/>
      <c r="G179" s="63"/>
      <c r="H179" s="63"/>
      <c r="J179" s="63"/>
      <c r="K179" s="63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2.75" customHeight="1">
      <c r="A180" s="47"/>
      <c r="B180" s="63"/>
      <c r="C180" s="64"/>
      <c r="D180" s="63"/>
      <c r="E180" s="63"/>
      <c r="F180" s="63"/>
      <c r="G180" s="63"/>
      <c r="H180" s="63"/>
      <c r="J180" s="63"/>
      <c r="K180" s="63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2.75" customHeight="1">
      <c r="A181" s="47"/>
      <c r="B181" s="63"/>
      <c r="C181" s="64"/>
      <c r="D181" s="63"/>
      <c r="E181" s="63"/>
      <c r="F181" s="63"/>
      <c r="G181" s="63"/>
      <c r="H181" s="63"/>
      <c r="J181" s="63"/>
      <c r="K181" s="63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2.75" customHeight="1">
      <c r="A182" s="47"/>
      <c r="B182" s="63"/>
      <c r="C182" s="64"/>
      <c r="D182" s="63"/>
      <c r="E182" s="63"/>
      <c r="F182" s="63"/>
      <c r="G182" s="63"/>
      <c r="H182" s="63"/>
      <c r="J182" s="63"/>
      <c r="K182" s="63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2.75" customHeight="1">
      <c r="A183" s="47"/>
      <c r="B183" s="63"/>
      <c r="C183" s="64"/>
      <c r="D183" s="63"/>
      <c r="E183" s="63"/>
      <c r="F183" s="63"/>
      <c r="G183" s="63"/>
      <c r="H183" s="63"/>
      <c r="J183" s="63"/>
      <c r="K183" s="63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2.75" customHeight="1">
      <c r="A184" s="47"/>
      <c r="B184" s="63"/>
      <c r="C184" s="64"/>
      <c r="D184" s="63"/>
      <c r="E184" s="63"/>
      <c r="F184" s="63"/>
      <c r="G184" s="63"/>
      <c r="H184" s="63"/>
      <c r="J184" s="63"/>
      <c r="K184" s="63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2.75" customHeight="1">
      <c r="A185" s="47"/>
      <c r="B185" s="63"/>
      <c r="C185" s="64"/>
      <c r="D185" s="63"/>
      <c r="E185" s="63"/>
      <c r="F185" s="63"/>
      <c r="G185" s="63"/>
      <c r="H185" s="63"/>
      <c r="J185" s="63"/>
      <c r="K185" s="63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2.75" customHeight="1">
      <c r="A186" s="47"/>
      <c r="B186" s="63"/>
      <c r="C186" s="64"/>
      <c r="D186" s="63"/>
      <c r="E186" s="63"/>
      <c r="F186" s="63"/>
      <c r="G186" s="63"/>
      <c r="H186" s="63"/>
      <c r="J186" s="63"/>
      <c r="K186" s="63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2.75" customHeight="1">
      <c r="A187" s="47"/>
      <c r="B187" s="63"/>
      <c r="C187" s="64"/>
      <c r="D187" s="63"/>
      <c r="E187" s="63"/>
      <c r="F187" s="63"/>
      <c r="G187" s="63"/>
      <c r="H187" s="63"/>
      <c r="J187" s="63"/>
      <c r="K187" s="63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2.75" customHeight="1">
      <c r="A188" s="47"/>
      <c r="B188" s="63"/>
      <c r="C188" s="64"/>
      <c r="D188" s="63"/>
      <c r="E188" s="63"/>
      <c r="F188" s="63"/>
      <c r="G188" s="63"/>
      <c r="H188" s="63"/>
      <c r="J188" s="63"/>
      <c r="K188" s="63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2.75" customHeight="1">
      <c r="A189" s="47"/>
      <c r="B189" s="63"/>
      <c r="C189" s="64"/>
      <c r="D189" s="63"/>
      <c r="E189" s="63"/>
      <c r="F189" s="63"/>
      <c r="G189" s="63"/>
      <c r="H189" s="63"/>
      <c r="J189" s="63"/>
      <c r="K189" s="63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2.75" customHeight="1">
      <c r="A190" s="47"/>
      <c r="B190" s="63"/>
      <c r="C190" s="64"/>
      <c r="D190" s="63"/>
      <c r="E190" s="63"/>
      <c r="F190" s="63"/>
      <c r="G190" s="63"/>
      <c r="H190" s="63"/>
      <c r="J190" s="63"/>
      <c r="K190" s="63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2.75" customHeight="1">
      <c r="A191" s="47"/>
      <c r="B191" s="63"/>
      <c r="C191" s="64"/>
      <c r="D191" s="63"/>
      <c r="E191" s="63"/>
      <c r="F191" s="63"/>
      <c r="G191" s="63"/>
      <c r="H191" s="63"/>
      <c r="J191" s="63"/>
      <c r="K191" s="63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2.75" customHeight="1">
      <c r="A192" s="47"/>
      <c r="B192" s="63"/>
      <c r="C192" s="64"/>
      <c r="D192" s="63"/>
      <c r="E192" s="63"/>
      <c r="F192" s="63"/>
      <c r="G192" s="63"/>
      <c r="H192" s="63"/>
      <c r="J192" s="63"/>
      <c r="K192" s="63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2.75" customHeight="1">
      <c r="A193" s="47"/>
      <c r="B193" s="63"/>
      <c r="C193" s="64"/>
      <c r="D193" s="63"/>
      <c r="E193" s="63"/>
      <c r="F193" s="63"/>
      <c r="G193" s="63"/>
      <c r="H193" s="63"/>
      <c r="J193" s="63"/>
      <c r="K193" s="63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2.75" customHeight="1">
      <c r="A194" s="47"/>
      <c r="B194" s="63"/>
      <c r="C194" s="64"/>
      <c r="D194" s="63"/>
      <c r="E194" s="63"/>
      <c r="F194" s="63"/>
      <c r="G194" s="63"/>
      <c r="H194" s="63"/>
      <c r="J194" s="63"/>
      <c r="K194" s="63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2.75" customHeight="1">
      <c r="A195" s="47"/>
      <c r="B195" s="63"/>
      <c r="C195" s="64"/>
      <c r="D195" s="63"/>
      <c r="E195" s="63"/>
      <c r="F195" s="63"/>
      <c r="G195" s="63"/>
      <c r="H195" s="63"/>
      <c r="J195" s="63"/>
      <c r="K195" s="63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2.75" customHeight="1">
      <c r="A196" s="47"/>
      <c r="B196" s="63"/>
      <c r="C196" s="64"/>
      <c r="D196" s="63"/>
      <c r="E196" s="63"/>
      <c r="F196" s="63"/>
      <c r="G196" s="63"/>
      <c r="H196" s="63"/>
      <c r="J196" s="63"/>
      <c r="K196" s="63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2.75" customHeight="1">
      <c r="A197" s="47"/>
      <c r="B197" s="63"/>
      <c r="C197" s="64"/>
      <c r="D197" s="63"/>
      <c r="E197" s="63"/>
      <c r="F197" s="63"/>
      <c r="G197" s="63"/>
      <c r="H197" s="63"/>
      <c r="J197" s="63"/>
      <c r="K197" s="63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2.75" customHeight="1">
      <c r="A198" s="47"/>
      <c r="B198" s="63"/>
      <c r="C198" s="64"/>
      <c r="D198" s="63"/>
      <c r="E198" s="63"/>
      <c r="F198" s="63"/>
      <c r="G198" s="63"/>
      <c r="H198" s="63"/>
      <c r="J198" s="63"/>
      <c r="K198" s="63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2.75" customHeight="1">
      <c r="A199" s="47"/>
      <c r="B199" s="63"/>
      <c r="C199" s="64"/>
      <c r="D199" s="63"/>
      <c r="E199" s="63"/>
      <c r="F199" s="63"/>
      <c r="G199" s="63"/>
      <c r="H199" s="63"/>
      <c r="J199" s="63"/>
      <c r="K199" s="63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2.75" customHeight="1">
      <c r="A200" s="47"/>
      <c r="B200" s="63"/>
      <c r="C200" s="64"/>
      <c r="D200" s="63"/>
      <c r="E200" s="63"/>
      <c r="F200" s="63"/>
      <c r="G200" s="63"/>
      <c r="H200" s="63"/>
      <c r="J200" s="63"/>
      <c r="K200" s="63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2.75" customHeight="1">
      <c r="A201" s="47"/>
      <c r="B201" s="63"/>
      <c r="C201" s="64"/>
      <c r="D201" s="63"/>
      <c r="E201" s="63"/>
      <c r="F201" s="63"/>
      <c r="G201" s="63"/>
      <c r="H201" s="63"/>
      <c r="J201" s="63"/>
      <c r="K201" s="63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2.75" customHeight="1">
      <c r="A202" s="47"/>
      <c r="B202" s="63"/>
      <c r="C202" s="64"/>
      <c r="D202" s="63"/>
      <c r="E202" s="63"/>
      <c r="F202" s="63"/>
      <c r="G202" s="63"/>
      <c r="H202" s="63"/>
      <c r="J202" s="63"/>
      <c r="K202" s="63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2.75" customHeight="1">
      <c r="A203" s="47"/>
      <c r="B203" s="63"/>
      <c r="C203" s="64"/>
      <c r="D203" s="63"/>
      <c r="E203" s="63"/>
      <c r="F203" s="63"/>
      <c r="G203" s="63"/>
      <c r="H203" s="63"/>
      <c r="J203" s="63"/>
      <c r="K203" s="63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2.75" customHeight="1">
      <c r="A204" s="47"/>
      <c r="B204" s="63"/>
      <c r="C204" s="64"/>
      <c r="D204" s="63"/>
      <c r="E204" s="63"/>
      <c r="F204" s="63"/>
      <c r="G204" s="63"/>
      <c r="H204" s="63"/>
      <c r="J204" s="63"/>
      <c r="K204" s="63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2.75" customHeight="1">
      <c r="A205" s="47"/>
      <c r="B205" s="63"/>
      <c r="C205" s="64"/>
      <c r="D205" s="63"/>
      <c r="E205" s="63"/>
      <c r="F205" s="63"/>
      <c r="G205" s="63"/>
      <c r="H205" s="63"/>
      <c r="J205" s="63"/>
      <c r="K205" s="63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2.75" customHeight="1">
      <c r="A206" s="47"/>
      <c r="B206" s="63"/>
      <c r="C206" s="64"/>
      <c r="D206" s="63"/>
      <c r="E206" s="63"/>
      <c r="F206" s="63"/>
      <c r="G206" s="63"/>
      <c r="H206" s="63"/>
      <c r="J206" s="63"/>
      <c r="K206" s="63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2.75" customHeight="1">
      <c r="A207" s="47"/>
      <c r="B207" s="63"/>
      <c r="C207" s="64"/>
      <c r="D207" s="63"/>
      <c r="E207" s="63"/>
      <c r="F207" s="63"/>
      <c r="G207" s="63"/>
      <c r="H207" s="63"/>
      <c r="J207" s="63"/>
      <c r="K207" s="63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2.75" customHeight="1">
      <c r="A208" s="47"/>
      <c r="B208" s="63"/>
      <c r="C208" s="64"/>
      <c r="D208" s="63"/>
      <c r="E208" s="63"/>
      <c r="F208" s="63"/>
      <c r="G208" s="63"/>
      <c r="H208" s="63"/>
      <c r="J208" s="63"/>
      <c r="K208" s="63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2.75" customHeight="1">
      <c r="A209" s="47"/>
      <c r="B209" s="63"/>
      <c r="C209" s="64"/>
      <c r="D209" s="63"/>
      <c r="E209" s="63"/>
      <c r="F209" s="63"/>
      <c r="G209" s="63"/>
      <c r="H209" s="63"/>
      <c r="J209" s="63"/>
      <c r="K209" s="63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2.75" customHeight="1">
      <c r="A210" s="47"/>
      <c r="B210" s="63"/>
      <c r="C210" s="64"/>
      <c r="D210" s="63"/>
      <c r="E210" s="63"/>
      <c r="F210" s="63"/>
      <c r="G210" s="63"/>
      <c r="H210" s="63"/>
      <c r="J210" s="63"/>
      <c r="K210" s="63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2.75" customHeight="1">
      <c r="A211" s="47"/>
      <c r="B211" s="63"/>
      <c r="C211" s="64"/>
      <c r="D211" s="63"/>
      <c r="E211" s="63"/>
      <c r="F211" s="63"/>
      <c r="G211" s="63"/>
      <c r="H211" s="63"/>
      <c r="J211" s="63"/>
      <c r="K211" s="63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2.75" customHeight="1">
      <c r="A212" s="47"/>
      <c r="B212" s="63"/>
      <c r="C212" s="64"/>
      <c r="D212" s="63"/>
      <c r="E212" s="63"/>
      <c r="F212" s="63"/>
      <c r="G212" s="63"/>
      <c r="H212" s="63"/>
      <c r="J212" s="63"/>
      <c r="K212" s="63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2.75" customHeight="1">
      <c r="A213" s="47"/>
      <c r="B213" s="63"/>
      <c r="C213" s="64"/>
      <c r="D213" s="63"/>
      <c r="E213" s="63"/>
      <c r="F213" s="63"/>
      <c r="G213" s="63"/>
      <c r="H213" s="63"/>
      <c r="J213" s="63"/>
      <c r="K213" s="63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2.75" customHeight="1">
      <c r="A214" s="47"/>
      <c r="B214" s="63"/>
      <c r="C214" s="64"/>
      <c r="D214" s="63"/>
      <c r="E214" s="63"/>
      <c r="F214" s="63"/>
      <c r="G214" s="63"/>
      <c r="H214" s="63"/>
      <c r="J214" s="63"/>
      <c r="K214" s="63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2.75" customHeight="1">
      <c r="A215" s="47"/>
      <c r="B215" s="63"/>
      <c r="C215" s="64"/>
      <c r="D215" s="63"/>
      <c r="E215" s="63"/>
      <c r="F215" s="63"/>
      <c r="G215" s="63"/>
      <c r="H215" s="63"/>
      <c r="J215" s="63"/>
      <c r="K215" s="63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2.75" customHeight="1">
      <c r="A216" s="47"/>
      <c r="B216" s="63"/>
      <c r="C216" s="64"/>
      <c r="D216" s="63"/>
      <c r="E216" s="63"/>
      <c r="F216" s="63"/>
      <c r="G216" s="63"/>
      <c r="H216" s="63"/>
      <c r="J216" s="63"/>
      <c r="K216" s="63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2.75" customHeight="1">
      <c r="A217" s="47"/>
      <c r="B217" s="63"/>
      <c r="C217" s="64"/>
      <c r="D217" s="63"/>
      <c r="E217" s="63"/>
      <c r="F217" s="63"/>
      <c r="G217" s="63"/>
      <c r="H217" s="63"/>
      <c r="J217" s="63"/>
      <c r="K217" s="63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2.75" customHeight="1">
      <c r="A218" s="47"/>
      <c r="B218" s="63"/>
      <c r="C218" s="64"/>
      <c r="D218" s="63"/>
      <c r="E218" s="63"/>
      <c r="F218" s="63"/>
      <c r="G218" s="63"/>
      <c r="H218" s="63"/>
      <c r="J218" s="63"/>
      <c r="K218" s="63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2.75" customHeight="1">
      <c r="A219" s="47"/>
      <c r="B219" s="63"/>
      <c r="C219" s="64"/>
      <c r="D219" s="63"/>
      <c r="E219" s="63"/>
      <c r="F219" s="63"/>
      <c r="G219" s="63"/>
      <c r="H219" s="63"/>
      <c r="J219" s="63"/>
      <c r="K219" s="63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2.75" customHeight="1">
      <c r="A220" s="47"/>
      <c r="B220" s="63"/>
      <c r="C220" s="64"/>
      <c r="D220" s="63"/>
      <c r="E220" s="63"/>
      <c r="F220" s="63"/>
      <c r="G220" s="63"/>
      <c r="H220" s="63"/>
      <c r="J220" s="63"/>
      <c r="K220" s="63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2.75" customHeight="1">
      <c r="A221" s="47"/>
      <c r="B221" s="63"/>
      <c r="C221" s="64"/>
      <c r="D221" s="63"/>
      <c r="E221" s="63"/>
      <c r="F221" s="63"/>
      <c r="G221" s="63"/>
      <c r="H221" s="63"/>
      <c r="J221" s="63"/>
      <c r="K221" s="63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2.75" customHeight="1">
      <c r="A222" s="47"/>
      <c r="B222" s="63"/>
      <c r="C222" s="64"/>
      <c r="D222" s="63"/>
      <c r="E222" s="63"/>
      <c r="F222" s="63"/>
      <c r="G222" s="63"/>
      <c r="H222" s="63"/>
      <c r="J222" s="63"/>
      <c r="K222" s="63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2.75" customHeight="1">
      <c r="A223" s="47"/>
      <c r="B223" s="63"/>
      <c r="C223" s="64"/>
      <c r="D223" s="63"/>
      <c r="E223" s="63"/>
      <c r="F223" s="63"/>
      <c r="G223" s="63"/>
      <c r="H223" s="63"/>
      <c r="J223" s="63"/>
      <c r="K223" s="63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2.75" customHeight="1">
      <c r="A224" s="47"/>
      <c r="B224" s="63"/>
      <c r="C224" s="64"/>
      <c r="D224" s="63"/>
      <c r="E224" s="63"/>
      <c r="F224" s="63"/>
      <c r="G224" s="63"/>
      <c r="H224" s="63"/>
      <c r="J224" s="63"/>
      <c r="K224" s="63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2.75" customHeight="1">
      <c r="A225" s="47"/>
      <c r="B225" s="63"/>
      <c r="C225" s="64"/>
      <c r="D225" s="63"/>
      <c r="E225" s="63"/>
      <c r="F225" s="63"/>
      <c r="G225" s="63"/>
      <c r="H225" s="63"/>
      <c r="J225" s="63"/>
      <c r="K225" s="63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2.75" customHeight="1">
      <c r="A226" s="47"/>
      <c r="B226" s="63"/>
      <c r="C226" s="64"/>
      <c r="D226" s="63"/>
      <c r="E226" s="63"/>
      <c r="F226" s="63"/>
      <c r="G226" s="63"/>
      <c r="H226" s="63"/>
      <c r="J226" s="63"/>
      <c r="K226" s="63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2.75" customHeight="1">
      <c r="A227" s="47"/>
      <c r="B227" s="63"/>
      <c r="C227" s="64"/>
      <c r="D227" s="63"/>
      <c r="E227" s="63"/>
      <c r="F227" s="63"/>
      <c r="G227" s="63"/>
      <c r="H227" s="63"/>
      <c r="J227" s="63"/>
      <c r="K227" s="63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2.75" customHeight="1">
      <c r="A228" s="47"/>
      <c r="B228" s="63"/>
      <c r="C228" s="64"/>
      <c r="D228" s="63"/>
      <c r="E228" s="63"/>
      <c r="F228" s="63"/>
      <c r="G228" s="63"/>
      <c r="H228" s="63"/>
      <c r="J228" s="63"/>
      <c r="K228" s="63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2.75" customHeight="1">
      <c r="A229" s="47"/>
      <c r="B229" s="63"/>
      <c r="C229" s="64"/>
      <c r="D229" s="63"/>
      <c r="E229" s="63"/>
      <c r="F229" s="63"/>
      <c r="G229" s="63"/>
      <c r="H229" s="63"/>
      <c r="J229" s="63"/>
      <c r="K229" s="63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2.75" customHeight="1">
      <c r="A230" s="47"/>
      <c r="B230" s="63"/>
      <c r="C230" s="64"/>
      <c r="D230" s="63"/>
      <c r="E230" s="63"/>
      <c r="F230" s="63"/>
      <c r="G230" s="63"/>
      <c r="H230" s="63"/>
      <c r="J230" s="63"/>
      <c r="K230" s="63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2.75" customHeight="1">
      <c r="A231" s="47"/>
      <c r="B231" s="63"/>
      <c r="C231" s="64"/>
      <c r="D231" s="63"/>
      <c r="E231" s="63"/>
      <c r="F231" s="63"/>
      <c r="G231" s="63"/>
      <c r="H231" s="63"/>
      <c r="J231" s="63"/>
      <c r="K231" s="63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2.75" customHeight="1">
      <c r="A232" s="47"/>
      <c r="B232" s="63"/>
      <c r="C232" s="64"/>
      <c r="D232" s="63"/>
      <c r="E232" s="63"/>
      <c r="F232" s="63"/>
      <c r="G232" s="63"/>
      <c r="H232" s="63"/>
      <c r="J232" s="63"/>
      <c r="K232" s="63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2.75" customHeight="1">
      <c r="A233" s="47"/>
      <c r="B233" s="63"/>
      <c r="C233" s="64"/>
      <c r="D233" s="63"/>
      <c r="E233" s="63"/>
      <c r="F233" s="63"/>
      <c r="G233" s="63"/>
      <c r="H233" s="63"/>
      <c r="J233" s="63"/>
      <c r="K233" s="63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2.75" customHeight="1">
      <c r="A234" s="47"/>
      <c r="B234" s="63"/>
      <c r="C234" s="64"/>
      <c r="D234" s="63"/>
      <c r="E234" s="63"/>
      <c r="F234" s="63"/>
      <c r="G234" s="63"/>
      <c r="H234" s="63"/>
      <c r="J234" s="63"/>
      <c r="K234" s="63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2.75" customHeight="1">
      <c r="A235" s="47"/>
      <c r="B235" s="63"/>
      <c r="C235" s="64"/>
      <c r="D235" s="63"/>
      <c r="E235" s="63"/>
      <c r="F235" s="63"/>
      <c r="G235" s="63"/>
      <c r="H235" s="63"/>
      <c r="J235" s="63"/>
      <c r="K235" s="63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2.75" customHeight="1">
      <c r="A236" s="47"/>
      <c r="B236" s="63"/>
      <c r="C236" s="64"/>
      <c r="D236" s="63"/>
      <c r="E236" s="63"/>
      <c r="F236" s="63"/>
      <c r="G236" s="63"/>
      <c r="H236" s="63"/>
      <c r="J236" s="63"/>
      <c r="K236" s="63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2.75" customHeight="1">
      <c r="A237" s="47"/>
      <c r="B237" s="63"/>
      <c r="C237" s="64"/>
      <c r="D237" s="63"/>
      <c r="E237" s="63"/>
      <c r="F237" s="63"/>
      <c r="G237" s="63"/>
      <c r="H237" s="63"/>
      <c r="J237" s="63"/>
      <c r="K237" s="63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2.75" customHeight="1">
      <c r="A238" s="47"/>
      <c r="B238" s="63"/>
      <c r="C238" s="64"/>
      <c r="D238" s="63"/>
      <c r="E238" s="63"/>
      <c r="F238" s="63"/>
      <c r="G238" s="63"/>
      <c r="H238" s="63"/>
      <c r="J238" s="63"/>
      <c r="K238" s="63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2.75" customHeight="1">
      <c r="A239" s="47"/>
      <c r="B239" s="63"/>
      <c r="C239" s="64"/>
      <c r="D239" s="63"/>
      <c r="E239" s="63"/>
      <c r="F239" s="63"/>
      <c r="G239" s="63"/>
      <c r="H239" s="63"/>
      <c r="J239" s="63"/>
      <c r="K239" s="63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2.75" customHeight="1">
      <c r="A240" s="47"/>
      <c r="B240" s="63"/>
      <c r="C240" s="64"/>
      <c r="D240" s="63"/>
      <c r="E240" s="63"/>
      <c r="F240" s="63"/>
      <c r="G240" s="63"/>
      <c r="H240" s="63"/>
      <c r="J240" s="63"/>
      <c r="K240" s="63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2.75" customHeight="1">
      <c r="A241" s="47"/>
      <c r="B241" s="63"/>
      <c r="C241" s="64"/>
      <c r="D241" s="63"/>
      <c r="E241" s="63"/>
      <c r="F241" s="63"/>
      <c r="G241" s="63"/>
      <c r="H241" s="63"/>
      <c r="J241" s="63"/>
      <c r="K241" s="63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2.75" customHeight="1">
      <c r="A242" s="47"/>
      <c r="B242" s="63"/>
      <c r="C242" s="64"/>
      <c r="D242" s="63"/>
      <c r="E242" s="63"/>
      <c r="F242" s="63"/>
      <c r="G242" s="63"/>
      <c r="H242" s="63"/>
      <c r="J242" s="63"/>
      <c r="K242" s="63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2.75" customHeight="1">
      <c r="A243" s="47"/>
      <c r="B243" s="63"/>
      <c r="C243" s="64"/>
      <c r="D243" s="63"/>
      <c r="E243" s="63"/>
      <c r="F243" s="63"/>
      <c r="G243" s="63"/>
      <c r="H243" s="63"/>
      <c r="J243" s="63"/>
      <c r="K243" s="63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2.75" customHeight="1">
      <c r="A244" s="47"/>
      <c r="B244" s="63"/>
      <c r="C244" s="64"/>
      <c r="D244" s="63"/>
      <c r="E244" s="63"/>
      <c r="F244" s="63"/>
      <c r="G244" s="63"/>
      <c r="H244" s="63"/>
      <c r="J244" s="63"/>
      <c r="K244" s="63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2.75" customHeight="1">
      <c r="A245" s="47"/>
      <c r="B245" s="63"/>
      <c r="C245" s="64"/>
      <c r="D245" s="63"/>
      <c r="E245" s="63"/>
      <c r="F245" s="63"/>
      <c r="G245" s="63"/>
      <c r="H245" s="63"/>
      <c r="J245" s="63"/>
      <c r="K245" s="63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2.75" customHeight="1">
      <c r="A246" s="47"/>
      <c r="B246" s="63"/>
      <c r="C246" s="64"/>
      <c r="D246" s="63"/>
      <c r="E246" s="63"/>
      <c r="F246" s="63"/>
      <c r="G246" s="63"/>
      <c r="H246" s="63"/>
      <c r="J246" s="63"/>
      <c r="K246" s="63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2.75" customHeight="1">
      <c r="A247" s="47"/>
      <c r="B247" s="63"/>
      <c r="C247" s="64"/>
      <c r="D247" s="63"/>
      <c r="E247" s="63"/>
      <c r="F247" s="63"/>
      <c r="G247" s="63"/>
      <c r="H247" s="63"/>
      <c r="J247" s="63"/>
      <c r="K247" s="63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2.75" customHeight="1">
      <c r="A248" s="47"/>
      <c r="B248" s="63"/>
      <c r="C248" s="64"/>
      <c r="D248" s="63"/>
      <c r="E248" s="63"/>
      <c r="F248" s="63"/>
      <c r="G248" s="63"/>
      <c r="H248" s="63"/>
      <c r="J248" s="63"/>
      <c r="K248" s="63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2.75" customHeight="1">
      <c r="A249" s="47"/>
      <c r="B249" s="63"/>
      <c r="C249" s="64"/>
      <c r="D249" s="63"/>
      <c r="E249" s="63"/>
      <c r="F249" s="63"/>
      <c r="G249" s="63"/>
      <c r="H249" s="63"/>
      <c r="J249" s="63"/>
      <c r="K249" s="63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2.75" customHeight="1">
      <c r="A250" s="47"/>
      <c r="B250" s="63"/>
      <c r="C250" s="64"/>
      <c r="D250" s="63"/>
      <c r="E250" s="63"/>
      <c r="F250" s="63"/>
      <c r="G250" s="63"/>
      <c r="H250" s="63"/>
      <c r="J250" s="63"/>
      <c r="K250" s="63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2.75" customHeight="1">
      <c r="A251" s="47"/>
      <c r="B251" s="63"/>
      <c r="C251" s="64"/>
      <c r="D251" s="63"/>
      <c r="E251" s="63"/>
      <c r="F251" s="63"/>
      <c r="G251" s="63"/>
      <c r="H251" s="63"/>
      <c r="J251" s="63"/>
      <c r="K251" s="63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2.75" customHeight="1">
      <c r="A252" s="47"/>
      <c r="B252" s="63"/>
      <c r="C252" s="64"/>
      <c r="D252" s="63"/>
      <c r="E252" s="63"/>
      <c r="F252" s="63"/>
      <c r="G252" s="63"/>
      <c r="H252" s="63"/>
      <c r="J252" s="63"/>
      <c r="K252" s="63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2.75" customHeight="1">
      <c r="A253" s="47"/>
      <c r="B253" s="63"/>
      <c r="C253" s="64"/>
      <c r="D253" s="63"/>
      <c r="E253" s="63"/>
      <c r="F253" s="63"/>
      <c r="G253" s="63"/>
      <c r="H253" s="63"/>
      <c r="J253" s="63"/>
      <c r="K253" s="63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2.75" customHeight="1">
      <c r="A254" s="47"/>
      <c r="B254" s="63"/>
      <c r="C254" s="64"/>
      <c r="D254" s="63"/>
      <c r="E254" s="63"/>
      <c r="F254" s="63"/>
      <c r="G254" s="63"/>
      <c r="H254" s="63"/>
      <c r="J254" s="63"/>
      <c r="K254" s="63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2.75" customHeight="1">
      <c r="A255" s="47"/>
      <c r="B255" s="63"/>
      <c r="C255" s="64"/>
      <c r="D255" s="63"/>
      <c r="E255" s="63"/>
      <c r="F255" s="63"/>
      <c r="G255" s="63"/>
      <c r="H255" s="63"/>
      <c r="J255" s="63"/>
      <c r="K255" s="63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2.75" customHeight="1">
      <c r="A256" s="47"/>
      <c r="B256" s="63"/>
      <c r="C256" s="64"/>
      <c r="D256" s="63"/>
      <c r="E256" s="63"/>
      <c r="F256" s="63"/>
      <c r="G256" s="63"/>
      <c r="H256" s="63"/>
      <c r="J256" s="63"/>
      <c r="K256" s="63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2.75" customHeight="1">
      <c r="A257" s="47"/>
      <c r="B257" s="63"/>
      <c r="C257" s="64"/>
      <c r="D257" s="63"/>
      <c r="E257" s="63"/>
      <c r="F257" s="63"/>
      <c r="G257" s="63"/>
      <c r="H257" s="63"/>
      <c r="J257" s="63"/>
      <c r="K257" s="63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2.75" customHeight="1">
      <c r="A258" s="47"/>
      <c r="B258" s="63"/>
      <c r="C258" s="64"/>
      <c r="D258" s="63"/>
      <c r="E258" s="63"/>
      <c r="F258" s="63"/>
      <c r="G258" s="63"/>
      <c r="H258" s="63"/>
      <c r="J258" s="63"/>
      <c r="K258" s="63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2.75" customHeight="1">
      <c r="A259" s="47"/>
      <c r="B259" s="63"/>
      <c r="C259" s="64"/>
      <c r="D259" s="63"/>
      <c r="E259" s="63"/>
      <c r="F259" s="63"/>
      <c r="G259" s="63"/>
      <c r="H259" s="63"/>
      <c r="J259" s="63"/>
      <c r="K259" s="63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2.75" customHeight="1">
      <c r="A260" s="47"/>
      <c r="B260" s="63"/>
      <c r="C260" s="64"/>
      <c r="D260" s="63"/>
      <c r="E260" s="63"/>
      <c r="F260" s="63"/>
      <c r="G260" s="63"/>
      <c r="H260" s="63"/>
      <c r="J260" s="63"/>
      <c r="K260" s="63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2.75" customHeight="1">
      <c r="A261" s="47"/>
      <c r="B261" s="63"/>
      <c r="C261" s="64"/>
      <c r="D261" s="63"/>
      <c r="E261" s="63"/>
      <c r="F261" s="63"/>
      <c r="G261" s="63"/>
      <c r="H261" s="63"/>
      <c r="J261" s="63"/>
      <c r="K261" s="63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2.75" customHeight="1">
      <c r="A262" s="47"/>
      <c r="B262" s="63"/>
      <c r="C262" s="64"/>
      <c r="D262" s="63"/>
      <c r="E262" s="63"/>
      <c r="F262" s="63"/>
      <c r="G262" s="63"/>
      <c r="H262" s="63"/>
      <c r="J262" s="63"/>
      <c r="K262" s="63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2.75" customHeight="1">
      <c r="A263" s="47"/>
      <c r="B263" s="63"/>
      <c r="C263" s="64"/>
      <c r="D263" s="63"/>
      <c r="E263" s="63"/>
      <c r="F263" s="63"/>
      <c r="G263" s="63"/>
      <c r="H263" s="63"/>
      <c r="J263" s="63"/>
      <c r="K263" s="63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2.75" customHeight="1">
      <c r="A264" s="47"/>
      <c r="B264" s="63"/>
      <c r="C264" s="64"/>
      <c r="D264" s="63"/>
      <c r="E264" s="63"/>
      <c r="F264" s="63"/>
      <c r="G264" s="63"/>
      <c r="H264" s="63"/>
      <c r="J264" s="63"/>
      <c r="K264" s="63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2.75" customHeight="1">
      <c r="A265" s="47"/>
      <c r="B265" s="63"/>
      <c r="C265" s="64"/>
      <c r="D265" s="63"/>
      <c r="E265" s="63"/>
      <c r="F265" s="63"/>
      <c r="G265" s="63"/>
      <c r="H265" s="63"/>
      <c r="J265" s="63"/>
      <c r="K265" s="63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2.75" customHeight="1">
      <c r="A266" s="47"/>
      <c r="B266" s="63"/>
      <c r="C266" s="64"/>
      <c r="D266" s="63"/>
      <c r="E266" s="63"/>
      <c r="F266" s="63"/>
      <c r="G266" s="63"/>
      <c r="H266" s="63"/>
      <c r="J266" s="63"/>
      <c r="K266" s="63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2.75" customHeight="1">
      <c r="A267" s="47"/>
      <c r="B267" s="63"/>
      <c r="C267" s="64"/>
      <c r="D267" s="63"/>
      <c r="E267" s="63"/>
      <c r="F267" s="63"/>
      <c r="G267" s="63"/>
      <c r="H267" s="63"/>
      <c r="J267" s="63"/>
      <c r="K267" s="63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2.75" customHeight="1">
      <c r="A268" s="47"/>
      <c r="B268" s="63"/>
      <c r="C268" s="64"/>
      <c r="D268" s="63"/>
      <c r="E268" s="63"/>
      <c r="F268" s="63"/>
      <c r="G268" s="63"/>
      <c r="H268" s="63"/>
      <c r="J268" s="63"/>
      <c r="K268" s="63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2.75" customHeight="1">
      <c r="A269" s="47"/>
      <c r="B269" s="63"/>
      <c r="C269" s="64"/>
      <c r="D269" s="63"/>
      <c r="E269" s="63"/>
      <c r="F269" s="63"/>
      <c r="G269" s="63"/>
      <c r="H269" s="63"/>
      <c r="J269" s="63"/>
      <c r="K269" s="63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2.75" customHeight="1">
      <c r="A270" s="47"/>
      <c r="B270" s="63"/>
      <c r="C270" s="64"/>
      <c r="D270" s="63"/>
      <c r="E270" s="63"/>
      <c r="F270" s="63"/>
      <c r="G270" s="63"/>
      <c r="H270" s="63"/>
      <c r="J270" s="63"/>
      <c r="K270" s="63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2.75" customHeight="1">
      <c r="A271" s="47"/>
      <c r="B271" s="63"/>
      <c r="C271" s="64"/>
      <c r="D271" s="63"/>
      <c r="E271" s="63"/>
      <c r="F271" s="63"/>
      <c r="G271" s="63"/>
      <c r="H271" s="63"/>
      <c r="J271" s="63"/>
      <c r="K271" s="63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2.75" customHeight="1">
      <c r="A272" s="47"/>
      <c r="B272" s="63"/>
      <c r="C272" s="64"/>
      <c r="D272" s="63"/>
      <c r="E272" s="63"/>
      <c r="F272" s="63"/>
      <c r="G272" s="63"/>
      <c r="H272" s="63"/>
      <c r="J272" s="63"/>
      <c r="K272" s="63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2.75" customHeight="1">
      <c r="A273" s="47"/>
      <c r="B273" s="63"/>
      <c r="C273" s="64"/>
      <c r="D273" s="63"/>
      <c r="E273" s="63"/>
      <c r="F273" s="63"/>
      <c r="G273" s="63"/>
      <c r="H273" s="63"/>
      <c r="J273" s="63"/>
      <c r="K273" s="63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2.75" customHeight="1">
      <c r="A274" s="47"/>
      <c r="B274" s="63"/>
      <c r="C274" s="64"/>
      <c r="D274" s="63"/>
      <c r="E274" s="63"/>
      <c r="F274" s="63"/>
      <c r="G274" s="63"/>
      <c r="H274" s="63"/>
      <c r="J274" s="63"/>
      <c r="K274" s="63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2.75" customHeight="1">
      <c r="A275" s="47"/>
      <c r="B275" s="63"/>
      <c r="C275" s="64"/>
      <c r="D275" s="63"/>
      <c r="E275" s="63"/>
      <c r="F275" s="63"/>
      <c r="G275" s="63"/>
      <c r="H275" s="63"/>
      <c r="J275" s="63"/>
      <c r="K275" s="63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2.75" customHeight="1">
      <c r="A276" s="47"/>
      <c r="B276" s="63"/>
      <c r="C276" s="64"/>
      <c r="D276" s="63"/>
      <c r="E276" s="63"/>
      <c r="F276" s="63"/>
      <c r="G276" s="63"/>
      <c r="H276" s="63"/>
      <c r="J276" s="63"/>
      <c r="K276" s="63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2.75" customHeight="1">
      <c r="A277" s="47"/>
      <c r="B277" s="63"/>
      <c r="C277" s="64"/>
      <c r="D277" s="63"/>
      <c r="E277" s="63"/>
      <c r="F277" s="63"/>
      <c r="G277" s="63"/>
      <c r="H277" s="63"/>
      <c r="J277" s="63"/>
      <c r="K277" s="63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2.75" customHeight="1">
      <c r="A278" s="47"/>
      <c r="B278" s="63"/>
      <c r="C278" s="64"/>
      <c r="D278" s="63"/>
      <c r="E278" s="63"/>
      <c r="F278" s="63"/>
      <c r="G278" s="63"/>
      <c r="H278" s="63"/>
      <c r="J278" s="63"/>
      <c r="K278" s="63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2.75" customHeight="1">
      <c r="A279" s="47"/>
      <c r="B279" s="63"/>
      <c r="C279" s="64"/>
      <c r="D279" s="63"/>
      <c r="E279" s="63"/>
      <c r="F279" s="63"/>
      <c r="G279" s="63"/>
      <c r="H279" s="63"/>
      <c r="J279" s="63"/>
      <c r="K279" s="63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2.75" customHeight="1">
      <c r="A280" s="47"/>
      <c r="B280" s="63"/>
      <c r="C280" s="64"/>
      <c r="D280" s="63"/>
      <c r="E280" s="63"/>
      <c r="F280" s="63"/>
      <c r="G280" s="63"/>
      <c r="H280" s="63"/>
      <c r="J280" s="63"/>
      <c r="K280" s="63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2.75" customHeight="1">
      <c r="A281" s="47"/>
      <c r="B281" s="63"/>
      <c r="C281" s="64"/>
      <c r="D281" s="63"/>
      <c r="E281" s="63"/>
      <c r="F281" s="63"/>
      <c r="G281" s="63"/>
      <c r="H281" s="63"/>
      <c r="J281" s="63"/>
      <c r="K281" s="63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2.75" customHeight="1">
      <c r="A282" s="47"/>
      <c r="B282" s="63"/>
      <c r="C282" s="64"/>
      <c r="D282" s="63"/>
      <c r="E282" s="63"/>
      <c r="F282" s="63"/>
      <c r="G282" s="63"/>
      <c r="H282" s="63"/>
      <c r="J282" s="63"/>
      <c r="K282" s="63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2.75" customHeight="1">
      <c r="A283" s="47"/>
      <c r="B283" s="63"/>
      <c r="C283" s="64"/>
      <c r="D283" s="63"/>
      <c r="E283" s="63"/>
      <c r="F283" s="63"/>
      <c r="G283" s="63"/>
      <c r="H283" s="63"/>
      <c r="J283" s="63"/>
      <c r="K283" s="63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2.75" customHeight="1">
      <c r="A284" s="47"/>
      <c r="B284" s="63"/>
      <c r="C284" s="64"/>
      <c r="D284" s="63"/>
      <c r="E284" s="63"/>
      <c r="F284" s="63"/>
      <c r="G284" s="63"/>
      <c r="H284" s="63"/>
      <c r="J284" s="63"/>
      <c r="K284" s="63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2.75" customHeight="1">
      <c r="A285" s="47"/>
      <c r="B285" s="63"/>
      <c r="C285" s="64"/>
      <c r="D285" s="63"/>
      <c r="E285" s="63"/>
      <c r="F285" s="63"/>
      <c r="G285" s="63"/>
      <c r="H285" s="63"/>
      <c r="J285" s="63"/>
      <c r="K285" s="63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2.75" customHeight="1">
      <c r="A286" s="47"/>
      <c r="B286" s="63"/>
      <c r="C286" s="64"/>
      <c r="D286" s="63"/>
      <c r="E286" s="63"/>
      <c r="F286" s="63"/>
      <c r="G286" s="63"/>
      <c r="H286" s="63"/>
      <c r="J286" s="63"/>
      <c r="K286" s="63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2.75" customHeight="1">
      <c r="A287" s="47"/>
      <c r="B287" s="63"/>
      <c r="C287" s="64"/>
      <c r="D287" s="63"/>
      <c r="E287" s="63"/>
      <c r="F287" s="63"/>
      <c r="G287" s="63"/>
      <c r="H287" s="63"/>
      <c r="J287" s="63"/>
      <c r="K287" s="63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2.75" customHeight="1">
      <c r="A288" s="47"/>
      <c r="B288" s="63"/>
      <c r="C288" s="64"/>
      <c r="D288" s="63"/>
      <c r="E288" s="63"/>
      <c r="F288" s="63"/>
      <c r="G288" s="63"/>
      <c r="H288" s="63"/>
      <c r="J288" s="63"/>
      <c r="K288" s="63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2.75" customHeight="1">
      <c r="A289" s="47"/>
      <c r="B289" s="63"/>
      <c r="C289" s="64"/>
      <c r="D289" s="63"/>
      <c r="E289" s="63"/>
      <c r="F289" s="63"/>
      <c r="G289" s="63"/>
      <c r="H289" s="63"/>
      <c r="J289" s="63"/>
      <c r="K289" s="63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2.75" customHeight="1">
      <c r="A290" s="47"/>
      <c r="B290" s="63"/>
      <c r="C290" s="64"/>
      <c r="D290" s="63"/>
      <c r="E290" s="63"/>
      <c r="F290" s="63"/>
      <c r="G290" s="63"/>
      <c r="H290" s="63"/>
      <c r="J290" s="63"/>
      <c r="K290" s="63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2.75" customHeight="1">
      <c r="A291" s="47"/>
      <c r="B291" s="63"/>
      <c r="C291" s="64"/>
      <c r="D291" s="63"/>
      <c r="E291" s="63"/>
      <c r="F291" s="63"/>
      <c r="G291" s="63"/>
      <c r="H291" s="63"/>
      <c r="J291" s="63"/>
      <c r="K291" s="63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2.75" customHeight="1">
      <c r="A292" s="47"/>
      <c r="B292" s="63"/>
      <c r="C292" s="64"/>
      <c r="D292" s="63"/>
      <c r="E292" s="63"/>
      <c r="F292" s="63"/>
      <c r="G292" s="63"/>
      <c r="H292" s="63"/>
      <c r="J292" s="63"/>
      <c r="K292" s="63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2.75" customHeight="1">
      <c r="A293" s="47"/>
      <c r="B293" s="63"/>
      <c r="C293" s="64"/>
      <c r="D293" s="63"/>
      <c r="E293" s="63"/>
      <c r="F293" s="63"/>
      <c r="G293" s="63"/>
      <c r="H293" s="63"/>
      <c r="J293" s="63"/>
      <c r="K293" s="63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2.75" customHeight="1">
      <c r="A294" s="47"/>
      <c r="B294" s="63"/>
      <c r="C294" s="64"/>
      <c r="D294" s="63"/>
      <c r="E294" s="63"/>
      <c r="F294" s="63"/>
      <c r="G294" s="63"/>
      <c r="H294" s="63"/>
      <c r="J294" s="63"/>
      <c r="K294" s="63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2.75" customHeight="1">
      <c r="A295" s="47"/>
      <c r="B295" s="63"/>
      <c r="C295" s="64"/>
      <c r="D295" s="63"/>
      <c r="E295" s="63"/>
      <c r="F295" s="63"/>
      <c r="G295" s="63"/>
      <c r="H295" s="63"/>
      <c r="J295" s="63"/>
      <c r="K295" s="63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2.75" customHeight="1">
      <c r="A296" s="47"/>
      <c r="B296" s="63"/>
      <c r="C296" s="64"/>
      <c r="D296" s="63"/>
      <c r="E296" s="63"/>
      <c r="F296" s="63"/>
      <c r="G296" s="63"/>
      <c r="H296" s="63"/>
      <c r="J296" s="63"/>
      <c r="K296" s="63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2.75" customHeight="1">
      <c r="A297" s="47"/>
      <c r="B297" s="63"/>
      <c r="C297" s="64"/>
      <c r="D297" s="63"/>
      <c r="E297" s="63"/>
      <c r="F297" s="63"/>
      <c r="G297" s="63"/>
      <c r="H297" s="63"/>
      <c r="J297" s="63"/>
      <c r="K297" s="63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2.75" customHeight="1">
      <c r="A298" s="47"/>
      <c r="B298" s="63"/>
      <c r="C298" s="64"/>
      <c r="D298" s="63"/>
      <c r="E298" s="63"/>
      <c r="F298" s="63"/>
      <c r="G298" s="63"/>
      <c r="H298" s="63"/>
      <c r="J298" s="63"/>
      <c r="K298" s="63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2.75" customHeight="1">
      <c r="A299" s="47"/>
      <c r="B299" s="63"/>
      <c r="C299" s="64"/>
      <c r="D299" s="63"/>
      <c r="E299" s="63"/>
      <c r="F299" s="63"/>
      <c r="G299" s="63"/>
      <c r="H299" s="63"/>
      <c r="J299" s="63"/>
      <c r="K299" s="63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2.75" customHeight="1">
      <c r="A300" s="47"/>
      <c r="B300" s="63"/>
      <c r="C300" s="64"/>
      <c r="D300" s="63"/>
      <c r="E300" s="63"/>
      <c r="F300" s="63"/>
      <c r="G300" s="63"/>
      <c r="H300" s="63"/>
      <c r="J300" s="63"/>
      <c r="K300" s="63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2.75" customHeight="1">
      <c r="A301" s="47"/>
      <c r="B301" s="63"/>
      <c r="C301" s="64"/>
      <c r="D301" s="63"/>
      <c r="E301" s="63"/>
      <c r="F301" s="63"/>
      <c r="G301" s="63"/>
      <c r="H301" s="63"/>
      <c r="J301" s="63"/>
      <c r="K301" s="63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2.75" customHeight="1">
      <c r="A302" s="47"/>
      <c r="B302" s="63"/>
      <c r="C302" s="64"/>
      <c r="D302" s="63"/>
      <c r="E302" s="63"/>
      <c r="F302" s="63"/>
      <c r="G302" s="63"/>
      <c r="H302" s="63"/>
      <c r="J302" s="63"/>
      <c r="K302" s="63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2.75" customHeight="1">
      <c r="A303" s="47"/>
      <c r="B303" s="63"/>
      <c r="C303" s="64"/>
      <c r="D303" s="63"/>
      <c r="E303" s="63"/>
      <c r="F303" s="63"/>
      <c r="G303" s="63"/>
      <c r="H303" s="63"/>
      <c r="J303" s="63"/>
      <c r="K303" s="63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2.75" customHeight="1">
      <c r="A304" s="47"/>
      <c r="B304" s="63"/>
      <c r="C304" s="64"/>
      <c r="D304" s="63"/>
      <c r="E304" s="63"/>
      <c r="F304" s="63"/>
      <c r="G304" s="63"/>
      <c r="H304" s="63"/>
      <c r="J304" s="63"/>
      <c r="K304" s="63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2.75" customHeight="1">
      <c r="A305" s="47"/>
      <c r="B305" s="63"/>
      <c r="C305" s="64"/>
      <c r="D305" s="63"/>
      <c r="E305" s="63"/>
      <c r="F305" s="63"/>
      <c r="G305" s="63"/>
      <c r="H305" s="63"/>
      <c r="J305" s="63"/>
      <c r="K305" s="63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2.75" customHeight="1">
      <c r="A306" s="47"/>
      <c r="B306" s="63"/>
      <c r="C306" s="64"/>
      <c r="D306" s="63"/>
      <c r="E306" s="63"/>
      <c r="F306" s="63"/>
      <c r="G306" s="63"/>
      <c r="H306" s="63"/>
      <c r="J306" s="63"/>
      <c r="K306" s="63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2.75" customHeight="1">
      <c r="A307" s="47"/>
      <c r="B307" s="63"/>
      <c r="C307" s="64"/>
      <c r="D307" s="63"/>
      <c r="E307" s="63"/>
      <c r="F307" s="63"/>
      <c r="G307" s="63"/>
      <c r="H307" s="63"/>
      <c r="J307" s="63"/>
      <c r="K307" s="63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2.75" customHeight="1">
      <c r="A308" s="47"/>
      <c r="B308" s="63"/>
      <c r="C308" s="64"/>
      <c r="D308" s="63"/>
      <c r="E308" s="63"/>
      <c r="F308" s="63"/>
      <c r="G308" s="63"/>
      <c r="H308" s="63"/>
      <c r="J308" s="63"/>
      <c r="K308" s="63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2.75" customHeight="1">
      <c r="A309" s="47"/>
      <c r="B309" s="63"/>
      <c r="C309" s="64"/>
      <c r="D309" s="63"/>
      <c r="E309" s="63"/>
      <c r="F309" s="63"/>
      <c r="G309" s="63"/>
      <c r="H309" s="63"/>
      <c r="J309" s="63"/>
      <c r="K309" s="63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2.75" customHeight="1">
      <c r="A310" s="47"/>
      <c r="B310" s="63"/>
      <c r="C310" s="64"/>
      <c r="D310" s="63"/>
      <c r="E310" s="63"/>
      <c r="F310" s="63"/>
      <c r="G310" s="63"/>
      <c r="H310" s="63"/>
      <c r="J310" s="63"/>
      <c r="K310" s="63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2.75" customHeight="1">
      <c r="A311" s="47"/>
      <c r="B311" s="63"/>
      <c r="C311" s="64"/>
      <c r="D311" s="63"/>
      <c r="E311" s="63"/>
      <c r="F311" s="63"/>
      <c r="G311" s="63"/>
      <c r="H311" s="63"/>
      <c r="J311" s="63"/>
      <c r="K311" s="63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2.75" customHeight="1">
      <c r="A312" s="47"/>
      <c r="B312" s="63"/>
      <c r="C312" s="64"/>
      <c r="D312" s="63"/>
      <c r="E312" s="63"/>
      <c r="F312" s="63"/>
      <c r="G312" s="63"/>
      <c r="H312" s="63"/>
      <c r="J312" s="63"/>
      <c r="K312" s="63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2.75" customHeight="1">
      <c r="A313" s="47"/>
      <c r="B313" s="63"/>
      <c r="C313" s="64"/>
      <c r="D313" s="63"/>
      <c r="E313" s="63"/>
      <c r="F313" s="63"/>
      <c r="G313" s="63"/>
      <c r="H313" s="63"/>
      <c r="J313" s="63"/>
      <c r="K313" s="63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2.75" customHeight="1">
      <c r="A314" s="47"/>
      <c r="B314" s="63"/>
      <c r="C314" s="64"/>
      <c r="D314" s="63"/>
      <c r="E314" s="63"/>
      <c r="F314" s="63"/>
      <c r="G314" s="63"/>
      <c r="H314" s="63"/>
      <c r="J314" s="63"/>
      <c r="K314" s="63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2.75" customHeight="1">
      <c r="A315" s="47"/>
      <c r="B315" s="63"/>
      <c r="C315" s="64"/>
      <c r="D315" s="63"/>
      <c r="E315" s="63"/>
      <c r="F315" s="63"/>
      <c r="G315" s="63"/>
      <c r="H315" s="63"/>
      <c r="J315" s="63"/>
      <c r="K315" s="63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2.75" customHeight="1">
      <c r="A316" s="47"/>
      <c r="B316" s="63"/>
      <c r="C316" s="64"/>
      <c r="D316" s="63"/>
      <c r="E316" s="63"/>
      <c r="F316" s="63"/>
      <c r="G316" s="63"/>
      <c r="H316" s="63"/>
      <c r="J316" s="63"/>
      <c r="K316" s="63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2.75" customHeight="1">
      <c r="A317" s="47"/>
      <c r="B317" s="63"/>
      <c r="C317" s="64"/>
      <c r="D317" s="63"/>
      <c r="E317" s="63"/>
      <c r="F317" s="63"/>
      <c r="G317" s="63"/>
      <c r="H317" s="63"/>
      <c r="J317" s="63"/>
      <c r="K317" s="63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2.75" customHeight="1">
      <c r="A318" s="47"/>
      <c r="B318" s="63"/>
      <c r="C318" s="64"/>
      <c r="D318" s="63"/>
      <c r="E318" s="63"/>
      <c r="F318" s="63"/>
      <c r="G318" s="63"/>
      <c r="H318" s="63"/>
      <c r="J318" s="63"/>
      <c r="K318" s="63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2.75" customHeight="1">
      <c r="A319" s="47"/>
      <c r="B319" s="63"/>
      <c r="C319" s="64"/>
      <c r="D319" s="63"/>
      <c r="E319" s="63"/>
      <c r="F319" s="63"/>
      <c r="G319" s="63"/>
      <c r="H319" s="63"/>
      <c r="J319" s="63"/>
      <c r="K319" s="63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2.75" customHeight="1">
      <c r="A320" s="47"/>
      <c r="B320" s="63"/>
      <c r="C320" s="64"/>
      <c r="D320" s="63"/>
      <c r="E320" s="63"/>
      <c r="F320" s="63"/>
      <c r="G320" s="63"/>
      <c r="H320" s="63"/>
      <c r="J320" s="63"/>
      <c r="K320" s="63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2.75" customHeight="1">
      <c r="A321" s="47"/>
      <c r="B321" s="63"/>
      <c r="C321" s="64"/>
      <c r="D321" s="63"/>
      <c r="E321" s="63"/>
      <c r="F321" s="63"/>
      <c r="G321" s="63"/>
      <c r="H321" s="63"/>
      <c r="J321" s="63"/>
      <c r="K321" s="63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2.75" customHeight="1">
      <c r="A322" s="47"/>
      <c r="B322" s="63"/>
      <c r="C322" s="64"/>
      <c r="D322" s="63"/>
      <c r="E322" s="63"/>
      <c r="F322" s="63"/>
      <c r="G322" s="63"/>
      <c r="H322" s="63"/>
      <c r="J322" s="63"/>
      <c r="K322" s="63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2.75" customHeight="1">
      <c r="A323" s="47"/>
      <c r="B323" s="63"/>
      <c r="C323" s="64"/>
      <c r="D323" s="63"/>
      <c r="E323" s="63"/>
      <c r="F323" s="63"/>
      <c r="G323" s="63"/>
      <c r="H323" s="63"/>
      <c r="J323" s="63"/>
      <c r="K323" s="63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2.75" customHeight="1">
      <c r="A324" s="47"/>
      <c r="B324" s="63"/>
      <c r="C324" s="64"/>
      <c r="D324" s="63"/>
      <c r="E324" s="63"/>
      <c r="F324" s="63"/>
      <c r="G324" s="63"/>
      <c r="H324" s="63"/>
      <c r="J324" s="63"/>
      <c r="K324" s="63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2.75" customHeight="1">
      <c r="A325" s="47"/>
      <c r="B325" s="63"/>
      <c r="C325" s="64"/>
      <c r="D325" s="63"/>
      <c r="E325" s="63"/>
      <c r="F325" s="63"/>
      <c r="G325" s="63"/>
      <c r="H325" s="63"/>
      <c r="J325" s="63"/>
      <c r="K325" s="63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2.75" customHeight="1">
      <c r="A326" s="47"/>
      <c r="B326" s="63"/>
      <c r="C326" s="64"/>
      <c r="D326" s="63"/>
      <c r="E326" s="63"/>
      <c r="F326" s="63"/>
      <c r="G326" s="63"/>
      <c r="H326" s="63"/>
      <c r="J326" s="63"/>
      <c r="K326" s="63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2.75" customHeight="1">
      <c r="A327" s="47"/>
      <c r="B327" s="63"/>
      <c r="C327" s="64"/>
      <c r="D327" s="63"/>
      <c r="E327" s="63"/>
      <c r="F327" s="63"/>
      <c r="G327" s="63"/>
      <c r="H327" s="63"/>
      <c r="J327" s="63"/>
      <c r="K327" s="63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2.75" customHeight="1">
      <c r="A328" s="47"/>
      <c r="B328" s="63"/>
      <c r="C328" s="64"/>
      <c r="D328" s="63"/>
      <c r="E328" s="63"/>
      <c r="F328" s="63"/>
      <c r="G328" s="63"/>
      <c r="H328" s="63"/>
      <c r="J328" s="63"/>
      <c r="K328" s="63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2.75" customHeight="1">
      <c r="A329" s="47"/>
      <c r="B329" s="63"/>
      <c r="C329" s="64"/>
      <c r="D329" s="63"/>
      <c r="E329" s="63"/>
      <c r="F329" s="63"/>
      <c r="G329" s="63"/>
      <c r="H329" s="63"/>
      <c r="J329" s="63"/>
      <c r="K329" s="63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2.75" customHeight="1">
      <c r="A330" s="47"/>
      <c r="B330" s="63"/>
      <c r="C330" s="64"/>
      <c r="D330" s="63"/>
      <c r="E330" s="63"/>
      <c r="F330" s="63"/>
      <c r="G330" s="63"/>
      <c r="H330" s="63"/>
      <c r="J330" s="63"/>
      <c r="K330" s="63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2.75" customHeight="1">
      <c r="A331" s="47"/>
      <c r="B331" s="63"/>
      <c r="C331" s="64"/>
      <c r="D331" s="63"/>
      <c r="E331" s="63"/>
      <c r="F331" s="63"/>
      <c r="G331" s="63"/>
      <c r="H331" s="63"/>
      <c r="J331" s="63"/>
      <c r="K331" s="63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2.75" customHeight="1">
      <c r="A332" s="47"/>
      <c r="B332" s="63"/>
      <c r="C332" s="64"/>
      <c r="D332" s="63"/>
      <c r="E332" s="63"/>
      <c r="F332" s="63"/>
      <c r="G332" s="63"/>
      <c r="H332" s="63"/>
      <c r="J332" s="63"/>
      <c r="K332" s="63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2.75" customHeight="1">
      <c r="A333" s="47"/>
      <c r="B333" s="63"/>
      <c r="C333" s="64"/>
      <c r="D333" s="63"/>
      <c r="E333" s="63"/>
      <c r="F333" s="63"/>
      <c r="G333" s="63"/>
      <c r="H333" s="63"/>
      <c r="J333" s="63"/>
      <c r="K333" s="63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2.75" customHeight="1">
      <c r="A334" s="47"/>
      <c r="B334" s="63"/>
      <c r="C334" s="64"/>
      <c r="D334" s="63"/>
      <c r="E334" s="63"/>
      <c r="F334" s="63"/>
      <c r="G334" s="63"/>
      <c r="H334" s="63"/>
      <c r="J334" s="63"/>
      <c r="K334" s="63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2.75" customHeight="1">
      <c r="A335" s="47"/>
      <c r="B335" s="63"/>
      <c r="C335" s="64"/>
      <c r="D335" s="63"/>
      <c r="E335" s="63"/>
      <c r="F335" s="63"/>
      <c r="G335" s="63"/>
      <c r="H335" s="63"/>
      <c r="J335" s="63"/>
      <c r="K335" s="63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2.75" customHeight="1">
      <c r="A336" s="47"/>
      <c r="B336" s="63"/>
      <c r="C336" s="64"/>
      <c r="D336" s="63"/>
      <c r="E336" s="63"/>
      <c r="F336" s="63"/>
      <c r="G336" s="63"/>
      <c r="H336" s="63"/>
      <c r="J336" s="63"/>
      <c r="K336" s="63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2.75" customHeight="1">
      <c r="A337" s="47"/>
      <c r="B337" s="63"/>
      <c r="C337" s="64"/>
      <c r="D337" s="63"/>
      <c r="E337" s="63"/>
      <c r="F337" s="63"/>
      <c r="G337" s="63"/>
      <c r="H337" s="63"/>
      <c r="J337" s="63"/>
      <c r="K337" s="63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2.75" customHeight="1">
      <c r="A338" s="47"/>
      <c r="B338" s="63"/>
      <c r="C338" s="64"/>
      <c r="D338" s="63"/>
      <c r="E338" s="63"/>
      <c r="F338" s="63"/>
      <c r="G338" s="63"/>
      <c r="H338" s="63"/>
      <c r="J338" s="63"/>
      <c r="K338" s="63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2.75" customHeight="1">
      <c r="A339" s="47"/>
      <c r="B339" s="63"/>
      <c r="C339" s="64"/>
      <c r="D339" s="63"/>
      <c r="E339" s="63"/>
      <c r="F339" s="63"/>
      <c r="G339" s="63"/>
      <c r="H339" s="63"/>
      <c r="J339" s="63"/>
      <c r="K339" s="63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2.75" customHeight="1">
      <c r="A340" s="47"/>
      <c r="B340" s="63"/>
      <c r="C340" s="64"/>
      <c r="D340" s="63"/>
      <c r="E340" s="63"/>
      <c r="F340" s="63"/>
      <c r="G340" s="63"/>
      <c r="H340" s="63"/>
      <c r="J340" s="63"/>
      <c r="K340" s="63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2.75" customHeight="1">
      <c r="A341" s="47"/>
      <c r="B341" s="63"/>
      <c r="C341" s="64"/>
      <c r="D341" s="63"/>
      <c r="E341" s="63"/>
      <c r="F341" s="63"/>
      <c r="G341" s="63"/>
      <c r="H341" s="63"/>
      <c r="J341" s="63"/>
      <c r="K341" s="63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2.75" customHeight="1">
      <c r="A342" s="47"/>
      <c r="B342" s="63"/>
      <c r="C342" s="64"/>
      <c r="D342" s="63"/>
      <c r="E342" s="63"/>
      <c r="F342" s="63"/>
      <c r="G342" s="63"/>
      <c r="H342" s="63"/>
      <c r="J342" s="63"/>
      <c r="K342" s="63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2.75" customHeight="1">
      <c r="A343" s="47"/>
      <c r="B343" s="63"/>
      <c r="C343" s="64"/>
      <c r="D343" s="63"/>
      <c r="E343" s="63"/>
      <c r="F343" s="63"/>
      <c r="G343" s="63"/>
      <c r="H343" s="63"/>
      <c r="J343" s="63"/>
      <c r="K343" s="63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2.75" customHeight="1">
      <c r="A344" s="47"/>
      <c r="B344" s="63"/>
      <c r="C344" s="64"/>
      <c r="D344" s="63"/>
      <c r="E344" s="63"/>
      <c r="F344" s="63"/>
      <c r="G344" s="63"/>
      <c r="H344" s="63"/>
      <c r="J344" s="63"/>
      <c r="K344" s="63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2.75" customHeight="1">
      <c r="A345" s="47"/>
      <c r="B345" s="63"/>
      <c r="C345" s="64"/>
      <c r="D345" s="63"/>
      <c r="E345" s="63"/>
      <c r="F345" s="63"/>
      <c r="G345" s="63"/>
      <c r="H345" s="63"/>
      <c r="J345" s="63"/>
      <c r="K345" s="63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2.75" customHeight="1">
      <c r="A346" s="47"/>
      <c r="B346" s="63"/>
      <c r="C346" s="64"/>
      <c r="D346" s="63"/>
      <c r="E346" s="63"/>
      <c r="F346" s="63"/>
      <c r="G346" s="63"/>
      <c r="H346" s="63"/>
      <c r="J346" s="63"/>
      <c r="K346" s="63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2.75" customHeight="1">
      <c r="A347" s="47"/>
      <c r="B347" s="63"/>
      <c r="C347" s="64"/>
      <c r="D347" s="63"/>
      <c r="E347" s="63"/>
      <c r="F347" s="63"/>
      <c r="G347" s="63"/>
      <c r="H347" s="63"/>
      <c r="J347" s="63"/>
      <c r="K347" s="63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2.75" customHeight="1">
      <c r="A348" s="47"/>
      <c r="B348" s="63"/>
      <c r="C348" s="64"/>
      <c r="D348" s="63"/>
      <c r="E348" s="63"/>
      <c r="F348" s="63"/>
      <c r="G348" s="63"/>
      <c r="H348" s="63"/>
      <c r="J348" s="63"/>
      <c r="K348" s="63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2.75" customHeight="1">
      <c r="A349" s="47"/>
      <c r="B349" s="63"/>
      <c r="C349" s="64"/>
      <c r="D349" s="63"/>
      <c r="E349" s="63"/>
      <c r="F349" s="63"/>
      <c r="G349" s="63"/>
      <c r="H349" s="63"/>
      <c r="J349" s="63"/>
      <c r="K349" s="63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2.75" customHeight="1">
      <c r="A350" s="47"/>
      <c r="B350" s="63"/>
      <c r="C350" s="64"/>
      <c r="D350" s="63"/>
      <c r="E350" s="63"/>
      <c r="F350" s="63"/>
      <c r="G350" s="63"/>
      <c r="H350" s="63"/>
      <c r="J350" s="63"/>
      <c r="K350" s="63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2.75" customHeight="1">
      <c r="A351" s="47"/>
      <c r="B351" s="63"/>
      <c r="C351" s="64"/>
      <c r="D351" s="63"/>
      <c r="E351" s="63"/>
      <c r="F351" s="63"/>
      <c r="G351" s="63"/>
      <c r="H351" s="63"/>
      <c r="J351" s="63"/>
      <c r="K351" s="63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2.75" customHeight="1">
      <c r="A352" s="47"/>
      <c r="B352" s="63"/>
      <c r="C352" s="64"/>
      <c r="D352" s="63"/>
      <c r="E352" s="63"/>
      <c r="F352" s="63"/>
      <c r="G352" s="63"/>
      <c r="H352" s="63"/>
      <c r="J352" s="63"/>
      <c r="K352" s="63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2.75" customHeight="1">
      <c r="A353" s="47"/>
      <c r="B353" s="63"/>
      <c r="C353" s="64"/>
      <c r="D353" s="63"/>
      <c r="E353" s="63"/>
      <c r="F353" s="63"/>
      <c r="G353" s="63"/>
      <c r="H353" s="63"/>
      <c r="J353" s="63"/>
      <c r="K353" s="63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2.75" customHeight="1">
      <c r="A354" s="47"/>
      <c r="B354" s="63"/>
      <c r="C354" s="64"/>
      <c r="D354" s="63"/>
      <c r="E354" s="63"/>
      <c r="F354" s="63"/>
      <c r="G354" s="63"/>
      <c r="H354" s="63"/>
      <c r="J354" s="63"/>
      <c r="K354" s="63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2.75" customHeight="1">
      <c r="A355" s="47"/>
      <c r="B355" s="63"/>
      <c r="C355" s="64"/>
      <c r="D355" s="63"/>
      <c r="E355" s="63"/>
      <c r="F355" s="63"/>
      <c r="G355" s="63"/>
      <c r="H355" s="63"/>
      <c r="J355" s="63"/>
      <c r="K355" s="63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2.75" customHeight="1">
      <c r="A356" s="47"/>
      <c r="B356" s="63"/>
      <c r="C356" s="64"/>
      <c r="D356" s="63"/>
      <c r="E356" s="63"/>
      <c r="F356" s="63"/>
      <c r="G356" s="63"/>
      <c r="H356" s="63"/>
      <c r="J356" s="63"/>
      <c r="K356" s="63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2.75" customHeight="1">
      <c r="A357" s="47"/>
      <c r="B357" s="63"/>
      <c r="C357" s="64"/>
      <c r="D357" s="63"/>
      <c r="E357" s="63"/>
      <c r="F357" s="63"/>
      <c r="G357" s="63"/>
      <c r="H357" s="63"/>
      <c r="J357" s="63"/>
      <c r="K357" s="63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2.75" customHeight="1">
      <c r="A358" s="47"/>
      <c r="B358" s="63"/>
      <c r="C358" s="64"/>
      <c r="D358" s="63"/>
      <c r="E358" s="63"/>
      <c r="F358" s="63"/>
      <c r="G358" s="63"/>
      <c r="H358" s="63"/>
      <c r="J358" s="63"/>
      <c r="K358" s="63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2.75" customHeight="1">
      <c r="A359" s="47"/>
      <c r="B359" s="63"/>
      <c r="C359" s="64"/>
      <c r="D359" s="63"/>
      <c r="E359" s="63"/>
      <c r="F359" s="63"/>
      <c r="G359" s="63"/>
      <c r="H359" s="63"/>
      <c r="J359" s="63"/>
      <c r="K359" s="63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2.75" customHeight="1">
      <c r="A360" s="47"/>
      <c r="B360" s="63"/>
      <c r="C360" s="64"/>
      <c r="D360" s="63"/>
      <c r="E360" s="63"/>
      <c r="F360" s="63"/>
      <c r="G360" s="63"/>
      <c r="H360" s="63"/>
      <c r="J360" s="63"/>
      <c r="K360" s="63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2.75" customHeight="1">
      <c r="A361" s="47"/>
      <c r="B361" s="63"/>
      <c r="C361" s="64"/>
      <c r="D361" s="63"/>
      <c r="E361" s="63"/>
      <c r="F361" s="63"/>
      <c r="G361" s="63"/>
      <c r="H361" s="63"/>
      <c r="J361" s="63"/>
      <c r="K361" s="63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2.75" customHeight="1">
      <c r="A362" s="47"/>
      <c r="B362" s="63"/>
      <c r="C362" s="64"/>
      <c r="D362" s="63"/>
      <c r="E362" s="63"/>
      <c r="F362" s="63"/>
      <c r="G362" s="63"/>
      <c r="H362" s="63"/>
      <c r="J362" s="63"/>
      <c r="K362" s="63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2.75" customHeight="1">
      <c r="A363" s="47"/>
      <c r="B363" s="63"/>
      <c r="C363" s="64"/>
      <c r="D363" s="63"/>
      <c r="E363" s="63"/>
      <c r="F363" s="63"/>
      <c r="G363" s="63"/>
      <c r="H363" s="63"/>
      <c r="J363" s="63"/>
      <c r="K363" s="63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2.75" customHeight="1">
      <c r="A364" s="47"/>
      <c r="B364" s="63"/>
      <c r="C364" s="64"/>
      <c r="D364" s="63"/>
      <c r="E364" s="63"/>
      <c r="F364" s="63"/>
      <c r="G364" s="63"/>
      <c r="H364" s="63"/>
      <c r="J364" s="63"/>
      <c r="K364" s="63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2.75" customHeight="1">
      <c r="A365" s="47"/>
      <c r="B365" s="63"/>
      <c r="C365" s="64"/>
      <c r="D365" s="63"/>
      <c r="E365" s="63"/>
      <c r="F365" s="63"/>
      <c r="G365" s="63"/>
      <c r="H365" s="63"/>
      <c r="J365" s="63"/>
      <c r="K365" s="63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2.75" customHeight="1">
      <c r="A366" s="47"/>
      <c r="B366" s="63"/>
      <c r="C366" s="64"/>
      <c r="D366" s="63"/>
      <c r="E366" s="63"/>
      <c r="F366" s="63"/>
      <c r="G366" s="63"/>
      <c r="H366" s="63"/>
      <c r="J366" s="63"/>
      <c r="K366" s="63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2.75" customHeight="1">
      <c r="A367" s="47"/>
      <c r="B367" s="63"/>
      <c r="C367" s="64"/>
      <c r="D367" s="63"/>
      <c r="E367" s="63"/>
      <c r="F367" s="63"/>
      <c r="G367" s="63"/>
      <c r="H367" s="63"/>
      <c r="J367" s="63"/>
      <c r="K367" s="63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2.75" customHeight="1">
      <c r="A368" s="47"/>
      <c r="B368" s="63"/>
      <c r="C368" s="64"/>
      <c r="D368" s="63"/>
      <c r="E368" s="63"/>
      <c r="F368" s="63"/>
      <c r="G368" s="63"/>
      <c r="H368" s="63"/>
      <c r="J368" s="63"/>
      <c r="K368" s="63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2.75" customHeight="1">
      <c r="A369" s="47"/>
      <c r="B369" s="63"/>
      <c r="C369" s="64"/>
      <c r="D369" s="63"/>
      <c r="E369" s="63"/>
      <c r="F369" s="63"/>
      <c r="G369" s="63"/>
      <c r="H369" s="63"/>
      <c r="J369" s="63"/>
      <c r="K369" s="63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2.75" customHeight="1">
      <c r="A370" s="47"/>
      <c r="B370" s="63"/>
      <c r="C370" s="64"/>
      <c r="D370" s="63"/>
      <c r="E370" s="63"/>
      <c r="F370" s="63"/>
      <c r="G370" s="63"/>
      <c r="H370" s="63"/>
      <c r="J370" s="63"/>
      <c r="K370" s="63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2.75" customHeight="1">
      <c r="A371" s="47"/>
      <c r="B371" s="63"/>
      <c r="C371" s="64"/>
      <c r="D371" s="63"/>
      <c r="E371" s="63"/>
      <c r="F371" s="63"/>
      <c r="G371" s="63"/>
      <c r="H371" s="63"/>
      <c r="J371" s="63"/>
      <c r="K371" s="63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2.75" customHeight="1">
      <c r="A372" s="47"/>
      <c r="B372" s="63"/>
      <c r="C372" s="64"/>
      <c r="D372" s="63"/>
      <c r="E372" s="63"/>
      <c r="F372" s="63"/>
      <c r="G372" s="63"/>
      <c r="H372" s="63"/>
      <c r="J372" s="63"/>
      <c r="K372" s="63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2.75" customHeight="1">
      <c r="A373" s="47"/>
      <c r="B373" s="63"/>
      <c r="C373" s="64"/>
      <c r="D373" s="63"/>
      <c r="E373" s="63"/>
      <c r="F373" s="63"/>
      <c r="G373" s="63"/>
      <c r="H373" s="63"/>
      <c r="J373" s="63"/>
      <c r="K373" s="63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2.75" customHeight="1">
      <c r="A374" s="47"/>
      <c r="B374" s="63"/>
      <c r="C374" s="64"/>
      <c r="D374" s="63"/>
      <c r="E374" s="63"/>
      <c r="F374" s="63"/>
      <c r="G374" s="63"/>
      <c r="H374" s="63"/>
      <c r="J374" s="63"/>
      <c r="K374" s="63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2.75" customHeight="1">
      <c r="A375" s="47"/>
      <c r="B375" s="63"/>
      <c r="C375" s="64"/>
      <c r="D375" s="63"/>
      <c r="E375" s="63"/>
      <c r="F375" s="63"/>
      <c r="G375" s="63"/>
      <c r="H375" s="63"/>
      <c r="J375" s="63"/>
      <c r="K375" s="63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2.75" customHeight="1">
      <c r="A376" s="47"/>
      <c r="B376" s="63"/>
      <c r="C376" s="64"/>
      <c r="D376" s="63"/>
      <c r="E376" s="63"/>
      <c r="F376" s="63"/>
      <c r="G376" s="63"/>
      <c r="H376" s="63"/>
      <c r="J376" s="63"/>
      <c r="K376" s="63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2.75" customHeight="1">
      <c r="A377" s="47"/>
      <c r="B377" s="63"/>
      <c r="C377" s="64"/>
      <c r="D377" s="63"/>
      <c r="E377" s="63"/>
      <c r="F377" s="63"/>
      <c r="G377" s="63"/>
      <c r="H377" s="63"/>
      <c r="J377" s="63"/>
      <c r="K377" s="63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2.75" customHeight="1">
      <c r="A378" s="47"/>
      <c r="B378" s="63"/>
      <c r="C378" s="64"/>
      <c r="D378" s="63"/>
      <c r="E378" s="63"/>
      <c r="F378" s="63"/>
      <c r="G378" s="63"/>
      <c r="H378" s="63"/>
      <c r="J378" s="63"/>
      <c r="K378" s="63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2.75" customHeight="1">
      <c r="A379" s="47"/>
      <c r="B379" s="63"/>
      <c r="C379" s="64"/>
      <c r="D379" s="63"/>
      <c r="E379" s="63"/>
      <c r="F379" s="63"/>
      <c r="G379" s="63"/>
      <c r="H379" s="63"/>
      <c r="J379" s="63"/>
      <c r="K379" s="63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2.75" customHeight="1">
      <c r="A380" s="47"/>
      <c r="B380" s="63"/>
      <c r="C380" s="64"/>
      <c r="D380" s="63"/>
      <c r="E380" s="63"/>
      <c r="F380" s="63"/>
      <c r="G380" s="63"/>
      <c r="H380" s="63"/>
      <c r="J380" s="63"/>
      <c r="K380" s="63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2.75" customHeight="1">
      <c r="A381" s="47"/>
      <c r="B381" s="63"/>
      <c r="C381" s="64"/>
      <c r="D381" s="63"/>
      <c r="E381" s="63"/>
      <c r="F381" s="63"/>
      <c r="G381" s="63"/>
      <c r="H381" s="63"/>
      <c r="J381" s="63"/>
      <c r="K381" s="63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2.75" customHeight="1">
      <c r="A382" s="47"/>
      <c r="B382" s="63"/>
      <c r="C382" s="64"/>
      <c r="D382" s="63"/>
      <c r="E382" s="63"/>
      <c r="F382" s="63"/>
      <c r="G382" s="63"/>
      <c r="H382" s="63"/>
      <c r="J382" s="63"/>
      <c r="K382" s="63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2.75" customHeight="1">
      <c r="A383" s="47"/>
      <c r="B383" s="63"/>
      <c r="C383" s="64"/>
      <c r="D383" s="63"/>
      <c r="E383" s="63"/>
      <c r="F383" s="63"/>
      <c r="G383" s="63"/>
      <c r="H383" s="63"/>
      <c r="J383" s="63"/>
      <c r="K383" s="63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2.75" customHeight="1">
      <c r="A384" s="47"/>
      <c r="B384" s="63"/>
      <c r="C384" s="64"/>
      <c r="D384" s="63"/>
      <c r="E384" s="63"/>
      <c r="F384" s="63"/>
      <c r="G384" s="63"/>
      <c r="H384" s="63"/>
      <c r="J384" s="63"/>
      <c r="K384" s="63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2.75" customHeight="1">
      <c r="A385" s="47"/>
      <c r="B385" s="63"/>
      <c r="C385" s="64"/>
      <c r="D385" s="63"/>
      <c r="E385" s="63"/>
      <c r="F385" s="63"/>
      <c r="G385" s="63"/>
      <c r="H385" s="63"/>
      <c r="J385" s="63"/>
      <c r="K385" s="63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2.75" customHeight="1">
      <c r="A386" s="47"/>
      <c r="B386" s="63"/>
      <c r="C386" s="64"/>
      <c r="D386" s="63"/>
      <c r="E386" s="63"/>
      <c r="F386" s="63"/>
      <c r="G386" s="63"/>
      <c r="H386" s="63"/>
      <c r="J386" s="63"/>
      <c r="K386" s="63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2.75" customHeight="1">
      <c r="A387" s="47"/>
      <c r="B387" s="63"/>
      <c r="C387" s="64"/>
      <c r="D387" s="63"/>
      <c r="E387" s="63"/>
      <c r="F387" s="63"/>
      <c r="G387" s="63"/>
      <c r="H387" s="63"/>
      <c r="J387" s="63"/>
      <c r="K387" s="63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2.75" customHeight="1">
      <c r="A388" s="47"/>
      <c r="B388" s="63"/>
      <c r="C388" s="64"/>
      <c r="D388" s="63"/>
      <c r="E388" s="63"/>
      <c r="F388" s="63"/>
      <c r="G388" s="63"/>
      <c r="H388" s="63"/>
      <c r="J388" s="63"/>
      <c r="K388" s="63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2.75" customHeight="1">
      <c r="A389" s="47"/>
      <c r="B389" s="63"/>
      <c r="C389" s="64"/>
      <c r="D389" s="63"/>
      <c r="E389" s="63"/>
      <c r="F389" s="63"/>
      <c r="G389" s="63"/>
      <c r="H389" s="63"/>
      <c r="J389" s="63"/>
      <c r="K389" s="63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2.75" customHeight="1">
      <c r="A390" s="47"/>
      <c r="B390" s="63"/>
      <c r="C390" s="64"/>
      <c r="D390" s="63"/>
      <c r="E390" s="63"/>
      <c r="F390" s="63"/>
      <c r="G390" s="63"/>
      <c r="H390" s="63"/>
      <c r="J390" s="63"/>
      <c r="K390" s="63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2.75" customHeight="1">
      <c r="A391" s="47"/>
      <c r="B391" s="63"/>
      <c r="C391" s="64"/>
      <c r="D391" s="63"/>
      <c r="E391" s="63"/>
      <c r="F391" s="63"/>
      <c r="G391" s="63"/>
      <c r="H391" s="63"/>
      <c r="J391" s="63"/>
      <c r="K391" s="63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2.75" customHeight="1">
      <c r="A392" s="47"/>
      <c r="B392" s="63"/>
      <c r="C392" s="64"/>
      <c r="D392" s="63"/>
      <c r="E392" s="63"/>
      <c r="F392" s="63"/>
      <c r="G392" s="63"/>
      <c r="H392" s="63"/>
      <c r="J392" s="63"/>
      <c r="K392" s="63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2.75" customHeight="1">
      <c r="A393" s="47"/>
      <c r="B393" s="63"/>
      <c r="C393" s="64"/>
      <c r="D393" s="63"/>
      <c r="E393" s="63"/>
      <c r="F393" s="63"/>
      <c r="G393" s="63"/>
      <c r="H393" s="63"/>
      <c r="J393" s="63"/>
      <c r="K393" s="63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2.75" customHeight="1">
      <c r="A394" s="47"/>
      <c r="B394" s="63"/>
      <c r="C394" s="64"/>
      <c r="D394" s="63"/>
      <c r="E394" s="63"/>
      <c r="F394" s="63"/>
      <c r="G394" s="63"/>
      <c r="H394" s="63"/>
      <c r="J394" s="63"/>
      <c r="K394" s="63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2.75" customHeight="1">
      <c r="A395" s="47"/>
      <c r="B395" s="63"/>
      <c r="C395" s="64"/>
      <c r="D395" s="63"/>
      <c r="E395" s="63"/>
      <c r="F395" s="63"/>
      <c r="G395" s="63"/>
      <c r="H395" s="63"/>
      <c r="J395" s="63"/>
      <c r="K395" s="63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2.75" customHeight="1">
      <c r="A396" s="47"/>
      <c r="B396" s="63"/>
      <c r="C396" s="64"/>
      <c r="D396" s="63"/>
      <c r="E396" s="63"/>
      <c r="F396" s="63"/>
      <c r="G396" s="63"/>
      <c r="H396" s="63"/>
      <c r="J396" s="63"/>
      <c r="K396" s="63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2.75" customHeight="1">
      <c r="A397" s="47"/>
      <c r="B397" s="63"/>
      <c r="C397" s="64"/>
      <c r="D397" s="63"/>
      <c r="E397" s="63"/>
      <c r="F397" s="63"/>
      <c r="G397" s="63"/>
      <c r="H397" s="63"/>
      <c r="J397" s="63"/>
      <c r="K397" s="63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2.75" customHeight="1">
      <c r="A398" s="47"/>
      <c r="B398" s="63"/>
      <c r="C398" s="64"/>
      <c r="D398" s="63"/>
      <c r="E398" s="63"/>
      <c r="F398" s="63"/>
      <c r="G398" s="63"/>
      <c r="H398" s="63"/>
      <c r="J398" s="63"/>
      <c r="K398" s="63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2.75" customHeight="1">
      <c r="A399" s="47"/>
      <c r="B399" s="63"/>
      <c r="C399" s="64"/>
      <c r="D399" s="63"/>
      <c r="E399" s="63"/>
      <c r="F399" s="63"/>
      <c r="G399" s="63"/>
      <c r="H399" s="63"/>
      <c r="J399" s="63"/>
      <c r="K399" s="63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2.75" customHeight="1">
      <c r="A400" s="47"/>
      <c r="B400" s="63"/>
      <c r="C400" s="64"/>
      <c r="D400" s="63"/>
      <c r="E400" s="63"/>
      <c r="F400" s="63"/>
      <c r="G400" s="63"/>
      <c r="H400" s="63"/>
      <c r="J400" s="63"/>
      <c r="K400" s="63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2.75" customHeight="1">
      <c r="A401" s="47"/>
      <c r="B401" s="63"/>
      <c r="C401" s="64"/>
      <c r="D401" s="63"/>
      <c r="E401" s="63"/>
      <c r="F401" s="63"/>
      <c r="G401" s="63"/>
      <c r="H401" s="63"/>
      <c r="J401" s="63"/>
      <c r="K401" s="63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2.75" customHeight="1">
      <c r="A402" s="47"/>
      <c r="B402" s="63"/>
      <c r="C402" s="64"/>
      <c r="D402" s="63"/>
      <c r="E402" s="63"/>
      <c r="F402" s="63"/>
      <c r="G402" s="63"/>
      <c r="H402" s="63"/>
      <c r="J402" s="63"/>
      <c r="K402" s="63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2.75" customHeight="1">
      <c r="A403" s="47"/>
      <c r="B403" s="63"/>
      <c r="C403" s="64"/>
      <c r="D403" s="63"/>
      <c r="E403" s="63"/>
      <c r="F403" s="63"/>
      <c r="G403" s="63"/>
      <c r="H403" s="63"/>
      <c r="J403" s="63"/>
      <c r="K403" s="63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2.75" customHeight="1">
      <c r="A404" s="47"/>
      <c r="B404" s="63"/>
      <c r="C404" s="64"/>
      <c r="D404" s="63"/>
      <c r="E404" s="63"/>
      <c r="F404" s="63"/>
      <c r="G404" s="63"/>
      <c r="H404" s="63"/>
      <c r="J404" s="63"/>
      <c r="K404" s="63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2.75" customHeight="1">
      <c r="A405" s="47"/>
      <c r="B405" s="63"/>
      <c r="C405" s="64"/>
      <c r="D405" s="63"/>
      <c r="E405" s="63"/>
      <c r="F405" s="63"/>
      <c r="G405" s="63"/>
      <c r="H405" s="63"/>
      <c r="J405" s="63"/>
      <c r="K405" s="63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2.75" customHeight="1">
      <c r="A406" s="47"/>
      <c r="B406" s="63"/>
      <c r="C406" s="64"/>
      <c r="D406" s="63"/>
      <c r="E406" s="63"/>
      <c r="F406" s="63"/>
      <c r="G406" s="63"/>
      <c r="H406" s="63"/>
      <c r="J406" s="63"/>
      <c r="K406" s="63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2.75" customHeight="1">
      <c r="A407" s="47"/>
      <c r="B407" s="63"/>
      <c r="C407" s="64"/>
      <c r="D407" s="63"/>
      <c r="E407" s="63"/>
      <c r="F407" s="63"/>
      <c r="G407" s="63"/>
      <c r="H407" s="63"/>
      <c r="J407" s="63"/>
      <c r="K407" s="63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2.75" customHeight="1">
      <c r="A408" s="47"/>
      <c r="B408" s="63"/>
      <c r="C408" s="64"/>
      <c r="D408" s="63"/>
      <c r="E408" s="63"/>
      <c r="F408" s="63"/>
      <c r="G408" s="63"/>
      <c r="H408" s="63"/>
      <c r="J408" s="63"/>
      <c r="K408" s="63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2.75" customHeight="1">
      <c r="A409" s="47"/>
      <c r="B409" s="63"/>
      <c r="C409" s="64"/>
      <c r="D409" s="63"/>
      <c r="E409" s="63"/>
      <c r="F409" s="63"/>
      <c r="G409" s="63"/>
      <c r="H409" s="63"/>
      <c r="J409" s="63"/>
      <c r="K409" s="63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2.75" customHeight="1">
      <c r="A410" s="47"/>
      <c r="B410" s="63"/>
      <c r="C410" s="64"/>
      <c r="D410" s="63"/>
      <c r="E410" s="63"/>
      <c r="F410" s="63"/>
      <c r="G410" s="63"/>
      <c r="H410" s="63"/>
      <c r="J410" s="63"/>
      <c r="K410" s="63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2.75" customHeight="1">
      <c r="A411" s="47"/>
      <c r="B411" s="63"/>
      <c r="C411" s="64"/>
      <c r="D411" s="63"/>
      <c r="E411" s="63"/>
      <c r="F411" s="63"/>
      <c r="G411" s="63"/>
      <c r="H411" s="63"/>
      <c r="J411" s="63"/>
      <c r="K411" s="63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2.75" customHeight="1">
      <c r="A412" s="47"/>
      <c r="B412" s="63"/>
      <c r="C412" s="64"/>
      <c r="D412" s="63"/>
      <c r="E412" s="63"/>
      <c r="F412" s="63"/>
      <c r="G412" s="63"/>
      <c r="H412" s="63"/>
      <c r="J412" s="63"/>
      <c r="K412" s="63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2.75" customHeight="1">
      <c r="A413" s="47"/>
      <c r="B413" s="63"/>
      <c r="C413" s="64"/>
      <c r="D413" s="63"/>
      <c r="E413" s="63"/>
      <c r="F413" s="63"/>
      <c r="G413" s="63"/>
      <c r="H413" s="63"/>
      <c r="J413" s="63"/>
      <c r="K413" s="63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2.75" customHeight="1">
      <c r="A414" s="47"/>
      <c r="B414" s="63"/>
      <c r="C414" s="64"/>
      <c r="D414" s="63"/>
      <c r="E414" s="63"/>
      <c r="F414" s="63"/>
      <c r="G414" s="63"/>
      <c r="H414" s="63"/>
      <c r="J414" s="63"/>
      <c r="K414" s="63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2.75" customHeight="1">
      <c r="A415" s="47"/>
      <c r="B415" s="63"/>
      <c r="C415" s="64"/>
      <c r="D415" s="63"/>
      <c r="E415" s="63"/>
      <c r="F415" s="63"/>
      <c r="G415" s="63"/>
      <c r="H415" s="63"/>
      <c r="J415" s="63"/>
      <c r="K415" s="63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2.75" customHeight="1">
      <c r="A416" s="47"/>
      <c r="B416" s="63"/>
      <c r="C416" s="64"/>
      <c r="D416" s="63"/>
      <c r="E416" s="63"/>
      <c r="F416" s="63"/>
      <c r="G416" s="63"/>
      <c r="H416" s="63"/>
      <c r="J416" s="63"/>
      <c r="K416" s="63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2.75" customHeight="1">
      <c r="A417" s="47"/>
      <c r="B417" s="63"/>
      <c r="C417" s="64"/>
      <c r="D417" s="63"/>
      <c r="E417" s="63"/>
      <c r="F417" s="63"/>
      <c r="G417" s="63"/>
      <c r="H417" s="63"/>
      <c r="J417" s="63"/>
      <c r="K417" s="63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2.75" customHeight="1">
      <c r="A418" s="47"/>
      <c r="B418" s="63"/>
      <c r="C418" s="64"/>
      <c r="D418" s="63"/>
      <c r="E418" s="63"/>
      <c r="F418" s="63"/>
      <c r="G418" s="63"/>
      <c r="H418" s="63"/>
      <c r="J418" s="63"/>
      <c r="K418" s="63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2.75" customHeight="1">
      <c r="A419" s="47"/>
      <c r="B419" s="63"/>
      <c r="C419" s="64"/>
      <c r="D419" s="63"/>
      <c r="E419" s="63"/>
      <c r="F419" s="63"/>
      <c r="G419" s="63"/>
      <c r="H419" s="63"/>
      <c r="J419" s="63"/>
      <c r="K419" s="63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2.75" customHeight="1">
      <c r="A420" s="47"/>
      <c r="B420" s="63"/>
      <c r="C420" s="64"/>
      <c r="D420" s="63"/>
      <c r="E420" s="63"/>
      <c r="F420" s="63"/>
      <c r="G420" s="63"/>
      <c r="H420" s="63"/>
      <c r="J420" s="63"/>
      <c r="K420" s="63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2.75" customHeight="1">
      <c r="A421" s="47"/>
      <c r="B421" s="63"/>
      <c r="C421" s="64"/>
      <c r="D421" s="63"/>
      <c r="E421" s="63"/>
      <c r="F421" s="63"/>
      <c r="G421" s="63"/>
      <c r="H421" s="63"/>
      <c r="J421" s="63"/>
      <c r="K421" s="63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2.75" customHeight="1">
      <c r="A422" s="47"/>
      <c r="B422" s="63"/>
      <c r="C422" s="64"/>
      <c r="D422" s="63"/>
      <c r="E422" s="63"/>
      <c r="F422" s="63"/>
      <c r="G422" s="63"/>
      <c r="H422" s="63"/>
      <c r="J422" s="63"/>
      <c r="K422" s="63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2.75" customHeight="1">
      <c r="A423" s="47"/>
      <c r="B423" s="63"/>
      <c r="C423" s="64"/>
      <c r="D423" s="63"/>
      <c r="E423" s="63"/>
      <c r="F423" s="63"/>
      <c r="G423" s="63"/>
      <c r="H423" s="63"/>
      <c r="J423" s="63"/>
      <c r="K423" s="63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2.75" customHeight="1">
      <c r="A424" s="47"/>
      <c r="B424" s="63"/>
      <c r="C424" s="64"/>
      <c r="D424" s="63"/>
      <c r="E424" s="63"/>
      <c r="F424" s="63"/>
      <c r="G424" s="63"/>
      <c r="H424" s="63"/>
      <c r="J424" s="63"/>
      <c r="K424" s="63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2.75" customHeight="1">
      <c r="A425" s="47"/>
      <c r="B425" s="63"/>
      <c r="C425" s="64"/>
      <c r="D425" s="63"/>
      <c r="E425" s="63"/>
      <c r="F425" s="63"/>
      <c r="G425" s="63"/>
      <c r="H425" s="63"/>
      <c r="J425" s="63"/>
      <c r="K425" s="63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2.75" customHeight="1">
      <c r="A426" s="47"/>
      <c r="B426" s="63"/>
      <c r="C426" s="64"/>
      <c r="D426" s="63"/>
      <c r="E426" s="63"/>
      <c r="F426" s="63"/>
      <c r="G426" s="63"/>
      <c r="H426" s="63"/>
      <c r="J426" s="63"/>
      <c r="K426" s="63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2.75" customHeight="1">
      <c r="A427" s="47"/>
      <c r="B427" s="63"/>
      <c r="C427" s="64"/>
      <c r="D427" s="63"/>
      <c r="E427" s="63"/>
      <c r="F427" s="63"/>
      <c r="G427" s="63"/>
      <c r="H427" s="63"/>
      <c r="J427" s="63"/>
      <c r="K427" s="63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2.75" customHeight="1">
      <c r="A428" s="47"/>
      <c r="B428" s="63"/>
      <c r="C428" s="64"/>
      <c r="D428" s="63"/>
      <c r="E428" s="63"/>
      <c r="F428" s="63"/>
      <c r="G428" s="63"/>
      <c r="H428" s="63"/>
      <c r="J428" s="63"/>
      <c r="K428" s="63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2.75" customHeight="1">
      <c r="A429" s="47"/>
      <c r="B429" s="63"/>
      <c r="C429" s="64"/>
      <c r="D429" s="63"/>
      <c r="E429" s="63"/>
      <c r="F429" s="63"/>
      <c r="G429" s="63"/>
      <c r="H429" s="63"/>
      <c r="J429" s="63"/>
      <c r="K429" s="63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2.75" customHeight="1">
      <c r="A430" s="47"/>
      <c r="B430" s="63"/>
      <c r="C430" s="64"/>
      <c r="D430" s="63"/>
      <c r="E430" s="63"/>
      <c r="F430" s="63"/>
      <c r="G430" s="63"/>
      <c r="H430" s="63"/>
      <c r="J430" s="63"/>
      <c r="K430" s="63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2.75" customHeight="1">
      <c r="A431" s="47"/>
      <c r="B431" s="63"/>
      <c r="C431" s="64"/>
      <c r="D431" s="63"/>
      <c r="E431" s="63"/>
      <c r="F431" s="63"/>
      <c r="G431" s="63"/>
      <c r="H431" s="63"/>
      <c r="J431" s="63"/>
      <c r="K431" s="63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2.75" customHeight="1">
      <c r="A432" s="47"/>
      <c r="B432" s="63"/>
      <c r="C432" s="64"/>
      <c r="D432" s="63"/>
      <c r="E432" s="63"/>
      <c r="F432" s="63"/>
      <c r="G432" s="63"/>
      <c r="H432" s="63"/>
      <c r="J432" s="63"/>
      <c r="K432" s="63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2.75" customHeight="1">
      <c r="A433" s="47"/>
      <c r="B433" s="63"/>
      <c r="C433" s="64"/>
      <c r="D433" s="63"/>
      <c r="E433" s="63"/>
      <c r="F433" s="63"/>
      <c r="G433" s="63"/>
      <c r="H433" s="63"/>
      <c r="J433" s="63"/>
      <c r="K433" s="63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2.75" customHeight="1">
      <c r="A434" s="47"/>
      <c r="B434" s="63"/>
      <c r="C434" s="64"/>
      <c r="D434" s="63"/>
      <c r="E434" s="63"/>
      <c r="F434" s="63"/>
      <c r="G434" s="63"/>
      <c r="H434" s="63"/>
      <c r="J434" s="63"/>
      <c r="K434" s="63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2.75" customHeight="1">
      <c r="A435" s="47"/>
      <c r="B435" s="63"/>
      <c r="C435" s="64"/>
      <c r="D435" s="63"/>
      <c r="E435" s="63"/>
      <c r="F435" s="63"/>
      <c r="G435" s="63"/>
      <c r="H435" s="63"/>
      <c r="J435" s="63"/>
      <c r="K435" s="63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2.75" customHeight="1">
      <c r="A436" s="47"/>
      <c r="B436" s="63"/>
      <c r="C436" s="64"/>
      <c r="D436" s="63"/>
      <c r="E436" s="63"/>
      <c r="F436" s="63"/>
      <c r="G436" s="63"/>
      <c r="H436" s="63"/>
      <c r="J436" s="63"/>
      <c r="K436" s="63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2.75" customHeight="1">
      <c r="A437" s="47"/>
      <c r="B437" s="63"/>
      <c r="C437" s="64"/>
      <c r="D437" s="63"/>
      <c r="E437" s="63"/>
      <c r="F437" s="63"/>
      <c r="G437" s="63"/>
      <c r="H437" s="63"/>
      <c r="J437" s="63"/>
      <c r="K437" s="63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2.75" customHeight="1">
      <c r="A438" s="47"/>
      <c r="B438" s="63"/>
      <c r="C438" s="64"/>
      <c r="D438" s="63"/>
      <c r="E438" s="63"/>
      <c r="F438" s="63"/>
      <c r="G438" s="63"/>
      <c r="H438" s="63"/>
      <c r="J438" s="63"/>
      <c r="K438" s="63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2.75" customHeight="1">
      <c r="A439" s="47"/>
      <c r="B439" s="63"/>
      <c r="C439" s="64"/>
      <c r="D439" s="63"/>
      <c r="E439" s="63"/>
      <c r="F439" s="63"/>
      <c r="G439" s="63"/>
      <c r="H439" s="63"/>
      <c r="J439" s="63"/>
      <c r="K439" s="63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2.75" customHeight="1">
      <c r="A440" s="47"/>
      <c r="B440" s="63"/>
      <c r="C440" s="64"/>
      <c r="D440" s="63"/>
      <c r="E440" s="63"/>
      <c r="F440" s="63"/>
      <c r="G440" s="63"/>
      <c r="H440" s="63"/>
      <c r="J440" s="63"/>
      <c r="K440" s="63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2.75" customHeight="1">
      <c r="A441" s="47"/>
      <c r="B441" s="63"/>
      <c r="C441" s="64"/>
      <c r="D441" s="63"/>
      <c r="E441" s="63"/>
      <c r="F441" s="63"/>
      <c r="G441" s="63"/>
      <c r="H441" s="63"/>
      <c r="J441" s="63"/>
      <c r="K441" s="63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2.75" customHeight="1">
      <c r="A442" s="47"/>
      <c r="B442" s="63"/>
      <c r="C442" s="64"/>
      <c r="D442" s="63"/>
      <c r="E442" s="63"/>
      <c r="F442" s="63"/>
      <c r="G442" s="63"/>
      <c r="H442" s="63"/>
      <c r="J442" s="63"/>
      <c r="K442" s="63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2.75" customHeight="1">
      <c r="A443" s="47"/>
      <c r="B443" s="63"/>
      <c r="C443" s="64"/>
      <c r="D443" s="63"/>
      <c r="E443" s="63"/>
      <c r="F443" s="63"/>
      <c r="G443" s="63"/>
      <c r="H443" s="63"/>
      <c r="J443" s="63"/>
      <c r="K443" s="63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2.75" customHeight="1">
      <c r="A444" s="47"/>
      <c r="B444" s="63"/>
      <c r="C444" s="64"/>
      <c r="D444" s="63"/>
      <c r="E444" s="63"/>
      <c r="F444" s="63"/>
      <c r="G444" s="63"/>
      <c r="H444" s="63"/>
      <c r="J444" s="63"/>
      <c r="K444" s="63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2.75" customHeight="1">
      <c r="A445" s="47"/>
      <c r="B445" s="63"/>
      <c r="C445" s="64"/>
      <c r="D445" s="63"/>
      <c r="E445" s="63"/>
      <c r="F445" s="63"/>
      <c r="G445" s="63"/>
      <c r="H445" s="63"/>
      <c r="J445" s="63"/>
      <c r="K445" s="63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2.75" customHeight="1">
      <c r="A446" s="47"/>
      <c r="B446" s="63"/>
      <c r="C446" s="64"/>
      <c r="D446" s="63"/>
      <c r="E446" s="63"/>
      <c r="F446" s="63"/>
      <c r="G446" s="63"/>
      <c r="H446" s="63"/>
      <c r="J446" s="63"/>
      <c r="K446" s="63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2.75" customHeight="1">
      <c r="A447" s="47"/>
      <c r="B447" s="63"/>
      <c r="C447" s="64"/>
      <c r="D447" s="63"/>
      <c r="E447" s="63"/>
      <c r="F447" s="63"/>
      <c r="G447" s="63"/>
      <c r="H447" s="63"/>
      <c r="J447" s="63"/>
      <c r="K447" s="63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2.75" customHeight="1">
      <c r="A448" s="47"/>
      <c r="B448" s="63"/>
      <c r="C448" s="64"/>
      <c r="D448" s="63"/>
      <c r="E448" s="63"/>
      <c r="F448" s="63"/>
      <c r="G448" s="63"/>
      <c r="H448" s="63"/>
      <c r="J448" s="63"/>
      <c r="K448" s="63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2.75" customHeight="1">
      <c r="A449" s="47"/>
      <c r="B449" s="63"/>
      <c r="C449" s="64"/>
      <c r="D449" s="63"/>
      <c r="E449" s="63"/>
      <c r="F449" s="63"/>
      <c r="G449" s="63"/>
      <c r="H449" s="63"/>
      <c r="J449" s="63"/>
      <c r="K449" s="63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2.75" customHeight="1">
      <c r="A450" s="47"/>
      <c r="B450" s="63"/>
      <c r="C450" s="64"/>
      <c r="D450" s="63"/>
      <c r="E450" s="63"/>
      <c r="F450" s="63"/>
      <c r="G450" s="63"/>
      <c r="H450" s="63"/>
      <c r="J450" s="63"/>
      <c r="K450" s="63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2.75" customHeight="1">
      <c r="A451" s="47"/>
      <c r="B451" s="63"/>
      <c r="C451" s="64"/>
      <c r="D451" s="63"/>
      <c r="E451" s="63"/>
      <c r="F451" s="63"/>
      <c r="G451" s="63"/>
      <c r="H451" s="63"/>
      <c r="J451" s="63"/>
      <c r="K451" s="63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2.75" customHeight="1">
      <c r="A452" s="47"/>
      <c r="B452" s="63"/>
      <c r="C452" s="64"/>
      <c r="D452" s="63"/>
      <c r="E452" s="63"/>
      <c r="F452" s="63"/>
      <c r="G452" s="63"/>
      <c r="H452" s="63"/>
      <c r="J452" s="63"/>
      <c r="K452" s="63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2.75" customHeight="1">
      <c r="A453" s="47"/>
      <c r="B453" s="63"/>
      <c r="C453" s="64"/>
      <c r="D453" s="63"/>
      <c r="E453" s="63"/>
      <c r="F453" s="63"/>
      <c r="G453" s="63"/>
      <c r="H453" s="63"/>
      <c r="J453" s="63"/>
      <c r="K453" s="63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2.75" customHeight="1">
      <c r="A454" s="47"/>
      <c r="B454" s="63"/>
      <c r="C454" s="64"/>
      <c r="D454" s="63"/>
      <c r="E454" s="63"/>
      <c r="F454" s="63"/>
      <c r="G454" s="63"/>
      <c r="H454" s="63"/>
      <c r="J454" s="63"/>
      <c r="K454" s="63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2.75" customHeight="1">
      <c r="A455" s="47"/>
      <c r="B455" s="63"/>
      <c r="C455" s="64"/>
      <c r="D455" s="63"/>
      <c r="E455" s="63"/>
      <c r="F455" s="63"/>
      <c r="G455" s="63"/>
      <c r="H455" s="63"/>
      <c r="J455" s="63"/>
      <c r="K455" s="63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2.75" customHeight="1">
      <c r="A456" s="47"/>
      <c r="B456" s="63"/>
      <c r="C456" s="64"/>
      <c r="D456" s="63"/>
      <c r="E456" s="63"/>
      <c r="F456" s="63"/>
      <c r="G456" s="63"/>
      <c r="H456" s="63"/>
      <c r="J456" s="63"/>
      <c r="K456" s="63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2.75" customHeight="1">
      <c r="A457" s="47"/>
      <c r="B457" s="63"/>
      <c r="C457" s="64"/>
      <c r="D457" s="63"/>
      <c r="E457" s="63"/>
      <c r="F457" s="63"/>
      <c r="G457" s="63"/>
      <c r="H457" s="63"/>
      <c r="J457" s="63"/>
      <c r="K457" s="63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2.75" customHeight="1">
      <c r="A458" s="47"/>
      <c r="B458" s="63"/>
      <c r="C458" s="64"/>
      <c r="D458" s="63"/>
      <c r="E458" s="63"/>
      <c r="F458" s="63"/>
      <c r="G458" s="63"/>
      <c r="H458" s="63"/>
      <c r="J458" s="63"/>
      <c r="K458" s="63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2.75" customHeight="1">
      <c r="A459" s="47"/>
      <c r="B459" s="63"/>
      <c r="C459" s="64"/>
      <c r="D459" s="63"/>
      <c r="E459" s="63"/>
      <c r="F459" s="63"/>
      <c r="G459" s="63"/>
      <c r="H459" s="63"/>
      <c r="J459" s="63"/>
      <c r="K459" s="63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2.75" customHeight="1">
      <c r="A460" s="47"/>
      <c r="B460" s="63"/>
      <c r="C460" s="64"/>
      <c r="D460" s="63"/>
      <c r="E460" s="63"/>
      <c r="F460" s="63"/>
      <c r="G460" s="63"/>
      <c r="H460" s="63"/>
      <c r="J460" s="63"/>
      <c r="K460" s="63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2.75" customHeight="1">
      <c r="A461" s="47"/>
      <c r="B461" s="63"/>
      <c r="C461" s="64"/>
      <c r="D461" s="63"/>
      <c r="E461" s="63"/>
      <c r="F461" s="63"/>
      <c r="G461" s="63"/>
      <c r="H461" s="63"/>
      <c r="J461" s="63"/>
      <c r="K461" s="63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2.75" customHeight="1">
      <c r="A462" s="47"/>
      <c r="B462" s="63"/>
      <c r="C462" s="64"/>
      <c r="D462" s="63"/>
      <c r="E462" s="63"/>
      <c r="F462" s="63"/>
      <c r="G462" s="63"/>
      <c r="H462" s="63"/>
      <c r="J462" s="63"/>
      <c r="K462" s="63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2.75" customHeight="1">
      <c r="A463" s="47"/>
      <c r="B463" s="63"/>
      <c r="C463" s="64"/>
      <c r="D463" s="63"/>
      <c r="E463" s="63"/>
      <c r="F463" s="63"/>
      <c r="G463" s="63"/>
      <c r="H463" s="63"/>
      <c r="J463" s="63"/>
      <c r="K463" s="63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2.75" customHeight="1">
      <c r="A464" s="47"/>
      <c r="B464" s="63"/>
      <c r="C464" s="64"/>
      <c r="D464" s="63"/>
      <c r="E464" s="63"/>
      <c r="F464" s="63"/>
      <c r="G464" s="63"/>
      <c r="H464" s="63"/>
      <c r="J464" s="63"/>
      <c r="K464" s="63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2.75" customHeight="1">
      <c r="A465" s="47"/>
      <c r="B465" s="63"/>
      <c r="C465" s="64"/>
      <c r="D465" s="63"/>
      <c r="E465" s="63"/>
      <c r="F465" s="63"/>
      <c r="G465" s="63"/>
      <c r="H465" s="63"/>
      <c r="J465" s="63"/>
      <c r="K465" s="63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2.75" customHeight="1">
      <c r="A466" s="47"/>
      <c r="B466" s="63"/>
      <c r="C466" s="64"/>
      <c r="D466" s="63"/>
      <c r="E466" s="63"/>
      <c r="F466" s="63"/>
      <c r="G466" s="63"/>
      <c r="H466" s="63"/>
      <c r="J466" s="63"/>
      <c r="K466" s="63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2.75" customHeight="1">
      <c r="A467" s="47"/>
      <c r="B467" s="63"/>
      <c r="C467" s="64"/>
      <c r="D467" s="63"/>
      <c r="E467" s="63"/>
      <c r="F467" s="63"/>
      <c r="G467" s="63"/>
      <c r="H467" s="63"/>
      <c r="J467" s="63"/>
      <c r="K467" s="63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2.75" customHeight="1">
      <c r="A468" s="47"/>
      <c r="B468" s="63"/>
      <c r="C468" s="64"/>
      <c r="D468" s="63"/>
      <c r="E468" s="63"/>
      <c r="F468" s="63"/>
      <c r="G468" s="63"/>
      <c r="H468" s="63"/>
      <c r="J468" s="63"/>
      <c r="K468" s="63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2.75" customHeight="1">
      <c r="A469" s="47"/>
      <c r="B469" s="63"/>
      <c r="C469" s="64"/>
      <c r="D469" s="63"/>
      <c r="E469" s="63"/>
      <c r="F469" s="63"/>
      <c r="G469" s="63"/>
      <c r="H469" s="63"/>
      <c r="J469" s="63"/>
      <c r="K469" s="63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2.75" customHeight="1">
      <c r="A470" s="47"/>
      <c r="B470" s="63"/>
      <c r="C470" s="64"/>
      <c r="D470" s="63"/>
      <c r="E470" s="63"/>
      <c r="F470" s="63"/>
      <c r="G470" s="63"/>
      <c r="H470" s="63"/>
      <c r="J470" s="63"/>
      <c r="K470" s="63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2.75" customHeight="1">
      <c r="A471" s="47"/>
      <c r="B471" s="63"/>
      <c r="C471" s="64"/>
      <c r="D471" s="63"/>
      <c r="E471" s="63"/>
      <c r="F471" s="63"/>
      <c r="G471" s="63"/>
      <c r="H471" s="63"/>
      <c r="J471" s="63"/>
      <c r="K471" s="63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2.75" customHeight="1">
      <c r="A472" s="47"/>
      <c r="B472" s="63"/>
      <c r="C472" s="64"/>
      <c r="D472" s="63"/>
      <c r="E472" s="63"/>
      <c r="F472" s="63"/>
      <c r="G472" s="63"/>
      <c r="H472" s="63"/>
      <c r="J472" s="63"/>
      <c r="K472" s="63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2.75" customHeight="1">
      <c r="A473" s="47"/>
      <c r="B473" s="63"/>
      <c r="C473" s="64"/>
      <c r="D473" s="63"/>
      <c r="E473" s="63"/>
      <c r="F473" s="63"/>
      <c r="G473" s="63"/>
      <c r="H473" s="63"/>
      <c r="J473" s="63"/>
      <c r="K473" s="63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2.75" customHeight="1">
      <c r="A474" s="47"/>
      <c r="B474" s="63"/>
      <c r="C474" s="64"/>
      <c r="D474" s="63"/>
      <c r="E474" s="63"/>
      <c r="F474" s="63"/>
      <c r="G474" s="63"/>
      <c r="H474" s="63"/>
      <c r="J474" s="63"/>
      <c r="K474" s="63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2.75" customHeight="1">
      <c r="A475" s="47"/>
      <c r="B475" s="63"/>
      <c r="C475" s="64"/>
      <c r="D475" s="63"/>
      <c r="E475" s="63"/>
      <c r="F475" s="63"/>
      <c r="G475" s="63"/>
      <c r="H475" s="63"/>
      <c r="J475" s="63"/>
      <c r="K475" s="63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2.75" customHeight="1">
      <c r="A476" s="47"/>
      <c r="B476" s="63"/>
      <c r="C476" s="64"/>
      <c r="D476" s="63"/>
      <c r="E476" s="63"/>
      <c r="F476" s="63"/>
      <c r="G476" s="63"/>
      <c r="H476" s="63"/>
      <c r="J476" s="63"/>
      <c r="K476" s="63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2.75" customHeight="1">
      <c r="A477" s="47"/>
      <c r="B477" s="63"/>
      <c r="C477" s="64"/>
      <c r="D477" s="63"/>
      <c r="E477" s="63"/>
      <c r="F477" s="63"/>
      <c r="G477" s="63"/>
      <c r="H477" s="63"/>
      <c r="J477" s="63"/>
      <c r="K477" s="63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2.75" customHeight="1">
      <c r="A478" s="47"/>
      <c r="B478" s="63"/>
      <c r="C478" s="64"/>
      <c r="D478" s="63"/>
      <c r="E478" s="63"/>
      <c r="F478" s="63"/>
      <c r="G478" s="63"/>
      <c r="H478" s="63"/>
      <c r="J478" s="63"/>
      <c r="K478" s="63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2.75" customHeight="1">
      <c r="A479" s="47"/>
      <c r="B479" s="63"/>
      <c r="C479" s="64"/>
      <c r="D479" s="63"/>
      <c r="E479" s="63"/>
      <c r="F479" s="63"/>
      <c r="G479" s="63"/>
      <c r="H479" s="63"/>
      <c r="J479" s="63"/>
      <c r="K479" s="63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2.75" customHeight="1">
      <c r="A480" s="47"/>
      <c r="B480" s="63"/>
      <c r="C480" s="64"/>
      <c r="D480" s="63"/>
      <c r="E480" s="63"/>
      <c r="F480" s="63"/>
      <c r="G480" s="63"/>
      <c r="H480" s="63"/>
      <c r="J480" s="63"/>
      <c r="K480" s="63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2.75" customHeight="1">
      <c r="A481" s="47"/>
      <c r="B481" s="63"/>
      <c r="C481" s="64"/>
      <c r="D481" s="63"/>
      <c r="E481" s="63"/>
      <c r="F481" s="63"/>
      <c r="G481" s="63"/>
      <c r="H481" s="63"/>
      <c r="J481" s="63"/>
      <c r="K481" s="63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2.75" customHeight="1">
      <c r="A482" s="47"/>
      <c r="B482" s="63"/>
      <c r="C482" s="64"/>
      <c r="D482" s="63"/>
      <c r="E482" s="63"/>
      <c r="F482" s="63"/>
      <c r="G482" s="63"/>
      <c r="H482" s="63"/>
      <c r="J482" s="63"/>
      <c r="K482" s="63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2.75" customHeight="1">
      <c r="A483" s="47"/>
      <c r="B483" s="63"/>
      <c r="C483" s="64"/>
      <c r="D483" s="63"/>
      <c r="E483" s="63"/>
      <c r="F483" s="63"/>
      <c r="G483" s="63"/>
      <c r="H483" s="63"/>
      <c r="J483" s="63"/>
      <c r="K483" s="63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2.75" customHeight="1">
      <c r="A484" s="47"/>
      <c r="B484" s="63"/>
      <c r="C484" s="64"/>
      <c r="D484" s="63"/>
      <c r="E484" s="63"/>
      <c r="F484" s="63"/>
      <c r="G484" s="63"/>
      <c r="H484" s="63"/>
      <c r="J484" s="63"/>
      <c r="K484" s="63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2.75" customHeight="1">
      <c r="A485" s="47"/>
      <c r="B485" s="63"/>
      <c r="C485" s="64"/>
      <c r="D485" s="63"/>
      <c r="E485" s="63"/>
      <c r="F485" s="63"/>
      <c r="G485" s="63"/>
      <c r="H485" s="63"/>
      <c r="J485" s="63"/>
      <c r="K485" s="63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2.75" customHeight="1">
      <c r="A486" s="47"/>
      <c r="B486" s="63"/>
      <c r="C486" s="64"/>
      <c r="D486" s="63"/>
      <c r="E486" s="63"/>
      <c r="F486" s="63"/>
      <c r="G486" s="63"/>
      <c r="H486" s="63"/>
      <c r="J486" s="63"/>
      <c r="K486" s="63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2.75" customHeight="1">
      <c r="A487" s="47"/>
      <c r="B487" s="63"/>
      <c r="C487" s="64"/>
      <c r="D487" s="63"/>
      <c r="E487" s="63"/>
      <c r="F487" s="63"/>
      <c r="G487" s="63"/>
      <c r="H487" s="63"/>
      <c r="J487" s="63"/>
      <c r="K487" s="63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2.75" customHeight="1">
      <c r="A488" s="47"/>
      <c r="B488" s="63"/>
      <c r="C488" s="64"/>
      <c r="D488" s="63"/>
      <c r="E488" s="63"/>
      <c r="F488" s="63"/>
      <c r="G488" s="63"/>
      <c r="H488" s="63"/>
      <c r="J488" s="63"/>
      <c r="K488" s="63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2.75" customHeight="1">
      <c r="A489" s="47"/>
      <c r="B489" s="63"/>
      <c r="C489" s="64"/>
      <c r="D489" s="63"/>
      <c r="E489" s="63"/>
      <c r="F489" s="63"/>
      <c r="G489" s="63"/>
      <c r="H489" s="63"/>
      <c r="J489" s="63"/>
      <c r="K489" s="63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2.75" customHeight="1">
      <c r="A490" s="47"/>
      <c r="B490" s="63"/>
      <c r="C490" s="64"/>
      <c r="D490" s="63"/>
      <c r="E490" s="63"/>
      <c r="F490" s="63"/>
      <c r="G490" s="63"/>
      <c r="H490" s="63"/>
      <c r="J490" s="63"/>
      <c r="K490" s="63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2.75" customHeight="1">
      <c r="A491" s="47"/>
      <c r="B491" s="63"/>
      <c r="C491" s="64"/>
      <c r="D491" s="63"/>
      <c r="E491" s="63"/>
      <c r="F491" s="63"/>
      <c r="G491" s="63"/>
      <c r="H491" s="63"/>
      <c r="J491" s="63"/>
      <c r="K491" s="63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2.75" customHeight="1">
      <c r="A492" s="47"/>
      <c r="B492" s="63"/>
      <c r="C492" s="64"/>
      <c r="D492" s="63"/>
      <c r="E492" s="63"/>
      <c r="F492" s="63"/>
      <c r="G492" s="63"/>
      <c r="H492" s="63"/>
      <c r="J492" s="63"/>
      <c r="K492" s="63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2.75" customHeight="1">
      <c r="A493" s="47"/>
      <c r="B493" s="63"/>
      <c r="C493" s="64"/>
      <c r="D493" s="63"/>
      <c r="E493" s="63"/>
      <c r="F493" s="63"/>
      <c r="G493" s="63"/>
      <c r="H493" s="63"/>
      <c r="J493" s="63"/>
      <c r="K493" s="63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2.75" customHeight="1">
      <c r="A494" s="47"/>
      <c r="B494" s="63"/>
      <c r="C494" s="64"/>
      <c r="D494" s="63"/>
      <c r="E494" s="63"/>
      <c r="F494" s="63"/>
      <c r="G494" s="63"/>
      <c r="H494" s="63"/>
      <c r="J494" s="63"/>
      <c r="K494" s="63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2.75" customHeight="1">
      <c r="A495" s="47"/>
      <c r="B495" s="63"/>
      <c r="C495" s="64"/>
      <c r="D495" s="63"/>
      <c r="E495" s="63"/>
      <c r="F495" s="63"/>
      <c r="G495" s="63"/>
      <c r="H495" s="63"/>
      <c r="J495" s="63"/>
      <c r="K495" s="63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2.75" customHeight="1">
      <c r="A496" s="47"/>
      <c r="B496" s="63"/>
      <c r="C496" s="64"/>
      <c r="D496" s="63"/>
      <c r="E496" s="63"/>
      <c r="F496" s="63"/>
      <c r="G496" s="63"/>
      <c r="H496" s="63"/>
      <c r="J496" s="63"/>
      <c r="K496" s="63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2.75" customHeight="1">
      <c r="A497" s="47"/>
      <c r="B497" s="63"/>
      <c r="C497" s="64"/>
      <c r="D497" s="63"/>
      <c r="E497" s="63"/>
      <c r="F497" s="63"/>
      <c r="G497" s="63"/>
      <c r="H497" s="63"/>
      <c r="J497" s="63"/>
      <c r="K497" s="63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2.75" customHeight="1">
      <c r="A498" s="47"/>
      <c r="B498" s="63"/>
      <c r="C498" s="64"/>
      <c r="D498" s="63"/>
      <c r="E498" s="63"/>
      <c r="F498" s="63"/>
      <c r="G498" s="63"/>
      <c r="H498" s="63"/>
      <c r="J498" s="63"/>
      <c r="K498" s="63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2.75" customHeight="1">
      <c r="A499" s="47"/>
      <c r="B499" s="63"/>
      <c r="C499" s="64"/>
      <c r="D499" s="63"/>
      <c r="E499" s="63"/>
      <c r="F499" s="63"/>
      <c r="G499" s="63"/>
      <c r="H499" s="63"/>
      <c r="J499" s="63"/>
      <c r="K499" s="63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2.75" customHeight="1">
      <c r="A500" s="47"/>
      <c r="B500" s="63"/>
      <c r="C500" s="64"/>
      <c r="D500" s="63"/>
      <c r="E500" s="63"/>
      <c r="F500" s="63"/>
      <c r="G500" s="63"/>
      <c r="H500" s="63"/>
      <c r="J500" s="63"/>
      <c r="K500" s="63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2.75" customHeight="1">
      <c r="A501" s="47"/>
      <c r="B501" s="63"/>
      <c r="C501" s="64"/>
      <c r="D501" s="63"/>
      <c r="E501" s="63"/>
      <c r="F501" s="63"/>
      <c r="G501" s="63"/>
      <c r="H501" s="63"/>
      <c r="J501" s="63"/>
      <c r="K501" s="63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2.75" customHeight="1">
      <c r="A502" s="47"/>
      <c r="B502" s="63"/>
      <c r="C502" s="64"/>
      <c r="D502" s="63"/>
      <c r="E502" s="63"/>
      <c r="F502" s="63"/>
      <c r="G502" s="63"/>
      <c r="H502" s="63"/>
      <c r="J502" s="63"/>
      <c r="K502" s="63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2.75" customHeight="1">
      <c r="A503" s="47"/>
      <c r="B503" s="63"/>
      <c r="C503" s="64"/>
      <c r="D503" s="63"/>
      <c r="E503" s="63"/>
      <c r="F503" s="63"/>
      <c r="G503" s="63"/>
      <c r="H503" s="63"/>
      <c r="J503" s="63"/>
      <c r="K503" s="63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2.75" customHeight="1">
      <c r="A504" s="47"/>
      <c r="B504" s="63"/>
      <c r="C504" s="64"/>
      <c r="D504" s="63"/>
      <c r="E504" s="63"/>
      <c r="F504" s="63"/>
      <c r="G504" s="63"/>
      <c r="H504" s="63"/>
      <c r="J504" s="63"/>
      <c r="K504" s="63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2.75" customHeight="1">
      <c r="A505" s="47"/>
      <c r="B505" s="63"/>
      <c r="C505" s="64"/>
      <c r="D505" s="63"/>
      <c r="E505" s="63"/>
      <c r="F505" s="63"/>
      <c r="G505" s="63"/>
      <c r="H505" s="63"/>
      <c r="J505" s="63"/>
      <c r="K505" s="63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2.75" customHeight="1">
      <c r="A506" s="47"/>
      <c r="B506" s="63"/>
      <c r="C506" s="64"/>
      <c r="D506" s="63"/>
      <c r="E506" s="63"/>
      <c r="F506" s="63"/>
      <c r="G506" s="63"/>
      <c r="H506" s="63"/>
      <c r="J506" s="63"/>
      <c r="K506" s="63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2.75" customHeight="1">
      <c r="A507" s="47"/>
      <c r="B507" s="63"/>
      <c r="C507" s="64"/>
      <c r="D507" s="63"/>
      <c r="E507" s="63"/>
      <c r="F507" s="63"/>
      <c r="G507" s="63"/>
      <c r="H507" s="63"/>
      <c r="J507" s="63"/>
      <c r="K507" s="63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2.75" customHeight="1">
      <c r="A508" s="47"/>
      <c r="B508" s="63"/>
      <c r="C508" s="64"/>
      <c r="D508" s="63"/>
      <c r="E508" s="63"/>
      <c r="F508" s="63"/>
      <c r="G508" s="63"/>
      <c r="H508" s="63"/>
      <c r="J508" s="63"/>
      <c r="K508" s="63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2.75" customHeight="1">
      <c r="A509" s="47"/>
      <c r="B509" s="63"/>
      <c r="C509" s="64"/>
      <c r="D509" s="63"/>
      <c r="E509" s="63"/>
      <c r="F509" s="63"/>
      <c r="G509" s="63"/>
      <c r="H509" s="63"/>
      <c r="J509" s="63"/>
      <c r="K509" s="63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2.75" customHeight="1">
      <c r="A510" s="47"/>
      <c r="B510" s="63"/>
      <c r="C510" s="64"/>
      <c r="D510" s="63"/>
      <c r="E510" s="63"/>
      <c r="F510" s="63"/>
      <c r="G510" s="63"/>
      <c r="H510" s="63"/>
      <c r="J510" s="63"/>
      <c r="K510" s="63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2.75" customHeight="1">
      <c r="A511" s="47"/>
      <c r="B511" s="63"/>
      <c r="C511" s="64"/>
      <c r="D511" s="63"/>
      <c r="E511" s="63"/>
      <c r="F511" s="63"/>
      <c r="G511" s="63"/>
      <c r="H511" s="63"/>
      <c r="J511" s="63"/>
      <c r="K511" s="63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2.75" customHeight="1">
      <c r="A512" s="47"/>
      <c r="B512" s="63"/>
      <c r="C512" s="64"/>
      <c r="D512" s="63"/>
      <c r="E512" s="63"/>
      <c r="F512" s="63"/>
      <c r="G512" s="63"/>
      <c r="H512" s="63"/>
      <c r="J512" s="63"/>
      <c r="K512" s="63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2.75" customHeight="1">
      <c r="A513" s="47"/>
      <c r="B513" s="63"/>
      <c r="C513" s="64"/>
      <c r="D513" s="63"/>
      <c r="E513" s="63"/>
      <c r="F513" s="63"/>
      <c r="G513" s="63"/>
      <c r="H513" s="63"/>
      <c r="J513" s="63"/>
      <c r="K513" s="63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2.75" customHeight="1">
      <c r="A514" s="47"/>
      <c r="B514" s="63"/>
      <c r="C514" s="64"/>
      <c r="D514" s="63"/>
      <c r="E514" s="63"/>
      <c r="F514" s="63"/>
      <c r="G514" s="63"/>
      <c r="H514" s="63"/>
      <c r="J514" s="63"/>
      <c r="K514" s="63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2.75" customHeight="1">
      <c r="A515" s="47"/>
      <c r="B515" s="63"/>
      <c r="C515" s="64"/>
      <c r="D515" s="63"/>
      <c r="E515" s="63"/>
      <c r="F515" s="63"/>
      <c r="G515" s="63"/>
      <c r="H515" s="63"/>
      <c r="J515" s="63"/>
      <c r="K515" s="63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2.75" customHeight="1">
      <c r="A516" s="47"/>
      <c r="B516" s="63"/>
      <c r="C516" s="64"/>
      <c r="D516" s="63"/>
      <c r="E516" s="63"/>
      <c r="F516" s="63"/>
      <c r="G516" s="63"/>
      <c r="H516" s="63"/>
      <c r="J516" s="63"/>
      <c r="K516" s="63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2.75" customHeight="1">
      <c r="A517" s="47"/>
      <c r="B517" s="63"/>
      <c r="C517" s="64"/>
      <c r="D517" s="63"/>
      <c r="E517" s="63"/>
      <c r="F517" s="63"/>
      <c r="G517" s="63"/>
      <c r="H517" s="63"/>
      <c r="J517" s="63"/>
      <c r="K517" s="63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2.75" customHeight="1">
      <c r="A518" s="47"/>
      <c r="B518" s="63"/>
      <c r="C518" s="64"/>
      <c r="D518" s="63"/>
      <c r="E518" s="63"/>
      <c r="F518" s="63"/>
      <c r="G518" s="63"/>
      <c r="H518" s="63"/>
      <c r="J518" s="63"/>
      <c r="K518" s="63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2.75" customHeight="1">
      <c r="A519" s="47"/>
      <c r="B519" s="63"/>
      <c r="C519" s="64"/>
      <c r="D519" s="63"/>
      <c r="E519" s="63"/>
      <c r="F519" s="63"/>
      <c r="G519" s="63"/>
      <c r="H519" s="63"/>
      <c r="J519" s="63"/>
      <c r="K519" s="63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2.75" customHeight="1">
      <c r="A520" s="47"/>
      <c r="B520" s="63"/>
      <c r="C520" s="64"/>
      <c r="D520" s="63"/>
      <c r="E520" s="63"/>
      <c r="F520" s="63"/>
      <c r="G520" s="63"/>
      <c r="H520" s="63"/>
      <c r="J520" s="63"/>
      <c r="K520" s="63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2.75" customHeight="1">
      <c r="A521" s="47"/>
      <c r="B521" s="63"/>
      <c r="C521" s="64"/>
      <c r="D521" s="63"/>
      <c r="E521" s="63"/>
      <c r="F521" s="63"/>
      <c r="G521" s="63"/>
      <c r="H521" s="63"/>
      <c r="J521" s="63"/>
      <c r="K521" s="63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2.75" customHeight="1">
      <c r="A522" s="47"/>
      <c r="B522" s="63"/>
      <c r="C522" s="64"/>
      <c r="D522" s="63"/>
      <c r="E522" s="63"/>
      <c r="F522" s="63"/>
      <c r="G522" s="63"/>
      <c r="H522" s="63"/>
      <c r="J522" s="63"/>
      <c r="K522" s="63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2.75" customHeight="1">
      <c r="A523" s="47"/>
      <c r="B523" s="63"/>
      <c r="C523" s="64"/>
      <c r="D523" s="63"/>
      <c r="E523" s="63"/>
      <c r="F523" s="63"/>
      <c r="G523" s="63"/>
      <c r="H523" s="63"/>
      <c r="J523" s="63"/>
      <c r="K523" s="63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2.75" customHeight="1">
      <c r="A524" s="47"/>
      <c r="B524" s="63"/>
      <c r="C524" s="64"/>
      <c r="D524" s="63"/>
      <c r="E524" s="63"/>
      <c r="F524" s="63"/>
      <c r="G524" s="63"/>
      <c r="H524" s="63"/>
      <c r="J524" s="63"/>
      <c r="K524" s="63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2.75" customHeight="1">
      <c r="A525" s="47"/>
      <c r="B525" s="63"/>
      <c r="C525" s="64"/>
      <c r="D525" s="63"/>
      <c r="E525" s="63"/>
      <c r="F525" s="63"/>
      <c r="G525" s="63"/>
      <c r="H525" s="63"/>
      <c r="J525" s="63"/>
      <c r="K525" s="63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2.75" customHeight="1">
      <c r="A526" s="47"/>
      <c r="B526" s="63"/>
      <c r="C526" s="64"/>
      <c r="D526" s="63"/>
      <c r="E526" s="63"/>
      <c r="F526" s="63"/>
      <c r="G526" s="63"/>
      <c r="H526" s="63"/>
      <c r="J526" s="63"/>
      <c r="K526" s="63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2.75" customHeight="1">
      <c r="A527" s="47"/>
      <c r="B527" s="63"/>
      <c r="C527" s="64"/>
      <c r="D527" s="63"/>
      <c r="E527" s="63"/>
      <c r="F527" s="63"/>
      <c r="G527" s="63"/>
      <c r="H527" s="63"/>
      <c r="J527" s="63"/>
      <c r="K527" s="63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2.75" customHeight="1">
      <c r="A528" s="47"/>
      <c r="B528" s="63"/>
      <c r="C528" s="64"/>
      <c r="D528" s="63"/>
      <c r="E528" s="63"/>
      <c r="F528" s="63"/>
      <c r="G528" s="63"/>
      <c r="H528" s="63"/>
      <c r="J528" s="63"/>
      <c r="K528" s="63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2.75" customHeight="1">
      <c r="A529" s="47"/>
      <c r="B529" s="63"/>
      <c r="C529" s="64"/>
      <c r="D529" s="63"/>
      <c r="E529" s="63"/>
      <c r="F529" s="63"/>
      <c r="G529" s="63"/>
      <c r="H529" s="63"/>
      <c r="J529" s="63"/>
      <c r="K529" s="63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2.75" customHeight="1">
      <c r="A530" s="47"/>
      <c r="B530" s="63"/>
      <c r="C530" s="64"/>
      <c r="D530" s="63"/>
      <c r="E530" s="63"/>
      <c r="F530" s="63"/>
      <c r="G530" s="63"/>
      <c r="H530" s="63"/>
      <c r="J530" s="63"/>
      <c r="K530" s="63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2.75" customHeight="1">
      <c r="A531" s="47"/>
      <c r="B531" s="63"/>
      <c r="C531" s="64"/>
      <c r="D531" s="63"/>
      <c r="E531" s="63"/>
      <c r="F531" s="63"/>
      <c r="G531" s="63"/>
      <c r="H531" s="63"/>
      <c r="J531" s="63"/>
      <c r="K531" s="63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2.75" customHeight="1">
      <c r="A532" s="47"/>
      <c r="B532" s="63"/>
      <c r="C532" s="64"/>
      <c r="D532" s="63"/>
      <c r="E532" s="63"/>
      <c r="F532" s="63"/>
      <c r="G532" s="63"/>
      <c r="H532" s="63"/>
      <c r="J532" s="63"/>
      <c r="K532" s="63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2.75" customHeight="1">
      <c r="A533" s="47"/>
      <c r="B533" s="63"/>
      <c r="C533" s="64"/>
      <c r="D533" s="63"/>
      <c r="E533" s="63"/>
      <c r="F533" s="63"/>
      <c r="G533" s="63"/>
      <c r="H533" s="63"/>
      <c r="J533" s="63"/>
      <c r="K533" s="63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2.75" customHeight="1">
      <c r="A534" s="47"/>
      <c r="B534" s="63"/>
      <c r="C534" s="64"/>
      <c r="D534" s="63"/>
      <c r="E534" s="63"/>
      <c r="F534" s="63"/>
      <c r="G534" s="63"/>
      <c r="H534" s="63"/>
      <c r="J534" s="63"/>
      <c r="K534" s="63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2.75" customHeight="1">
      <c r="A535" s="47"/>
      <c r="B535" s="63"/>
      <c r="C535" s="64"/>
      <c r="D535" s="63"/>
      <c r="E535" s="63"/>
      <c r="F535" s="63"/>
      <c r="G535" s="63"/>
      <c r="H535" s="63"/>
      <c r="J535" s="63"/>
      <c r="K535" s="63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2.75" customHeight="1">
      <c r="A536" s="47"/>
      <c r="B536" s="63"/>
      <c r="C536" s="64"/>
      <c r="D536" s="63"/>
      <c r="E536" s="63"/>
      <c r="F536" s="63"/>
      <c r="G536" s="63"/>
      <c r="H536" s="63"/>
      <c r="J536" s="63"/>
      <c r="K536" s="63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2.75" customHeight="1">
      <c r="A537" s="47"/>
      <c r="B537" s="63"/>
      <c r="C537" s="64"/>
      <c r="D537" s="63"/>
      <c r="E537" s="63"/>
      <c r="F537" s="63"/>
      <c r="G537" s="63"/>
      <c r="H537" s="63"/>
      <c r="J537" s="63"/>
      <c r="K537" s="63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2.75" customHeight="1">
      <c r="A538" s="47"/>
      <c r="B538" s="63"/>
      <c r="C538" s="64"/>
      <c r="D538" s="63"/>
      <c r="E538" s="63"/>
      <c r="F538" s="63"/>
      <c r="G538" s="63"/>
      <c r="H538" s="63"/>
      <c r="J538" s="63"/>
      <c r="K538" s="63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2.75" customHeight="1">
      <c r="A539" s="47"/>
      <c r="B539" s="63"/>
      <c r="C539" s="64"/>
      <c r="D539" s="63"/>
      <c r="E539" s="63"/>
      <c r="F539" s="63"/>
      <c r="G539" s="63"/>
      <c r="H539" s="63"/>
      <c r="J539" s="63"/>
      <c r="K539" s="63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2.75" customHeight="1">
      <c r="A540" s="47"/>
      <c r="B540" s="63"/>
      <c r="C540" s="64"/>
      <c r="D540" s="63"/>
      <c r="E540" s="63"/>
      <c r="F540" s="63"/>
      <c r="G540" s="63"/>
      <c r="H540" s="63"/>
      <c r="J540" s="63"/>
      <c r="K540" s="63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2.75" customHeight="1">
      <c r="A541" s="47"/>
      <c r="B541" s="63"/>
      <c r="C541" s="64"/>
      <c r="D541" s="63"/>
      <c r="E541" s="63"/>
      <c r="F541" s="63"/>
      <c r="G541" s="63"/>
      <c r="H541" s="63"/>
      <c r="J541" s="63"/>
      <c r="K541" s="63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2.75" customHeight="1">
      <c r="A542" s="47"/>
      <c r="B542" s="63"/>
      <c r="C542" s="64"/>
      <c r="D542" s="63"/>
      <c r="E542" s="63"/>
      <c r="F542" s="63"/>
      <c r="G542" s="63"/>
      <c r="H542" s="63"/>
      <c r="J542" s="63"/>
      <c r="K542" s="63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2.75" customHeight="1">
      <c r="A543" s="47"/>
      <c r="B543" s="63"/>
      <c r="C543" s="64"/>
      <c r="D543" s="63"/>
      <c r="E543" s="63"/>
      <c r="F543" s="63"/>
      <c r="G543" s="63"/>
      <c r="H543" s="63"/>
      <c r="J543" s="63"/>
      <c r="K543" s="63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2.75" customHeight="1">
      <c r="A544" s="47"/>
      <c r="B544" s="63"/>
      <c r="C544" s="64"/>
      <c r="D544" s="63"/>
      <c r="E544" s="63"/>
      <c r="F544" s="63"/>
      <c r="G544" s="63"/>
      <c r="H544" s="63"/>
      <c r="J544" s="63"/>
      <c r="K544" s="63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2.75" customHeight="1">
      <c r="A545" s="47"/>
      <c r="B545" s="63"/>
      <c r="C545" s="64"/>
      <c r="D545" s="63"/>
      <c r="E545" s="63"/>
      <c r="F545" s="63"/>
      <c r="G545" s="63"/>
      <c r="H545" s="63"/>
      <c r="J545" s="63"/>
      <c r="K545" s="63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2.75" customHeight="1">
      <c r="A546" s="47"/>
      <c r="B546" s="63"/>
      <c r="C546" s="64"/>
      <c r="D546" s="63"/>
      <c r="E546" s="63"/>
      <c r="F546" s="63"/>
      <c r="G546" s="63"/>
      <c r="H546" s="63"/>
      <c r="J546" s="63"/>
      <c r="K546" s="63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2.75" customHeight="1">
      <c r="A547" s="47"/>
      <c r="B547" s="63"/>
      <c r="C547" s="64"/>
      <c r="D547" s="63"/>
      <c r="E547" s="63"/>
      <c r="F547" s="63"/>
      <c r="G547" s="63"/>
      <c r="H547" s="63"/>
      <c r="J547" s="63"/>
      <c r="K547" s="63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2.75" customHeight="1">
      <c r="A548" s="47"/>
      <c r="B548" s="63"/>
      <c r="C548" s="64"/>
      <c r="D548" s="63"/>
      <c r="E548" s="63"/>
      <c r="F548" s="63"/>
      <c r="G548" s="63"/>
      <c r="H548" s="63"/>
      <c r="J548" s="63"/>
      <c r="K548" s="63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2.75" customHeight="1">
      <c r="A549" s="47"/>
      <c r="B549" s="63"/>
      <c r="C549" s="64"/>
      <c r="D549" s="63"/>
      <c r="E549" s="63"/>
      <c r="F549" s="63"/>
      <c r="G549" s="63"/>
      <c r="H549" s="63"/>
      <c r="J549" s="63"/>
      <c r="K549" s="63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2.75" customHeight="1">
      <c r="A550" s="47"/>
      <c r="B550" s="63"/>
      <c r="C550" s="64"/>
      <c r="D550" s="63"/>
      <c r="E550" s="63"/>
      <c r="F550" s="63"/>
      <c r="G550" s="63"/>
      <c r="H550" s="63"/>
      <c r="J550" s="63"/>
      <c r="K550" s="63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2.75" customHeight="1">
      <c r="A551" s="47"/>
      <c r="B551" s="63"/>
      <c r="C551" s="64"/>
      <c r="D551" s="63"/>
      <c r="E551" s="63"/>
      <c r="F551" s="63"/>
      <c r="G551" s="63"/>
      <c r="H551" s="63"/>
      <c r="J551" s="63"/>
      <c r="K551" s="63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2.75" customHeight="1">
      <c r="A552" s="47"/>
      <c r="B552" s="63"/>
      <c r="C552" s="64"/>
      <c r="D552" s="63"/>
      <c r="E552" s="63"/>
      <c r="F552" s="63"/>
      <c r="G552" s="63"/>
      <c r="H552" s="63"/>
      <c r="J552" s="63"/>
      <c r="K552" s="63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2.75" customHeight="1">
      <c r="A553" s="47"/>
      <c r="B553" s="63"/>
      <c r="C553" s="64"/>
      <c r="D553" s="63"/>
      <c r="E553" s="63"/>
      <c r="F553" s="63"/>
      <c r="G553" s="63"/>
      <c r="H553" s="63"/>
      <c r="J553" s="63"/>
      <c r="K553" s="63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2.75" customHeight="1">
      <c r="A554" s="47"/>
      <c r="B554" s="63"/>
      <c r="C554" s="64"/>
      <c r="D554" s="63"/>
      <c r="E554" s="63"/>
      <c r="F554" s="63"/>
      <c r="G554" s="63"/>
      <c r="H554" s="63"/>
      <c r="J554" s="63"/>
      <c r="K554" s="63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2.75" customHeight="1">
      <c r="A555" s="47"/>
      <c r="B555" s="63"/>
      <c r="C555" s="64"/>
      <c r="D555" s="63"/>
      <c r="E555" s="63"/>
      <c r="F555" s="63"/>
      <c r="G555" s="63"/>
      <c r="H555" s="63"/>
      <c r="J555" s="63"/>
      <c r="K555" s="63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2.75" customHeight="1">
      <c r="A556" s="47"/>
      <c r="B556" s="63"/>
      <c r="C556" s="64"/>
      <c r="D556" s="63"/>
      <c r="E556" s="63"/>
      <c r="F556" s="63"/>
      <c r="G556" s="63"/>
      <c r="H556" s="63"/>
      <c r="J556" s="63"/>
      <c r="K556" s="63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2.75" customHeight="1">
      <c r="A557" s="47"/>
      <c r="B557" s="63"/>
      <c r="C557" s="64"/>
      <c r="D557" s="63"/>
      <c r="E557" s="63"/>
      <c r="F557" s="63"/>
      <c r="G557" s="63"/>
      <c r="H557" s="63"/>
      <c r="J557" s="63"/>
      <c r="K557" s="63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2.75" customHeight="1">
      <c r="A558" s="47"/>
      <c r="B558" s="63"/>
      <c r="C558" s="64"/>
      <c r="D558" s="63"/>
      <c r="E558" s="63"/>
      <c r="F558" s="63"/>
      <c r="G558" s="63"/>
      <c r="H558" s="63"/>
      <c r="J558" s="63"/>
      <c r="K558" s="63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2.75" customHeight="1">
      <c r="A559" s="47"/>
      <c r="B559" s="63"/>
      <c r="C559" s="64"/>
      <c r="D559" s="63"/>
      <c r="E559" s="63"/>
      <c r="F559" s="63"/>
      <c r="G559" s="63"/>
      <c r="H559" s="63"/>
      <c r="J559" s="63"/>
      <c r="K559" s="63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2.75" customHeight="1">
      <c r="A560" s="47"/>
      <c r="B560" s="63"/>
      <c r="C560" s="64"/>
      <c r="D560" s="63"/>
      <c r="E560" s="63"/>
      <c r="F560" s="63"/>
      <c r="G560" s="63"/>
      <c r="H560" s="63"/>
      <c r="J560" s="63"/>
      <c r="K560" s="63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2.75" customHeight="1">
      <c r="A561" s="47"/>
      <c r="B561" s="63"/>
      <c r="C561" s="64"/>
      <c r="D561" s="63"/>
      <c r="E561" s="63"/>
      <c r="F561" s="63"/>
      <c r="G561" s="63"/>
      <c r="H561" s="63"/>
      <c r="J561" s="63"/>
      <c r="K561" s="63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2.75" customHeight="1">
      <c r="A562" s="47"/>
      <c r="B562" s="63"/>
      <c r="C562" s="64"/>
      <c r="D562" s="63"/>
      <c r="E562" s="63"/>
      <c r="F562" s="63"/>
      <c r="G562" s="63"/>
      <c r="H562" s="63"/>
      <c r="J562" s="63"/>
      <c r="K562" s="63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2.75" customHeight="1">
      <c r="A563" s="47"/>
      <c r="B563" s="63"/>
      <c r="C563" s="64"/>
      <c r="D563" s="63"/>
      <c r="E563" s="63"/>
      <c r="F563" s="63"/>
      <c r="G563" s="63"/>
      <c r="H563" s="63"/>
      <c r="J563" s="63"/>
      <c r="K563" s="63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2.75" customHeight="1">
      <c r="A564" s="47"/>
      <c r="B564" s="63"/>
      <c r="C564" s="64"/>
      <c r="D564" s="63"/>
      <c r="E564" s="63"/>
      <c r="F564" s="63"/>
      <c r="G564" s="63"/>
      <c r="H564" s="63"/>
      <c r="J564" s="63"/>
      <c r="K564" s="63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2.75" customHeight="1">
      <c r="A565" s="47"/>
      <c r="B565" s="63"/>
      <c r="C565" s="64"/>
      <c r="D565" s="63"/>
      <c r="E565" s="63"/>
      <c r="F565" s="63"/>
      <c r="G565" s="63"/>
      <c r="H565" s="63"/>
      <c r="J565" s="63"/>
      <c r="K565" s="63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2.75" customHeight="1">
      <c r="A566" s="47"/>
      <c r="B566" s="63"/>
      <c r="C566" s="64"/>
      <c r="D566" s="63"/>
      <c r="E566" s="63"/>
      <c r="F566" s="63"/>
      <c r="G566" s="63"/>
      <c r="H566" s="63"/>
      <c r="J566" s="63"/>
      <c r="K566" s="63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2.75" customHeight="1">
      <c r="A567" s="47"/>
      <c r="B567" s="63"/>
      <c r="C567" s="64"/>
      <c r="D567" s="63"/>
      <c r="E567" s="63"/>
      <c r="F567" s="63"/>
      <c r="G567" s="63"/>
      <c r="H567" s="63"/>
      <c r="J567" s="63"/>
      <c r="K567" s="63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2.75" customHeight="1">
      <c r="A568" s="47"/>
      <c r="B568" s="63"/>
      <c r="C568" s="64"/>
      <c r="D568" s="63"/>
      <c r="E568" s="63"/>
      <c r="F568" s="63"/>
      <c r="G568" s="63"/>
      <c r="H568" s="63"/>
      <c r="J568" s="63"/>
      <c r="K568" s="63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2.75" customHeight="1">
      <c r="A569" s="47"/>
      <c r="B569" s="63"/>
      <c r="C569" s="64"/>
      <c r="D569" s="63"/>
      <c r="E569" s="63"/>
      <c r="F569" s="63"/>
      <c r="G569" s="63"/>
      <c r="H569" s="63"/>
      <c r="J569" s="63"/>
      <c r="K569" s="63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2.75" customHeight="1">
      <c r="A570" s="47"/>
      <c r="B570" s="63"/>
      <c r="C570" s="64"/>
      <c r="D570" s="63"/>
      <c r="E570" s="63"/>
      <c r="F570" s="63"/>
      <c r="G570" s="63"/>
      <c r="H570" s="63"/>
      <c r="J570" s="63"/>
      <c r="K570" s="63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2.75" customHeight="1">
      <c r="A571" s="47"/>
      <c r="B571" s="63"/>
      <c r="C571" s="64"/>
      <c r="D571" s="63"/>
      <c r="E571" s="63"/>
      <c r="F571" s="63"/>
      <c r="G571" s="63"/>
      <c r="H571" s="63"/>
      <c r="J571" s="63"/>
      <c r="K571" s="63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2.75" customHeight="1">
      <c r="A572" s="47"/>
      <c r="B572" s="63"/>
      <c r="C572" s="64"/>
      <c r="D572" s="63"/>
      <c r="E572" s="63"/>
      <c r="F572" s="63"/>
      <c r="G572" s="63"/>
      <c r="H572" s="63"/>
      <c r="J572" s="63"/>
      <c r="K572" s="63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2.75" customHeight="1">
      <c r="A573" s="47"/>
      <c r="B573" s="63"/>
      <c r="C573" s="64"/>
      <c r="D573" s="63"/>
      <c r="E573" s="63"/>
      <c r="F573" s="63"/>
      <c r="G573" s="63"/>
      <c r="H573" s="63"/>
      <c r="J573" s="63"/>
      <c r="K573" s="63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2.75" customHeight="1">
      <c r="A574" s="47"/>
      <c r="B574" s="63"/>
      <c r="C574" s="64"/>
      <c r="D574" s="63"/>
      <c r="E574" s="63"/>
      <c r="F574" s="63"/>
      <c r="G574" s="63"/>
      <c r="H574" s="63"/>
      <c r="J574" s="63"/>
      <c r="K574" s="63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2.75" customHeight="1">
      <c r="A575" s="47"/>
      <c r="B575" s="63"/>
      <c r="C575" s="64"/>
      <c r="D575" s="63"/>
      <c r="E575" s="63"/>
      <c r="F575" s="63"/>
      <c r="G575" s="63"/>
      <c r="H575" s="63"/>
      <c r="J575" s="63"/>
      <c r="K575" s="63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2.75" customHeight="1">
      <c r="A576" s="47"/>
      <c r="B576" s="63"/>
      <c r="C576" s="64"/>
      <c r="D576" s="63"/>
      <c r="E576" s="63"/>
      <c r="F576" s="63"/>
      <c r="G576" s="63"/>
      <c r="H576" s="63"/>
      <c r="J576" s="63"/>
      <c r="K576" s="63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2.75" customHeight="1">
      <c r="A577" s="47"/>
      <c r="B577" s="63"/>
      <c r="C577" s="64"/>
      <c r="D577" s="63"/>
      <c r="E577" s="63"/>
      <c r="F577" s="63"/>
      <c r="G577" s="63"/>
      <c r="H577" s="63"/>
      <c r="J577" s="63"/>
      <c r="K577" s="63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2.75" customHeight="1">
      <c r="A578" s="47"/>
      <c r="B578" s="63"/>
      <c r="C578" s="64"/>
      <c r="D578" s="63"/>
      <c r="E578" s="63"/>
      <c r="F578" s="63"/>
      <c r="G578" s="63"/>
      <c r="H578" s="63"/>
      <c r="J578" s="63"/>
      <c r="K578" s="63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2.75" customHeight="1">
      <c r="A579" s="47"/>
      <c r="B579" s="63"/>
      <c r="C579" s="64"/>
      <c r="D579" s="63"/>
      <c r="E579" s="63"/>
      <c r="F579" s="63"/>
      <c r="G579" s="63"/>
      <c r="H579" s="63"/>
      <c r="J579" s="63"/>
      <c r="K579" s="63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2.75" customHeight="1">
      <c r="A580" s="47"/>
      <c r="B580" s="63"/>
      <c r="C580" s="64"/>
      <c r="D580" s="63"/>
      <c r="E580" s="63"/>
      <c r="F580" s="63"/>
      <c r="G580" s="63"/>
      <c r="H580" s="63"/>
      <c r="J580" s="63"/>
      <c r="K580" s="63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2.75" customHeight="1">
      <c r="A581" s="47"/>
      <c r="B581" s="63"/>
      <c r="C581" s="64"/>
      <c r="D581" s="63"/>
      <c r="E581" s="63"/>
      <c r="F581" s="63"/>
      <c r="G581" s="63"/>
      <c r="H581" s="63"/>
      <c r="J581" s="63"/>
      <c r="K581" s="63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2.75" customHeight="1">
      <c r="A582" s="47"/>
      <c r="B582" s="63"/>
      <c r="C582" s="64"/>
      <c r="D582" s="63"/>
      <c r="E582" s="63"/>
      <c r="F582" s="63"/>
      <c r="G582" s="63"/>
      <c r="H582" s="63"/>
      <c r="J582" s="63"/>
      <c r="K582" s="63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2.75" customHeight="1">
      <c r="A583" s="47"/>
      <c r="B583" s="63"/>
      <c r="C583" s="64"/>
      <c r="D583" s="63"/>
      <c r="E583" s="63"/>
      <c r="F583" s="63"/>
      <c r="G583" s="63"/>
      <c r="H583" s="63"/>
      <c r="J583" s="63"/>
      <c r="K583" s="63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2.75" customHeight="1">
      <c r="A584" s="47"/>
      <c r="B584" s="63"/>
      <c r="C584" s="64"/>
      <c r="D584" s="63"/>
      <c r="E584" s="63"/>
      <c r="F584" s="63"/>
      <c r="G584" s="63"/>
      <c r="H584" s="63"/>
      <c r="J584" s="63"/>
      <c r="K584" s="63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2.75" customHeight="1">
      <c r="A585" s="47"/>
      <c r="B585" s="63"/>
      <c r="C585" s="64"/>
      <c r="D585" s="63"/>
      <c r="E585" s="63"/>
      <c r="F585" s="63"/>
      <c r="G585" s="63"/>
      <c r="H585" s="63"/>
      <c r="J585" s="63"/>
      <c r="K585" s="63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2.75" customHeight="1">
      <c r="A586" s="47"/>
      <c r="B586" s="63"/>
      <c r="C586" s="64"/>
      <c r="D586" s="63"/>
      <c r="E586" s="63"/>
      <c r="F586" s="63"/>
      <c r="G586" s="63"/>
      <c r="H586" s="63"/>
      <c r="J586" s="63"/>
      <c r="K586" s="63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2.75" customHeight="1">
      <c r="A587" s="47"/>
      <c r="B587" s="63"/>
      <c r="C587" s="64"/>
      <c r="D587" s="63"/>
      <c r="E587" s="63"/>
      <c r="F587" s="63"/>
      <c r="G587" s="63"/>
      <c r="H587" s="63"/>
      <c r="J587" s="63"/>
      <c r="K587" s="63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2.75" customHeight="1">
      <c r="A588" s="47"/>
      <c r="B588" s="63"/>
      <c r="C588" s="64"/>
      <c r="D588" s="63"/>
      <c r="E588" s="63"/>
      <c r="F588" s="63"/>
      <c r="G588" s="63"/>
      <c r="H588" s="63"/>
      <c r="J588" s="63"/>
      <c r="K588" s="63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2.75" customHeight="1">
      <c r="A589" s="47"/>
      <c r="B589" s="63"/>
      <c r="C589" s="64"/>
      <c r="D589" s="63"/>
      <c r="E589" s="63"/>
      <c r="F589" s="63"/>
      <c r="G589" s="63"/>
      <c r="H589" s="63"/>
      <c r="J589" s="63"/>
      <c r="K589" s="63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2.75" customHeight="1">
      <c r="A590" s="47"/>
      <c r="B590" s="63"/>
      <c r="C590" s="64"/>
      <c r="D590" s="63"/>
      <c r="E590" s="63"/>
      <c r="F590" s="63"/>
      <c r="G590" s="63"/>
      <c r="H590" s="63"/>
      <c r="J590" s="63"/>
      <c r="K590" s="63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2.75" customHeight="1">
      <c r="A591" s="47"/>
      <c r="B591" s="63"/>
      <c r="C591" s="64"/>
      <c r="D591" s="63"/>
      <c r="E591" s="63"/>
      <c r="F591" s="63"/>
      <c r="G591" s="63"/>
      <c r="H591" s="63"/>
      <c r="J591" s="63"/>
      <c r="K591" s="63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2.75" customHeight="1">
      <c r="A592" s="47"/>
      <c r="B592" s="63"/>
      <c r="C592" s="64"/>
      <c r="D592" s="63"/>
      <c r="E592" s="63"/>
      <c r="F592" s="63"/>
      <c r="G592" s="63"/>
      <c r="H592" s="63"/>
      <c r="J592" s="63"/>
      <c r="K592" s="63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2.75" customHeight="1">
      <c r="A593" s="47"/>
      <c r="B593" s="63"/>
      <c r="C593" s="64"/>
      <c r="D593" s="63"/>
      <c r="E593" s="63"/>
      <c r="F593" s="63"/>
      <c r="G593" s="63"/>
      <c r="H593" s="63"/>
      <c r="J593" s="63"/>
      <c r="K593" s="63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2.75" customHeight="1">
      <c r="A594" s="47"/>
      <c r="B594" s="63"/>
      <c r="C594" s="64"/>
      <c r="D594" s="63"/>
      <c r="E594" s="63"/>
      <c r="F594" s="63"/>
      <c r="G594" s="63"/>
      <c r="H594" s="63"/>
      <c r="J594" s="63"/>
      <c r="K594" s="63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2.75" customHeight="1">
      <c r="A595" s="47"/>
      <c r="B595" s="63"/>
      <c r="C595" s="64"/>
      <c r="D595" s="63"/>
      <c r="E595" s="63"/>
      <c r="F595" s="63"/>
      <c r="G595" s="63"/>
      <c r="H595" s="63"/>
      <c r="J595" s="63"/>
      <c r="K595" s="63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2.75" customHeight="1">
      <c r="A596" s="47"/>
      <c r="B596" s="63"/>
      <c r="C596" s="64"/>
      <c r="D596" s="63"/>
      <c r="E596" s="63"/>
      <c r="F596" s="63"/>
      <c r="G596" s="63"/>
      <c r="H596" s="63"/>
      <c r="J596" s="63"/>
      <c r="K596" s="63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2.75" customHeight="1">
      <c r="A597" s="47"/>
      <c r="B597" s="63"/>
      <c r="C597" s="64"/>
      <c r="D597" s="63"/>
      <c r="E597" s="63"/>
      <c r="F597" s="63"/>
      <c r="G597" s="63"/>
      <c r="H597" s="63"/>
      <c r="J597" s="63"/>
      <c r="K597" s="63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2.75" customHeight="1">
      <c r="A598" s="47"/>
      <c r="B598" s="63"/>
      <c r="C598" s="64"/>
      <c r="D598" s="63"/>
      <c r="E598" s="63"/>
      <c r="F598" s="63"/>
      <c r="G598" s="63"/>
      <c r="H598" s="63"/>
      <c r="J598" s="63"/>
      <c r="K598" s="63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2.75" customHeight="1">
      <c r="A599" s="47"/>
      <c r="B599" s="63"/>
      <c r="C599" s="64"/>
      <c r="D599" s="63"/>
      <c r="E599" s="63"/>
      <c r="F599" s="63"/>
      <c r="G599" s="63"/>
      <c r="H599" s="63"/>
      <c r="J599" s="63"/>
      <c r="K599" s="63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2.75" customHeight="1">
      <c r="A600" s="47"/>
      <c r="B600" s="63"/>
      <c r="C600" s="64"/>
      <c r="D600" s="63"/>
      <c r="E600" s="63"/>
      <c r="F600" s="63"/>
      <c r="G600" s="63"/>
      <c r="H600" s="63"/>
      <c r="J600" s="63"/>
      <c r="K600" s="63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2.75" customHeight="1">
      <c r="A601" s="47"/>
      <c r="B601" s="63"/>
      <c r="C601" s="64"/>
      <c r="D601" s="63"/>
      <c r="E601" s="63"/>
      <c r="F601" s="63"/>
      <c r="G601" s="63"/>
      <c r="H601" s="63"/>
      <c r="J601" s="63"/>
      <c r="K601" s="63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2.75" customHeight="1">
      <c r="A602" s="47"/>
      <c r="B602" s="63"/>
      <c r="C602" s="64"/>
      <c r="D602" s="63"/>
      <c r="E602" s="63"/>
      <c r="F602" s="63"/>
      <c r="G602" s="63"/>
      <c r="H602" s="63"/>
      <c r="J602" s="63"/>
      <c r="K602" s="63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2.75" customHeight="1">
      <c r="A603" s="47"/>
      <c r="B603" s="63"/>
      <c r="C603" s="64"/>
      <c r="D603" s="63"/>
      <c r="E603" s="63"/>
      <c r="F603" s="63"/>
      <c r="G603" s="63"/>
      <c r="H603" s="63"/>
      <c r="J603" s="63"/>
      <c r="K603" s="63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2.75" customHeight="1">
      <c r="A604" s="47"/>
      <c r="B604" s="63"/>
      <c r="C604" s="64"/>
      <c r="D604" s="63"/>
      <c r="E604" s="63"/>
      <c r="F604" s="63"/>
      <c r="G604" s="63"/>
      <c r="H604" s="63"/>
      <c r="J604" s="63"/>
      <c r="K604" s="63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2.75" customHeight="1">
      <c r="A605" s="47"/>
      <c r="B605" s="63"/>
      <c r="C605" s="64"/>
      <c r="D605" s="63"/>
      <c r="E605" s="63"/>
      <c r="F605" s="63"/>
      <c r="G605" s="63"/>
      <c r="H605" s="63"/>
      <c r="J605" s="63"/>
      <c r="K605" s="63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2.75" customHeight="1">
      <c r="A606" s="47"/>
      <c r="B606" s="63"/>
      <c r="C606" s="64"/>
      <c r="D606" s="63"/>
      <c r="E606" s="63"/>
      <c r="F606" s="63"/>
      <c r="G606" s="63"/>
      <c r="H606" s="63"/>
      <c r="J606" s="63"/>
      <c r="K606" s="63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2.75" customHeight="1">
      <c r="A607" s="47"/>
      <c r="B607" s="63"/>
      <c r="C607" s="64"/>
      <c r="D607" s="63"/>
      <c r="E607" s="63"/>
      <c r="F607" s="63"/>
      <c r="G607" s="63"/>
      <c r="H607" s="63"/>
      <c r="J607" s="63"/>
      <c r="K607" s="63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2.75" customHeight="1">
      <c r="A608" s="47"/>
      <c r="B608" s="63"/>
      <c r="C608" s="64"/>
      <c r="D608" s="63"/>
      <c r="E608" s="63"/>
      <c r="F608" s="63"/>
      <c r="G608" s="63"/>
      <c r="H608" s="63"/>
      <c r="J608" s="63"/>
      <c r="K608" s="63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2.75" customHeight="1">
      <c r="A609" s="47"/>
      <c r="B609" s="63"/>
      <c r="C609" s="64"/>
      <c r="D609" s="63"/>
      <c r="E609" s="63"/>
      <c r="F609" s="63"/>
      <c r="G609" s="63"/>
      <c r="H609" s="63"/>
      <c r="J609" s="63"/>
      <c r="K609" s="63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2.75" customHeight="1">
      <c r="A610" s="47"/>
      <c r="B610" s="63"/>
      <c r="C610" s="64"/>
      <c r="D610" s="63"/>
      <c r="E610" s="63"/>
      <c r="F610" s="63"/>
      <c r="G610" s="63"/>
      <c r="H610" s="63"/>
      <c r="J610" s="63"/>
      <c r="K610" s="63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2.75" customHeight="1">
      <c r="A611" s="47"/>
      <c r="B611" s="63"/>
      <c r="C611" s="64"/>
      <c r="D611" s="63"/>
      <c r="E611" s="63"/>
      <c r="F611" s="63"/>
      <c r="G611" s="63"/>
      <c r="H611" s="63"/>
      <c r="J611" s="63"/>
      <c r="K611" s="63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2.75" customHeight="1">
      <c r="A612" s="47"/>
      <c r="B612" s="63"/>
      <c r="C612" s="64"/>
      <c r="D612" s="63"/>
      <c r="E612" s="63"/>
      <c r="F612" s="63"/>
      <c r="G612" s="63"/>
      <c r="H612" s="63"/>
      <c r="J612" s="63"/>
      <c r="K612" s="63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2.75" customHeight="1">
      <c r="A613" s="47"/>
      <c r="B613" s="63"/>
      <c r="C613" s="64"/>
      <c r="D613" s="63"/>
      <c r="E613" s="63"/>
      <c r="F613" s="63"/>
      <c r="G613" s="63"/>
      <c r="H613" s="63"/>
      <c r="J613" s="63"/>
      <c r="K613" s="63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2.75" customHeight="1">
      <c r="A614" s="47"/>
      <c r="B614" s="63"/>
      <c r="C614" s="64"/>
      <c r="D614" s="63"/>
      <c r="E614" s="63"/>
      <c r="F614" s="63"/>
      <c r="G614" s="63"/>
      <c r="H614" s="63"/>
      <c r="J614" s="63"/>
      <c r="K614" s="63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2.75" customHeight="1">
      <c r="A615" s="47"/>
      <c r="B615" s="63"/>
      <c r="C615" s="64"/>
      <c r="D615" s="63"/>
      <c r="E615" s="63"/>
      <c r="F615" s="63"/>
      <c r="G615" s="63"/>
      <c r="H615" s="63"/>
      <c r="J615" s="63"/>
      <c r="K615" s="63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2.75" customHeight="1">
      <c r="A616" s="47"/>
      <c r="B616" s="63"/>
      <c r="C616" s="64"/>
      <c r="D616" s="63"/>
      <c r="E616" s="63"/>
      <c r="F616" s="63"/>
      <c r="G616" s="63"/>
      <c r="H616" s="63"/>
      <c r="J616" s="63"/>
      <c r="K616" s="63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2.75" customHeight="1">
      <c r="A617" s="47"/>
      <c r="B617" s="63"/>
      <c r="C617" s="64"/>
      <c r="D617" s="63"/>
      <c r="E617" s="63"/>
      <c r="F617" s="63"/>
      <c r="G617" s="63"/>
      <c r="H617" s="63"/>
      <c r="J617" s="63"/>
      <c r="K617" s="63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2.75" customHeight="1">
      <c r="A618" s="47"/>
      <c r="B618" s="63"/>
      <c r="C618" s="64"/>
      <c r="D618" s="63"/>
      <c r="E618" s="63"/>
      <c r="F618" s="63"/>
      <c r="G618" s="63"/>
      <c r="H618" s="63"/>
      <c r="J618" s="63"/>
      <c r="K618" s="63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2.75" customHeight="1">
      <c r="A619" s="47"/>
      <c r="B619" s="63"/>
      <c r="C619" s="64"/>
      <c r="D619" s="63"/>
      <c r="E619" s="63"/>
      <c r="F619" s="63"/>
      <c r="G619" s="63"/>
      <c r="H619" s="63"/>
      <c r="J619" s="63"/>
      <c r="K619" s="63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2.75" customHeight="1">
      <c r="A620" s="47"/>
      <c r="B620" s="63"/>
      <c r="C620" s="64"/>
      <c r="D620" s="63"/>
      <c r="E620" s="63"/>
      <c r="F620" s="63"/>
      <c r="G620" s="63"/>
      <c r="H620" s="63"/>
      <c r="J620" s="63"/>
      <c r="K620" s="63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2.75" customHeight="1">
      <c r="A621" s="47"/>
      <c r="B621" s="63"/>
      <c r="C621" s="64"/>
      <c r="D621" s="63"/>
      <c r="E621" s="63"/>
      <c r="F621" s="63"/>
      <c r="G621" s="63"/>
      <c r="H621" s="63"/>
      <c r="J621" s="63"/>
      <c r="K621" s="63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2.75" customHeight="1">
      <c r="A622" s="47"/>
      <c r="B622" s="63"/>
      <c r="C622" s="64"/>
      <c r="D622" s="63"/>
      <c r="E622" s="63"/>
      <c r="F622" s="63"/>
      <c r="G622" s="63"/>
      <c r="H622" s="63"/>
      <c r="J622" s="63"/>
      <c r="K622" s="63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2.75" customHeight="1">
      <c r="A623" s="47"/>
      <c r="B623" s="63"/>
      <c r="C623" s="64"/>
      <c r="D623" s="63"/>
      <c r="E623" s="63"/>
      <c r="F623" s="63"/>
      <c r="G623" s="63"/>
      <c r="H623" s="63"/>
      <c r="J623" s="63"/>
      <c r="K623" s="63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2.75" customHeight="1">
      <c r="A624" s="47"/>
      <c r="B624" s="63"/>
      <c r="C624" s="64"/>
      <c r="D624" s="63"/>
      <c r="E624" s="63"/>
      <c r="F624" s="63"/>
      <c r="G624" s="63"/>
      <c r="H624" s="63"/>
      <c r="J624" s="63"/>
      <c r="K624" s="63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2.75" customHeight="1">
      <c r="A625" s="47"/>
      <c r="B625" s="63"/>
      <c r="C625" s="64"/>
      <c r="D625" s="63"/>
      <c r="E625" s="63"/>
      <c r="F625" s="63"/>
      <c r="G625" s="63"/>
      <c r="H625" s="63"/>
      <c r="J625" s="63"/>
      <c r="K625" s="63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2.75" customHeight="1">
      <c r="A626" s="47"/>
      <c r="B626" s="63"/>
      <c r="C626" s="64"/>
      <c r="D626" s="63"/>
      <c r="E626" s="63"/>
      <c r="F626" s="63"/>
      <c r="G626" s="63"/>
      <c r="H626" s="63"/>
      <c r="J626" s="63"/>
      <c r="K626" s="63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2.75" customHeight="1">
      <c r="A627" s="47"/>
      <c r="B627" s="63"/>
      <c r="C627" s="64"/>
      <c r="D627" s="63"/>
      <c r="E627" s="63"/>
      <c r="F627" s="63"/>
      <c r="G627" s="63"/>
      <c r="H627" s="63"/>
      <c r="J627" s="63"/>
      <c r="K627" s="63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2.75" customHeight="1">
      <c r="A628" s="47"/>
      <c r="B628" s="63"/>
      <c r="C628" s="64"/>
      <c r="D628" s="63"/>
      <c r="E628" s="63"/>
      <c r="F628" s="63"/>
      <c r="G628" s="63"/>
      <c r="H628" s="63"/>
      <c r="J628" s="63"/>
      <c r="K628" s="63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2.75" customHeight="1">
      <c r="A629" s="47"/>
      <c r="B629" s="63"/>
      <c r="C629" s="64"/>
      <c r="D629" s="63"/>
      <c r="E629" s="63"/>
      <c r="F629" s="63"/>
      <c r="G629" s="63"/>
      <c r="H629" s="63"/>
      <c r="J629" s="63"/>
      <c r="K629" s="63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2.75" customHeight="1">
      <c r="A630" s="47"/>
      <c r="B630" s="63"/>
      <c r="C630" s="64"/>
      <c r="D630" s="63"/>
      <c r="E630" s="63"/>
      <c r="F630" s="63"/>
      <c r="G630" s="63"/>
      <c r="H630" s="63"/>
      <c r="J630" s="63"/>
      <c r="K630" s="63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2.75" customHeight="1">
      <c r="A631" s="47"/>
      <c r="B631" s="63"/>
      <c r="C631" s="64"/>
      <c r="D631" s="63"/>
      <c r="E631" s="63"/>
      <c r="F631" s="63"/>
      <c r="G631" s="63"/>
      <c r="H631" s="63"/>
      <c r="J631" s="63"/>
      <c r="K631" s="63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2.75" customHeight="1">
      <c r="A632" s="47"/>
      <c r="B632" s="63"/>
      <c r="C632" s="64"/>
      <c r="D632" s="63"/>
      <c r="E632" s="63"/>
      <c r="F632" s="63"/>
      <c r="G632" s="63"/>
      <c r="H632" s="63"/>
      <c r="J632" s="63"/>
      <c r="K632" s="63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2.75" customHeight="1">
      <c r="A633" s="47"/>
      <c r="B633" s="63"/>
      <c r="C633" s="64"/>
      <c r="D633" s="63"/>
      <c r="E633" s="63"/>
      <c r="F633" s="63"/>
      <c r="G633" s="63"/>
      <c r="H633" s="63"/>
      <c r="J633" s="63"/>
      <c r="K633" s="63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2.75" customHeight="1">
      <c r="A634" s="47"/>
      <c r="B634" s="63"/>
      <c r="C634" s="64"/>
      <c r="D634" s="63"/>
      <c r="E634" s="63"/>
      <c r="F634" s="63"/>
      <c r="G634" s="63"/>
      <c r="H634" s="63"/>
      <c r="J634" s="63"/>
      <c r="K634" s="63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2.75" customHeight="1">
      <c r="A635" s="47"/>
      <c r="B635" s="63"/>
      <c r="C635" s="64"/>
      <c r="D635" s="63"/>
      <c r="E635" s="63"/>
      <c r="F635" s="63"/>
      <c r="G635" s="63"/>
      <c r="H635" s="63"/>
      <c r="J635" s="63"/>
      <c r="K635" s="63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2.75" customHeight="1">
      <c r="A636" s="47"/>
      <c r="B636" s="63"/>
      <c r="C636" s="64"/>
      <c r="D636" s="63"/>
      <c r="E636" s="63"/>
      <c r="F636" s="63"/>
      <c r="G636" s="63"/>
      <c r="H636" s="63"/>
      <c r="J636" s="63"/>
      <c r="K636" s="63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2.75" customHeight="1">
      <c r="A637" s="47"/>
      <c r="B637" s="63"/>
      <c r="C637" s="64"/>
      <c r="D637" s="63"/>
      <c r="E637" s="63"/>
      <c r="F637" s="63"/>
      <c r="G637" s="63"/>
      <c r="H637" s="63"/>
      <c r="J637" s="63"/>
      <c r="K637" s="63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2.75" customHeight="1">
      <c r="A638" s="47"/>
      <c r="B638" s="63"/>
      <c r="C638" s="64"/>
      <c r="D638" s="63"/>
      <c r="E638" s="63"/>
      <c r="F638" s="63"/>
      <c r="G638" s="63"/>
      <c r="H638" s="63"/>
      <c r="J638" s="63"/>
      <c r="K638" s="63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2.75" customHeight="1">
      <c r="A639" s="47"/>
      <c r="B639" s="63"/>
      <c r="C639" s="64"/>
      <c r="D639" s="63"/>
      <c r="E639" s="63"/>
      <c r="F639" s="63"/>
      <c r="G639" s="63"/>
      <c r="H639" s="63"/>
      <c r="J639" s="63"/>
      <c r="K639" s="63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2.75" customHeight="1">
      <c r="A640" s="47"/>
      <c r="B640" s="63"/>
      <c r="C640" s="64"/>
      <c r="D640" s="63"/>
      <c r="E640" s="63"/>
      <c r="F640" s="63"/>
      <c r="G640" s="63"/>
      <c r="H640" s="63"/>
      <c r="J640" s="63"/>
      <c r="K640" s="63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2.75" customHeight="1">
      <c r="A641" s="47"/>
      <c r="B641" s="63"/>
      <c r="C641" s="64"/>
      <c r="D641" s="63"/>
      <c r="E641" s="63"/>
      <c r="F641" s="63"/>
      <c r="G641" s="63"/>
      <c r="H641" s="63"/>
      <c r="J641" s="63"/>
      <c r="K641" s="63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2.75" customHeight="1">
      <c r="A642" s="47"/>
      <c r="B642" s="63"/>
      <c r="C642" s="64"/>
      <c r="D642" s="63"/>
      <c r="E642" s="63"/>
      <c r="F642" s="63"/>
      <c r="G642" s="63"/>
      <c r="H642" s="63"/>
      <c r="J642" s="63"/>
      <c r="K642" s="63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2.75" customHeight="1">
      <c r="A643" s="47"/>
      <c r="B643" s="63"/>
      <c r="C643" s="64"/>
      <c r="D643" s="63"/>
      <c r="E643" s="63"/>
      <c r="F643" s="63"/>
      <c r="G643" s="63"/>
      <c r="H643" s="63"/>
      <c r="J643" s="63"/>
      <c r="K643" s="63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2.75" customHeight="1">
      <c r="A644" s="47"/>
      <c r="B644" s="63"/>
      <c r="C644" s="64"/>
      <c r="D644" s="63"/>
      <c r="E644" s="63"/>
      <c r="F644" s="63"/>
      <c r="G644" s="63"/>
      <c r="H644" s="63"/>
      <c r="J644" s="63"/>
      <c r="K644" s="63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2.75" customHeight="1">
      <c r="A645" s="47"/>
      <c r="B645" s="63"/>
      <c r="C645" s="64"/>
      <c r="D645" s="63"/>
      <c r="E645" s="63"/>
      <c r="F645" s="63"/>
      <c r="G645" s="63"/>
      <c r="H645" s="63"/>
      <c r="J645" s="63"/>
      <c r="K645" s="63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2.75" customHeight="1">
      <c r="A646" s="47"/>
      <c r="B646" s="63"/>
      <c r="C646" s="64"/>
      <c r="D646" s="63"/>
      <c r="E646" s="63"/>
      <c r="F646" s="63"/>
      <c r="G646" s="63"/>
      <c r="H646" s="63"/>
      <c r="J646" s="63"/>
      <c r="K646" s="63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2.75" customHeight="1">
      <c r="A647" s="47"/>
      <c r="B647" s="63"/>
      <c r="C647" s="64"/>
      <c r="D647" s="63"/>
      <c r="E647" s="63"/>
      <c r="F647" s="63"/>
      <c r="G647" s="63"/>
      <c r="H647" s="63"/>
      <c r="J647" s="63"/>
      <c r="K647" s="63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2.75" customHeight="1">
      <c r="A648" s="47"/>
      <c r="B648" s="63"/>
      <c r="C648" s="64"/>
      <c r="D648" s="63"/>
      <c r="E648" s="63"/>
      <c r="F648" s="63"/>
      <c r="G648" s="63"/>
      <c r="H648" s="63"/>
      <c r="J648" s="63"/>
      <c r="K648" s="63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2.75" customHeight="1">
      <c r="A649" s="47"/>
      <c r="B649" s="63"/>
      <c r="C649" s="64"/>
      <c r="D649" s="63"/>
      <c r="E649" s="63"/>
      <c r="F649" s="63"/>
      <c r="G649" s="63"/>
      <c r="H649" s="63"/>
      <c r="J649" s="63"/>
      <c r="K649" s="63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2.75" customHeight="1">
      <c r="A650" s="47"/>
      <c r="B650" s="63"/>
      <c r="C650" s="64"/>
      <c r="D650" s="63"/>
      <c r="E650" s="63"/>
      <c r="F650" s="63"/>
      <c r="G650" s="63"/>
      <c r="H650" s="63"/>
      <c r="J650" s="63"/>
      <c r="K650" s="63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2.75" customHeight="1">
      <c r="A651" s="47"/>
      <c r="B651" s="63"/>
      <c r="C651" s="64"/>
      <c r="D651" s="63"/>
      <c r="E651" s="63"/>
      <c r="F651" s="63"/>
      <c r="G651" s="63"/>
      <c r="H651" s="63"/>
      <c r="J651" s="63"/>
      <c r="K651" s="63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2.75" customHeight="1">
      <c r="A652" s="47"/>
      <c r="B652" s="63"/>
      <c r="C652" s="64"/>
      <c r="D652" s="63"/>
      <c r="E652" s="63"/>
      <c r="F652" s="63"/>
      <c r="G652" s="63"/>
      <c r="H652" s="63"/>
      <c r="J652" s="63"/>
      <c r="K652" s="63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2.75" customHeight="1">
      <c r="A653" s="47"/>
      <c r="B653" s="63"/>
      <c r="C653" s="64"/>
      <c r="D653" s="63"/>
      <c r="E653" s="63"/>
      <c r="F653" s="63"/>
      <c r="G653" s="63"/>
      <c r="H653" s="63"/>
      <c r="J653" s="63"/>
      <c r="K653" s="63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2.75" customHeight="1">
      <c r="A654" s="47"/>
      <c r="B654" s="63"/>
      <c r="C654" s="64"/>
      <c r="D654" s="63"/>
      <c r="E654" s="63"/>
      <c r="F654" s="63"/>
      <c r="G654" s="63"/>
      <c r="H654" s="63"/>
      <c r="J654" s="63"/>
      <c r="K654" s="63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2.75" customHeight="1">
      <c r="A655" s="47"/>
      <c r="B655" s="63"/>
      <c r="C655" s="64"/>
      <c r="D655" s="63"/>
      <c r="E655" s="63"/>
      <c r="F655" s="63"/>
      <c r="G655" s="63"/>
      <c r="H655" s="63"/>
      <c r="J655" s="63"/>
      <c r="K655" s="63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2.75" customHeight="1">
      <c r="A656" s="47"/>
      <c r="B656" s="63"/>
      <c r="C656" s="64"/>
      <c r="D656" s="63"/>
      <c r="E656" s="63"/>
      <c r="F656" s="63"/>
      <c r="G656" s="63"/>
      <c r="H656" s="63"/>
      <c r="J656" s="63"/>
      <c r="K656" s="63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2.75" customHeight="1">
      <c r="A657" s="47"/>
      <c r="B657" s="63"/>
      <c r="C657" s="64"/>
      <c r="D657" s="63"/>
      <c r="E657" s="63"/>
      <c r="F657" s="63"/>
      <c r="G657" s="63"/>
      <c r="H657" s="63"/>
      <c r="J657" s="63"/>
      <c r="K657" s="63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2.75" customHeight="1">
      <c r="A658" s="47"/>
      <c r="B658" s="63"/>
      <c r="C658" s="64"/>
      <c r="D658" s="63"/>
      <c r="E658" s="63"/>
      <c r="F658" s="63"/>
      <c r="G658" s="63"/>
      <c r="H658" s="63"/>
      <c r="J658" s="63"/>
      <c r="K658" s="63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2.75" customHeight="1">
      <c r="A659" s="47"/>
      <c r="B659" s="63"/>
      <c r="C659" s="64"/>
      <c r="D659" s="63"/>
      <c r="E659" s="63"/>
      <c r="F659" s="63"/>
      <c r="G659" s="63"/>
      <c r="H659" s="63"/>
      <c r="J659" s="63"/>
      <c r="K659" s="63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2.75" customHeight="1">
      <c r="A660" s="47"/>
      <c r="B660" s="63"/>
      <c r="C660" s="64"/>
      <c r="D660" s="63"/>
      <c r="E660" s="63"/>
      <c r="F660" s="63"/>
      <c r="G660" s="63"/>
      <c r="H660" s="63"/>
      <c r="J660" s="63"/>
      <c r="K660" s="63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2.75" customHeight="1">
      <c r="A661" s="47"/>
      <c r="B661" s="63"/>
      <c r="C661" s="64"/>
      <c r="D661" s="63"/>
      <c r="E661" s="63"/>
      <c r="F661" s="63"/>
      <c r="G661" s="63"/>
      <c r="H661" s="63"/>
      <c r="J661" s="63"/>
      <c r="K661" s="63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2.75" customHeight="1">
      <c r="A662" s="47"/>
      <c r="B662" s="63"/>
      <c r="C662" s="64"/>
      <c r="D662" s="63"/>
      <c r="E662" s="63"/>
      <c r="F662" s="63"/>
      <c r="G662" s="63"/>
      <c r="H662" s="63"/>
      <c r="J662" s="63"/>
      <c r="K662" s="63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2.75" customHeight="1">
      <c r="A663" s="47"/>
      <c r="B663" s="63"/>
      <c r="C663" s="64"/>
      <c r="D663" s="63"/>
      <c r="E663" s="63"/>
      <c r="F663" s="63"/>
      <c r="G663" s="63"/>
      <c r="H663" s="63"/>
      <c r="J663" s="63"/>
      <c r="K663" s="63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2.75" customHeight="1">
      <c r="A664" s="47"/>
      <c r="B664" s="63"/>
      <c r="C664" s="64"/>
      <c r="D664" s="63"/>
      <c r="E664" s="63"/>
      <c r="F664" s="63"/>
      <c r="G664" s="63"/>
      <c r="H664" s="63"/>
      <c r="J664" s="63"/>
      <c r="K664" s="63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2.75" customHeight="1">
      <c r="A665" s="47"/>
      <c r="B665" s="63"/>
      <c r="C665" s="64"/>
      <c r="D665" s="63"/>
      <c r="E665" s="63"/>
      <c r="F665" s="63"/>
      <c r="G665" s="63"/>
      <c r="H665" s="63"/>
      <c r="J665" s="63"/>
      <c r="K665" s="63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2.75" customHeight="1">
      <c r="A666" s="47"/>
      <c r="B666" s="63"/>
      <c r="C666" s="64"/>
      <c r="D666" s="63"/>
      <c r="E666" s="63"/>
      <c r="F666" s="63"/>
      <c r="G666" s="63"/>
      <c r="H666" s="63"/>
      <c r="J666" s="63"/>
      <c r="K666" s="63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2.75" customHeight="1">
      <c r="A667" s="47"/>
      <c r="B667" s="63"/>
      <c r="C667" s="64"/>
      <c r="D667" s="63"/>
      <c r="E667" s="63"/>
      <c r="F667" s="63"/>
      <c r="G667" s="63"/>
      <c r="H667" s="63"/>
      <c r="J667" s="63"/>
      <c r="K667" s="63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2.75" customHeight="1">
      <c r="A668" s="47"/>
      <c r="B668" s="63"/>
      <c r="C668" s="64"/>
      <c r="D668" s="63"/>
      <c r="E668" s="63"/>
      <c r="F668" s="63"/>
      <c r="G668" s="63"/>
      <c r="H668" s="63"/>
      <c r="J668" s="63"/>
      <c r="K668" s="63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2.75" customHeight="1">
      <c r="A669" s="47"/>
      <c r="B669" s="63"/>
      <c r="C669" s="64"/>
      <c r="D669" s="63"/>
      <c r="E669" s="63"/>
      <c r="F669" s="63"/>
      <c r="G669" s="63"/>
      <c r="H669" s="63"/>
      <c r="J669" s="63"/>
      <c r="K669" s="63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2.75" customHeight="1">
      <c r="A670" s="47"/>
      <c r="B670" s="63"/>
      <c r="C670" s="64"/>
      <c r="D670" s="63"/>
      <c r="E670" s="63"/>
      <c r="F670" s="63"/>
      <c r="G670" s="63"/>
      <c r="H670" s="63"/>
      <c r="J670" s="63"/>
      <c r="K670" s="63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2.75" customHeight="1">
      <c r="A671" s="47"/>
      <c r="B671" s="63"/>
      <c r="C671" s="64"/>
      <c r="D671" s="63"/>
      <c r="E671" s="63"/>
      <c r="F671" s="63"/>
      <c r="G671" s="63"/>
      <c r="H671" s="63"/>
      <c r="J671" s="63"/>
      <c r="K671" s="63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2.75" customHeight="1">
      <c r="A672" s="47"/>
      <c r="B672" s="63"/>
      <c r="C672" s="64"/>
      <c r="D672" s="63"/>
      <c r="E672" s="63"/>
      <c r="F672" s="63"/>
      <c r="G672" s="63"/>
      <c r="H672" s="63"/>
      <c r="J672" s="63"/>
      <c r="K672" s="63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2.75" customHeight="1">
      <c r="A673" s="47"/>
      <c r="B673" s="63"/>
      <c r="C673" s="64"/>
      <c r="D673" s="63"/>
      <c r="E673" s="63"/>
      <c r="F673" s="63"/>
      <c r="G673" s="63"/>
      <c r="H673" s="63"/>
      <c r="J673" s="63"/>
      <c r="K673" s="63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2.75" customHeight="1">
      <c r="A674" s="47"/>
      <c r="B674" s="63"/>
      <c r="C674" s="64"/>
      <c r="D674" s="63"/>
      <c r="E674" s="63"/>
      <c r="F674" s="63"/>
      <c r="G674" s="63"/>
      <c r="H674" s="63"/>
      <c r="J674" s="63"/>
      <c r="K674" s="63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2.75" customHeight="1">
      <c r="A675" s="47"/>
      <c r="B675" s="63"/>
      <c r="C675" s="64"/>
      <c r="D675" s="63"/>
      <c r="E675" s="63"/>
      <c r="F675" s="63"/>
      <c r="G675" s="63"/>
      <c r="H675" s="63"/>
      <c r="J675" s="63"/>
      <c r="K675" s="63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2.75" customHeight="1">
      <c r="A676" s="47"/>
      <c r="B676" s="63"/>
      <c r="C676" s="64"/>
      <c r="D676" s="63"/>
      <c r="E676" s="63"/>
      <c r="F676" s="63"/>
      <c r="G676" s="63"/>
      <c r="H676" s="63"/>
      <c r="J676" s="63"/>
      <c r="K676" s="63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2.75" customHeight="1">
      <c r="A677" s="47"/>
      <c r="B677" s="63"/>
      <c r="C677" s="64"/>
      <c r="D677" s="63"/>
      <c r="E677" s="63"/>
      <c r="F677" s="63"/>
      <c r="G677" s="63"/>
      <c r="H677" s="63"/>
      <c r="J677" s="63"/>
      <c r="K677" s="63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2.75" customHeight="1">
      <c r="A678" s="47"/>
      <c r="B678" s="63"/>
      <c r="C678" s="64"/>
      <c r="D678" s="63"/>
      <c r="E678" s="63"/>
      <c r="F678" s="63"/>
      <c r="G678" s="63"/>
      <c r="H678" s="63"/>
      <c r="J678" s="63"/>
      <c r="K678" s="63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2.75" customHeight="1">
      <c r="A679" s="47"/>
      <c r="B679" s="63"/>
      <c r="C679" s="64"/>
      <c r="D679" s="63"/>
      <c r="E679" s="63"/>
      <c r="F679" s="63"/>
      <c r="G679" s="63"/>
      <c r="H679" s="63"/>
      <c r="J679" s="63"/>
      <c r="K679" s="63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2.75" customHeight="1">
      <c r="A680" s="47"/>
      <c r="B680" s="63"/>
      <c r="C680" s="64"/>
      <c r="D680" s="63"/>
      <c r="E680" s="63"/>
      <c r="F680" s="63"/>
      <c r="G680" s="63"/>
      <c r="H680" s="63"/>
      <c r="J680" s="63"/>
      <c r="K680" s="63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2.75" customHeight="1">
      <c r="A681" s="47"/>
      <c r="B681" s="63"/>
      <c r="C681" s="64"/>
      <c r="D681" s="63"/>
      <c r="E681" s="63"/>
      <c r="F681" s="63"/>
      <c r="G681" s="63"/>
      <c r="H681" s="63"/>
      <c r="J681" s="63"/>
      <c r="K681" s="63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2.75" customHeight="1">
      <c r="A682" s="47"/>
      <c r="B682" s="63"/>
      <c r="C682" s="64"/>
      <c r="D682" s="63"/>
      <c r="E682" s="63"/>
      <c r="F682" s="63"/>
      <c r="G682" s="63"/>
      <c r="H682" s="63"/>
      <c r="J682" s="63"/>
      <c r="K682" s="63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2.75" customHeight="1">
      <c r="A683" s="47"/>
      <c r="B683" s="63"/>
      <c r="C683" s="64"/>
      <c r="D683" s="63"/>
      <c r="E683" s="63"/>
      <c r="F683" s="63"/>
      <c r="G683" s="63"/>
      <c r="H683" s="63"/>
      <c r="J683" s="63"/>
      <c r="K683" s="63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2.75" customHeight="1">
      <c r="A684" s="47"/>
      <c r="B684" s="63"/>
      <c r="C684" s="64"/>
      <c r="D684" s="63"/>
      <c r="E684" s="63"/>
      <c r="F684" s="63"/>
      <c r="G684" s="63"/>
      <c r="H684" s="63"/>
      <c r="J684" s="63"/>
      <c r="K684" s="63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2.75" customHeight="1">
      <c r="A685" s="47"/>
      <c r="B685" s="63"/>
      <c r="C685" s="64"/>
      <c r="D685" s="63"/>
      <c r="E685" s="63"/>
      <c r="F685" s="63"/>
      <c r="G685" s="63"/>
      <c r="H685" s="63"/>
      <c r="J685" s="63"/>
      <c r="K685" s="63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2.75" customHeight="1">
      <c r="A686" s="47"/>
      <c r="B686" s="63"/>
      <c r="C686" s="64"/>
      <c r="D686" s="63"/>
      <c r="E686" s="63"/>
      <c r="F686" s="63"/>
      <c r="G686" s="63"/>
      <c r="H686" s="63"/>
      <c r="J686" s="63"/>
      <c r="K686" s="63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2.75" customHeight="1">
      <c r="A687" s="47"/>
      <c r="B687" s="63"/>
      <c r="C687" s="64"/>
      <c r="D687" s="63"/>
      <c r="E687" s="63"/>
      <c r="F687" s="63"/>
      <c r="G687" s="63"/>
      <c r="H687" s="63"/>
      <c r="J687" s="63"/>
      <c r="K687" s="63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2.75" customHeight="1">
      <c r="A688" s="47"/>
      <c r="B688" s="63"/>
      <c r="C688" s="64"/>
      <c r="D688" s="63"/>
      <c r="E688" s="63"/>
      <c r="F688" s="63"/>
      <c r="G688" s="63"/>
      <c r="H688" s="63"/>
      <c r="J688" s="63"/>
      <c r="K688" s="63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2.75" customHeight="1">
      <c r="A689" s="47"/>
      <c r="B689" s="63"/>
      <c r="C689" s="64"/>
      <c r="D689" s="63"/>
      <c r="E689" s="63"/>
      <c r="F689" s="63"/>
      <c r="G689" s="63"/>
      <c r="H689" s="63"/>
      <c r="J689" s="63"/>
      <c r="K689" s="63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2.75" customHeight="1">
      <c r="A690" s="47"/>
      <c r="B690" s="63"/>
      <c r="C690" s="64"/>
      <c r="D690" s="63"/>
      <c r="E690" s="63"/>
      <c r="F690" s="63"/>
      <c r="G690" s="63"/>
      <c r="H690" s="63"/>
      <c r="J690" s="63"/>
      <c r="K690" s="63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2.75" customHeight="1">
      <c r="A691" s="47"/>
      <c r="B691" s="63"/>
      <c r="C691" s="64"/>
      <c r="D691" s="63"/>
      <c r="E691" s="63"/>
      <c r="F691" s="63"/>
      <c r="G691" s="63"/>
      <c r="H691" s="63"/>
      <c r="J691" s="63"/>
      <c r="K691" s="63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2.75" customHeight="1">
      <c r="A692" s="47"/>
      <c r="B692" s="63"/>
      <c r="C692" s="64"/>
      <c r="D692" s="63"/>
      <c r="E692" s="63"/>
      <c r="F692" s="63"/>
      <c r="G692" s="63"/>
      <c r="H692" s="63"/>
      <c r="J692" s="63"/>
      <c r="K692" s="63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2.75" customHeight="1">
      <c r="A693" s="47"/>
      <c r="B693" s="63"/>
      <c r="C693" s="64"/>
      <c r="D693" s="63"/>
      <c r="E693" s="63"/>
      <c r="F693" s="63"/>
      <c r="G693" s="63"/>
      <c r="H693" s="63"/>
      <c r="J693" s="63"/>
      <c r="K693" s="63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2.75" customHeight="1">
      <c r="A694" s="47"/>
      <c r="B694" s="63"/>
      <c r="C694" s="64"/>
      <c r="D694" s="63"/>
      <c r="E694" s="63"/>
      <c r="F694" s="63"/>
      <c r="G694" s="63"/>
      <c r="H694" s="63"/>
      <c r="J694" s="63"/>
      <c r="K694" s="63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2.75" customHeight="1">
      <c r="A695" s="47"/>
      <c r="B695" s="63"/>
      <c r="C695" s="64"/>
      <c r="D695" s="63"/>
      <c r="E695" s="63"/>
      <c r="F695" s="63"/>
      <c r="G695" s="63"/>
      <c r="H695" s="63"/>
      <c r="J695" s="63"/>
      <c r="K695" s="63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2.75" customHeight="1">
      <c r="A696" s="47"/>
      <c r="B696" s="63"/>
      <c r="C696" s="64"/>
      <c r="D696" s="63"/>
      <c r="E696" s="63"/>
      <c r="F696" s="63"/>
      <c r="G696" s="63"/>
      <c r="H696" s="63"/>
      <c r="J696" s="63"/>
      <c r="K696" s="63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2.75" customHeight="1">
      <c r="A697" s="47"/>
      <c r="B697" s="63"/>
      <c r="C697" s="64"/>
      <c r="D697" s="63"/>
      <c r="E697" s="63"/>
      <c r="F697" s="63"/>
      <c r="G697" s="63"/>
      <c r="H697" s="63"/>
      <c r="J697" s="63"/>
      <c r="K697" s="63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2.75" customHeight="1">
      <c r="A698" s="47"/>
      <c r="B698" s="63"/>
      <c r="C698" s="64"/>
      <c r="D698" s="63"/>
      <c r="E698" s="63"/>
      <c r="F698" s="63"/>
      <c r="G698" s="63"/>
      <c r="H698" s="63"/>
      <c r="J698" s="63"/>
      <c r="K698" s="63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2.75" customHeight="1">
      <c r="A699" s="47"/>
      <c r="B699" s="63"/>
      <c r="C699" s="64"/>
      <c r="D699" s="63"/>
      <c r="E699" s="63"/>
      <c r="F699" s="63"/>
      <c r="G699" s="63"/>
      <c r="H699" s="63"/>
      <c r="J699" s="63"/>
      <c r="K699" s="63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2.75" customHeight="1">
      <c r="A700" s="47"/>
      <c r="B700" s="63"/>
      <c r="C700" s="64"/>
      <c r="D700" s="63"/>
      <c r="E700" s="63"/>
      <c r="F700" s="63"/>
      <c r="G700" s="63"/>
      <c r="H700" s="63"/>
      <c r="J700" s="63"/>
      <c r="K700" s="63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2.75" customHeight="1">
      <c r="A701" s="47"/>
      <c r="B701" s="63"/>
      <c r="C701" s="64"/>
      <c r="D701" s="63"/>
      <c r="E701" s="63"/>
      <c r="F701" s="63"/>
      <c r="G701" s="63"/>
      <c r="H701" s="63"/>
      <c r="J701" s="63"/>
      <c r="K701" s="63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2.75" customHeight="1">
      <c r="A702" s="47"/>
      <c r="B702" s="63"/>
      <c r="C702" s="64"/>
      <c r="D702" s="63"/>
      <c r="E702" s="63"/>
      <c r="F702" s="63"/>
      <c r="G702" s="63"/>
      <c r="H702" s="63"/>
      <c r="J702" s="63"/>
      <c r="K702" s="63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2.75" customHeight="1">
      <c r="A703" s="47"/>
      <c r="B703" s="63"/>
      <c r="C703" s="64"/>
      <c r="D703" s="63"/>
      <c r="E703" s="63"/>
      <c r="F703" s="63"/>
      <c r="G703" s="63"/>
      <c r="H703" s="63"/>
      <c r="J703" s="63"/>
      <c r="K703" s="63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2.75" customHeight="1">
      <c r="A704" s="47"/>
      <c r="B704" s="63"/>
      <c r="C704" s="64"/>
      <c r="D704" s="63"/>
      <c r="E704" s="63"/>
      <c r="F704" s="63"/>
      <c r="G704" s="63"/>
      <c r="H704" s="63"/>
      <c r="J704" s="63"/>
      <c r="K704" s="63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2.75" customHeight="1">
      <c r="A705" s="47"/>
      <c r="B705" s="63"/>
      <c r="C705" s="64"/>
      <c r="D705" s="63"/>
      <c r="E705" s="63"/>
      <c r="F705" s="63"/>
      <c r="G705" s="63"/>
      <c r="H705" s="63"/>
      <c r="J705" s="63"/>
      <c r="K705" s="63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2.75" customHeight="1">
      <c r="A706" s="47"/>
      <c r="B706" s="63"/>
      <c r="C706" s="64"/>
      <c r="D706" s="63"/>
      <c r="E706" s="63"/>
      <c r="F706" s="63"/>
      <c r="G706" s="63"/>
      <c r="H706" s="63"/>
      <c r="J706" s="63"/>
      <c r="K706" s="63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2.75" customHeight="1">
      <c r="A707" s="47"/>
      <c r="B707" s="63"/>
      <c r="C707" s="64"/>
      <c r="D707" s="63"/>
      <c r="E707" s="63"/>
      <c r="F707" s="63"/>
      <c r="G707" s="63"/>
      <c r="H707" s="63"/>
      <c r="J707" s="63"/>
      <c r="K707" s="63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2.75" customHeight="1">
      <c r="A708" s="47"/>
      <c r="B708" s="63"/>
      <c r="C708" s="64"/>
      <c r="D708" s="63"/>
      <c r="E708" s="63"/>
      <c r="F708" s="63"/>
      <c r="G708" s="63"/>
      <c r="H708" s="63"/>
      <c r="J708" s="63"/>
      <c r="K708" s="63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2.75" customHeight="1">
      <c r="A709" s="47"/>
      <c r="B709" s="63"/>
      <c r="C709" s="64"/>
      <c r="D709" s="63"/>
      <c r="E709" s="63"/>
      <c r="F709" s="63"/>
      <c r="G709" s="63"/>
      <c r="H709" s="63"/>
      <c r="J709" s="63"/>
      <c r="K709" s="63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2.75" customHeight="1">
      <c r="A710" s="47"/>
      <c r="B710" s="63"/>
      <c r="C710" s="64"/>
      <c r="D710" s="63"/>
      <c r="E710" s="63"/>
      <c r="F710" s="63"/>
      <c r="G710" s="63"/>
      <c r="H710" s="63"/>
      <c r="J710" s="63"/>
      <c r="K710" s="63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2.75" customHeight="1">
      <c r="A711" s="47"/>
      <c r="B711" s="63"/>
      <c r="C711" s="64"/>
      <c r="D711" s="63"/>
      <c r="E711" s="63"/>
      <c r="F711" s="63"/>
      <c r="G711" s="63"/>
      <c r="H711" s="63"/>
      <c r="J711" s="63"/>
      <c r="K711" s="63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2.75" customHeight="1">
      <c r="A712" s="47"/>
      <c r="B712" s="63"/>
      <c r="C712" s="64"/>
      <c r="D712" s="63"/>
      <c r="E712" s="63"/>
      <c r="F712" s="63"/>
      <c r="G712" s="63"/>
      <c r="H712" s="63"/>
      <c r="J712" s="63"/>
      <c r="K712" s="63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2.75" customHeight="1">
      <c r="A713" s="47"/>
      <c r="B713" s="63"/>
      <c r="C713" s="64"/>
      <c r="D713" s="63"/>
      <c r="E713" s="63"/>
      <c r="F713" s="63"/>
      <c r="G713" s="63"/>
      <c r="H713" s="63"/>
      <c r="J713" s="63"/>
      <c r="K713" s="63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2.75" customHeight="1">
      <c r="A714" s="47"/>
      <c r="B714" s="63"/>
      <c r="C714" s="64"/>
      <c r="D714" s="63"/>
      <c r="E714" s="63"/>
      <c r="F714" s="63"/>
      <c r="G714" s="63"/>
      <c r="H714" s="63"/>
      <c r="J714" s="63"/>
      <c r="K714" s="63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2.75" customHeight="1">
      <c r="A715" s="47"/>
      <c r="B715" s="63"/>
      <c r="C715" s="64"/>
      <c r="D715" s="63"/>
      <c r="E715" s="63"/>
      <c r="F715" s="63"/>
      <c r="G715" s="63"/>
      <c r="H715" s="63"/>
      <c r="J715" s="63"/>
      <c r="K715" s="63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2.75" customHeight="1">
      <c r="A716" s="47"/>
      <c r="B716" s="63"/>
      <c r="C716" s="64"/>
      <c r="D716" s="63"/>
      <c r="E716" s="63"/>
      <c r="F716" s="63"/>
      <c r="G716" s="63"/>
      <c r="H716" s="63"/>
      <c r="J716" s="63"/>
      <c r="K716" s="63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2.75" customHeight="1">
      <c r="A717" s="47"/>
      <c r="B717" s="63"/>
      <c r="C717" s="64"/>
      <c r="D717" s="63"/>
      <c r="E717" s="63"/>
      <c r="F717" s="63"/>
      <c r="G717" s="63"/>
      <c r="H717" s="63"/>
      <c r="J717" s="63"/>
      <c r="K717" s="63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2.75" customHeight="1">
      <c r="A718" s="47"/>
      <c r="B718" s="63"/>
      <c r="C718" s="64"/>
      <c r="D718" s="63"/>
      <c r="E718" s="63"/>
      <c r="F718" s="63"/>
      <c r="G718" s="63"/>
      <c r="H718" s="63"/>
      <c r="J718" s="63"/>
      <c r="K718" s="63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2.75" customHeight="1">
      <c r="A719" s="47"/>
      <c r="B719" s="63"/>
      <c r="C719" s="64"/>
      <c r="D719" s="63"/>
      <c r="E719" s="63"/>
      <c r="F719" s="63"/>
      <c r="G719" s="63"/>
      <c r="H719" s="63"/>
      <c r="J719" s="63"/>
      <c r="K719" s="63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2.75" customHeight="1">
      <c r="A720" s="47"/>
      <c r="B720" s="63"/>
      <c r="C720" s="64"/>
      <c r="D720" s="63"/>
      <c r="E720" s="63"/>
      <c r="F720" s="63"/>
      <c r="G720" s="63"/>
      <c r="H720" s="63"/>
      <c r="J720" s="63"/>
      <c r="K720" s="63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2.75" customHeight="1">
      <c r="A721" s="47"/>
      <c r="B721" s="63"/>
      <c r="C721" s="64"/>
      <c r="D721" s="63"/>
      <c r="E721" s="63"/>
      <c r="F721" s="63"/>
      <c r="G721" s="63"/>
      <c r="H721" s="63"/>
      <c r="J721" s="63"/>
      <c r="K721" s="63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2.75" customHeight="1">
      <c r="A722" s="47"/>
      <c r="B722" s="63"/>
      <c r="C722" s="64"/>
      <c r="D722" s="63"/>
      <c r="E722" s="63"/>
      <c r="F722" s="63"/>
      <c r="G722" s="63"/>
      <c r="H722" s="63"/>
      <c r="J722" s="63"/>
      <c r="K722" s="63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2.75" customHeight="1">
      <c r="A723" s="47"/>
      <c r="B723" s="63"/>
      <c r="C723" s="64"/>
      <c r="D723" s="63"/>
      <c r="E723" s="63"/>
      <c r="F723" s="63"/>
      <c r="G723" s="63"/>
      <c r="H723" s="63"/>
      <c r="J723" s="63"/>
      <c r="K723" s="63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2.75" customHeight="1">
      <c r="A724" s="47"/>
      <c r="B724" s="63"/>
      <c r="C724" s="64"/>
      <c r="D724" s="63"/>
      <c r="E724" s="63"/>
      <c r="F724" s="63"/>
      <c r="G724" s="63"/>
      <c r="H724" s="63"/>
      <c r="J724" s="63"/>
      <c r="K724" s="63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2.75" customHeight="1">
      <c r="A725" s="47"/>
      <c r="B725" s="63"/>
      <c r="C725" s="64"/>
      <c r="D725" s="63"/>
      <c r="E725" s="63"/>
      <c r="F725" s="63"/>
      <c r="G725" s="63"/>
      <c r="H725" s="63"/>
      <c r="J725" s="63"/>
      <c r="K725" s="63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2.75" customHeight="1">
      <c r="A726" s="47"/>
      <c r="B726" s="63"/>
      <c r="C726" s="64"/>
      <c r="D726" s="63"/>
      <c r="E726" s="63"/>
      <c r="F726" s="63"/>
      <c r="G726" s="63"/>
      <c r="H726" s="63"/>
      <c r="J726" s="63"/>
      <c r="K726" s="63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2.75" customHeight="1">
      <c r="A727" s="47"/>
      <c r="B727" s="63"/>
      <c r="C727" s="64"/>
      <c r="D727" s="63"/>
      <c r="E727" s="63"/>
      <c r="F727" s="63"/>
      <c r="G727" s="63"/>
      <c r="H727" s="63"/>
      <c r="J727" s="63"/>
      <c r="K727" s="63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2.75" customHeight="1">
      <c r="A728" s="47"/>
      <c r="B728" s="63"/>
      <c r="C728" s="64"/>
      <c r="D728" s="63"/>
      <c r="E728" s="63"/>
      <c r="F728" s="63"/>
      <c r="G728" s="63"/>
      <c r="H728" s="63"/>
      <c r="J728" s="63"/>
      <c r="K728" s="63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2.75" customHeight="1">
      <c r="A729" s="47"/>
      <c r="B729" s="63"/>
      <c r="C729" s="64"/>
      <c r="D729" s="63"/>
      <c r="E729" s="63"/>
      <c r="F729" s="63"/>
      <c r="G729" s="63"/>
      <c r="H729" s="63"/>
      <c r="J729" s="63"/>
      <c r="K729" s="63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2.75" customHeight="1">
      <c r="A730" s="47"/>
      <c r="B730" s="63"/>
      <c r="C730" s="64"/>
      <c r="D730" s="63"/>
      <c r="E730" s="63"/>
      <c r="F730" s="63"/>
      <c r="G730" s="63"/>
      <c r="H730" s="63"/>
      <c r="J730" s="63"/>
      <c r="K730" s="63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2.75" customHeight="1">
      <c r="A731" s="47"/>
      <c r="B731" s="63"/>
      <c r="C731" s="64"/>
      <c r="D731" s="63"/>
      <c r="E731" s="63"/>
      <c r="F731" s="63"/>
      <c r="G731" s="63"/>
      <c r="H731" s="63"/>
      <c r="J731" s="63"/>
      <c r="K731" s="63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2.75" customHeight="1">
      <c r="A732" s="47"/>
      <c r="B732" s="63"/>
      <c r="C732" s="64"/>
      <c r="D732" s="63"/>
      <c r="E732" s="63"/>
      <c r="F732" s="63"/>
      <c r="G732" s="63"/>
      <c r="H732" s="63"/>
      <c r="J732" s="63"/>
      <c r="K732" s="63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2.75" customHeight="1">
      <c r="A733" s="47"/>
      <c r="B733" s="63"/>
      <c r="C733" s="64"/>
      <c r="D733" s="63"/>
      <c r="E733" s="63"/>
      <c r="F733" s="63"/>
      <c r="G733" s="63"/>
      <c r="H733" s="63"/>
      <c r="J733" s="63"/>
      <c r="K733" s="63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2.75" customHeight="1">
      <c r="A734" s="47"/>
      <c r="B734" s="63"/>
      <c r="C734" s="64"/>
      <c r="D734" s="63"/>
      <c r="E734" s="63"/>
      <c r="F734" s="63"/>
      <c r="G734" s="63"/>
      <c r="H734" s="63"/>
      <c r="J734" s="63"/>
      <c r="K734" s="63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2.75" customHeight="1">
      <c r="A735" s="47"/>
      <c r="B735" s="63"/>
      <c r="C735" s="64"/>
      <c r="D735" s="63"/>
      <c r="E735" s="63"/>
      <c r="F735" s="63"/>
      <c r="G735" s="63"/>
      <c r="H735" s="63"/>
      <c r="J735" s="63"/>
      <c r="K735" s="63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2.75" customHeight="1">
      <c r="A736" s="47"/>
      <c r="B736" s="63"/>
      <c r="C736" s="64"/>
      <c r="D736" s="63"/>
      <c r="E736" s="63"/>
      <c r="F736" s="63"/>
      <c r="G736" s="63"/>
      <c r="H736" s="63"/>
      <c r="J736" s="63"/>
      <c r="K736" s="63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2.75" customHeight="1">
      <c r="A737" s="47"/>
      <c r="B737" s="63"/>
      <c r="C737" s="64"/>
      <c r="D737" s="63"/>
      <c r="E737" s="63"/>
      <c r="F737" s="63"/>
      <c r="G737" s="63"/>
      <c r="H737" s="63"/>
      <c r="J737" s="63"/>
      <c r="K737" s="63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2.75" customHeight="1">
      <c r="A738" s="47"/>
      <c r="B738" s="63"/>
      <c r="C738" s="64"/>
      <c r="D738" s="63"/>
      <c r="E738" s="63"/>
      <c r="F738" s="63"/>
      <c r="G738" s="63"/>
      <c r="H738" s="63"/>
      <c r="J738" s="63"/>
      <c r="K738" s="63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2.75" customHeight="1">
      <c r="A739" s="47"/>
      <c r="B739" s="63"/>
      <c r="C739" s="64"/>
      <c r="D739" s="63"/>
      <c r="E739" s="63"/>
      <c r="F739" s="63"/>
      <c r="G739" s="63"/>
      <c r="H739" s="63"/>
      <c r="J739" s="63"/>
      <c r="K739" s="63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2.75" customHeight="1">
      <c r="A740" s="47"/>
      <c r="B740" s="63"/>
      <c r="C740" s="64"/>
      <c r="D740" s="63"/>
      <c r="E740" s="63"/>
      <c r="F740" s="63"/>
      <c r="G740" s="63"/>
      <c r="H740" s="63"/>
      <c r="J740" s="63"/>
      <c r="K740" s="63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2.75" customHeight="1">
      <c r="A741" s="47"/>
      <c r="B741" s="63"/>
      <c r="C741" s="64"/>
      <c r="D741" s="63"/>
      <c r="E741" s="63"/>
      <c r="F741" s="63"/>
      <c r="G741" s="63"/>
      <c r="H741" s="63"/>
      <c r="J741" s="63"/>
      <c r="K741" s="63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2.75" customHeight="1">
      <c r="A742" s="47"/>
      <c r="B742" s="63"/>
      <c r="C742" s="64"/>
      <c r="D742" s="63"/>
      <c r="E742" s="63"/>
      <c r="F742" s="63"/>
      <c r="G742" s="63"/>
      <c r="H742" s="63"/>
      <c r="J742" s="63"/>
      <c r="K742" s="63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2.75" customHeight="1">
      <c r="A743" s="47"/>
      <c r="B743" s="63"/>
      <c r="C743" s="64"/>
      <c r="D743" s="63"/>
      <c r="E743" s="63"/>
      <c r="F743" s="63"/>
      <c r="G743" s="63"/>
      <c r="H743" s="63"/>
      <c r="J743" s="63"/>
      <c r="K743" s="63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2.75" customHeight="1">
      <c r="A744" s="47"/>
      <c r="B744" s="63"/>
      <c r="C744" s="64"/>
      <c r="D744" s="63"/>
      <c r="E744" s="63"/>
      <c r="F744" s="63"/>
      <c r="G744" s="63"/>
      <c r="H744" s="63"/>
      <c r="J744" s="63"/>
      <c r="K744" s="63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2.75" customHeight="1">
      <c r="A745" s="47"/>
      <c r="B745" s="63"/>
      <c r="C745" s="64"/>
      <c r="D745" s="63"/>
      <c r="E745" s="63"/>
      <c r="F745" s="63"/>
      <c r="G745" s="63"/>
      <c r="H745" s="63"/>
      <c r="J745" s="63"/>
      <c r="K745" s="63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2.75" customHeight="1">
      <c r="A746" s="47"/>
      <c r="B746" s="63"/>
      <c r="C746" s="64"/>
      <c r="D746" s="63"/>
      <c r="E746" s="63"/>
      <c r="F746" s="63"/>
      <c r="G746" s="63"/>
      <c r="H746" s="63"/>
      <c r="J746" s="63"/>
      <c r="K746" s="63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2.75" customHeight="1">
      <c r="A747" s="47"/>
      <c r="B747" s="63"/>
      <c r="C747" s="64"/>
      <c r="D747" s="63"/>
      <c r="E747" s="63"/>
      <c r="F747" s="63"/>
      <c r="G747" s="63"/>
      <c r="H747" s="63"/>
      <c r="J747" s="63"/>
      <c r="K747" s="63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2.75" customHeight="1">
      <c r="A748" s="47"/>
      <c r="B748" s="63"/>
      <c r="C748" s="64"/>
      <c r="D748" s="63"/>
      <c r="E748" s="63"/>
      <c r="F748" s="63"/>
      <c r="G748" s="63"/>
      <c r="H748" s="63"/>
      <c r="J748" s="63"/>
      <c r="K748" s="63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2.75" customHeight="1">
      <c r="A749" s="47"/>
      <c r="B749" s="63"/>
      <c r="C749" s="64"/>
      <c r="D749" s="63"/>
      <c r="E749" s="63"/>
      <c r="F749" s="63"/>
      <c r="G749" s="63"/>
      <c r="H749" s="63"/>
      <c r="J749" s="63"/>
      <c r="K749" s="63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2.75" customHeight="1">
      <c r="A750" s="47"/>
      <c r="B750" s="63"/>
      <c r="C750" s="64"/>
      <c r="D750" s="63"/>
      <c r="E750" s="63"/>
      <c r="F750" s="63"/>
      <c r="G750" s="63"/>
      <c r="H750" s="63"/>
      <c r="J750" s="63"/>
      <c r="K750" s="63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2.75" customHeight="1">
      <c r="A751" s="47"/>
      <c r="B751" s="63"/>
      <c r="C751" s="64"/>
      <c r="D751" s="63"/>
      <c r="E751" s="63"/>
      <c r="F751" s="63"/>
      <c r="G751" s="63"/>
      <c r="H751" s="63"/>
      <c r="J751" s="63"/>
      <c r="K751" s="63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2.75" customHeight="1">
      <c r="A752" s="47"/>
      <c r="B752" s="63"/>
      <c r="C752" s="64"/>
      <c r="D752" s="63"/>
      <c r="E752" s="63"/>
      <c r="F752" s="63"/>
      <c r="G752" s="63"/>
      <c r="H752" s="63"/>
      <c r="J752" s="63"/>
      <c r="K752" s="63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2.75" customHeight="1">
      <c r="A753" s="47"/>
      <c r="B753" s="63"/>
      <c r="C753" s="64"/>
      <c r="D753" s="63"/>
      <c r="E753" s="63"/>
      <c r="F753" s="63"/>
      <c r="G753" s="63"/>
      <c r="H753" s="63"/>
      <c r="J753" s="63"/>
      <c r="K753" s="63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2.75" customHeight="1">
      <c r="A754" s="47"/>
      <c r="B754" s="63"/>
      <c r="C754" s="64"/>
      <c r="D754" s="63"/>
      <c r="E754" s="63"/>
      <c r="F754" s="63"/>
      <c r="G754" s="63"/>
      <c r="H754" s="63"/>
      <c r="J754" s="63"/>
      <c r="K754" s="63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2.75" customHeight="1">
      <c r="A755" s="47"/>
      <c r="B755" s="63"/>
      <c r="C755" s="64"/>
      <c r="D755" s="63"/>
      <c r="E755" s="63"/>
      <c r="F755" s="63"/>
      <c r="G755" s="63"/>
      <c r="H755" s="63"/>
      <c r="J755" s="63"/>
      <c r="K755" s="63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2.75" customHeight="1">
      <c r="A756" s="47"/>
      <c r="B756" s="63"/>
      <c r="C756" s="64"/>
      <c r="D756" s="63"/>
      <c r="E756" s="63"/>
      <c r="F756" s="63"/>
      <c r="G756" s="63"/>
      <c r="H756" s="63"/>
      <c r="J756" s="63"/>
      <c r="K756" s="63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2.75" customHeight="1">
      <c r="A757" s="47"/>
      <c r="B757" s="63"/>
      <c r="C757" s="64"/>
      <c r="D757" s="63"/>
      <c r="E757" s="63"/>
      <c r="F757" s="63"/>
      <c r="G757" s="63"/>
      <c r="H757" s="63"/>
      <c r="J757" s="63"/>
      <c r="K757" s="63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2.75" customHeight="1">
      <c r="A758" s="47"/>
      <c r="B758" s="63"/>
      <c r="C758" s="64"/>
      <c r="D758" s="63"/>
      <c r="E758" s="63"/>
      <c r="F758" s="63"/>
      <c r="G758" s="63"/>
      <c r="H758" s="63"/>
      <c r="J758" s="63"/>
      <c r="K758" s="63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2.75" customHeight="1">
      <c r="A759" s="47"/>
      <c r="B759" s="63"/>
      <c r="C759" s="64"/>
      <c r="D759" s="63"/>
      <c r="E759" s="63"/>
      <c r="F759" s="63"/>
      <c r="G759" s="63"/>
      <c r="H759" s="63"/>
      <c r="J759" s="63"/>
      <c r="K759" s="63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2.75" customHeight="1">
      <c r="A760" s="47"/>
      <c r="B760" s="63"/>
      <c r="C760" s="64"/>
      <c r="D760" s="63"/>
      <c r="E760" s="63"/>
      <c r="F760" s="63"/>
      <c r="G760" s="63"/>
      <c r="H760" s="63"/>
      <c r="J760" s="63"/>
      <c r="K760" s="63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2.75" customHeight="1">
      <c r="A761" s="47"/>
      <c r="B761" s="63"/>
      <c r="C761" s="64"/>
      <c r="D761" s="63"/>
      <c r="E761" s="63"/>
      <c r="F761" s="63"/>
      <c r="G761" s="63"/>
      <c r="H761" s="63"/>
      <c r="J761" s="63"/>
      <c r="K761" s="63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2.75" customHeight="1">
      <c r="A762" s="47"/>
      <c r="B762" s="63"/>
      <c r="C762" s="64"/>
      <c r="D762" s="63"/>
      <c r="E762" s="63"/>
      <c r="F762" s="63"/>
      <c r="G762" s="63"/>
      <c r="H762" s="63"/>
      <c r="J762" s="63"/>
      <c r="K762" s="63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2.75" customHeight="1">
      <c r="A763" s="47"/>
      <c r="B763" s="63"/>
      <c r="C763" s="64"/>
      <c r="D763" s="63"/>
      <c r="E763" s="63"/>
      <c r="F763" s="63"/>
      <c r="G763" s="63"/>
      <c r="H763" s="63"/>
      <c r="J763" s="63"/>
      <c r="K763" s="63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2.75" customHeight="1">
      <c r="A764" s="47"/>
      <c r="B764" s="63"/>
      <c r="C764" s="64"/>
      <c r="D764" s="63"/>
      <c r="E764" s="63"/>
      <c r="F764" s="63"/>
      <c r="G764" s="63"/>
      <c r="H764" s="63"/>
      <c r="J764" s="63"/>
      <c r="K764" s="63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2.75" customHeight="1">
      <c r="A765" s="47"/>
      <c r="B765" s="63"/>
      <c r="C765" s="64"/>
      <c r="D765" s="63"/>
      <c r="E765" s="63"/>
      <c r="F765" s="63"/>
      <c r="G765" s="63"/>
      <c r="H765" s="63"/>
      <c r="J765" s="63"/>
      <c r="K765" s="63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2.75" customHeight="1">
      <c r="A766" s="47"/>
      <c r="B766" s="63"/>
      <c r="C766" s="64"/>
      <c r="D766" s="63"/>
      <c r="E766" s="63"/>
      <c r="F766" s="63"/>
      <c r="G766" s="63"/>
      <c r="H766" s="63"/>
      <c r="J766" s="63"/>
      <c r="K766" s="63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2.75" customHeight="1">
      <c r="A767" s="47"/>
      <c r="B767" s="63"/>
      <c r="C767" s="64"/>
      <c r="D767" s="63"/>
      <c r="E767" s="63"/>
      <c r="F767" s="63"/>
      <c r="G767" s="63"/>
      <c r="H767" s="63"/>
      <c r="J767" s="63"/>
      <c r="K767" s="63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2.75" customHeight="1">
      <c r="A768" s="47"/>
      <c r="B768" s="63"/>
      <c r="C768" s="64"/>
      <c r="D768" s="63"/>
      <c r="E768" s="63"/>
      <c r="F768" s="63"/>
      <c r="G768" s="63"/>
      <c r="H768" s="63"/>
      <c r="J768" s="63"/>
      <c r="K768" s="63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2.75" customHeight="1">
      <c r="A769" s="47"/>
      <c r="B769" s="63"/>
      <c r="C769" s="64"/>
      <c r="D769" s="63"/>
      <c r="E769" s="63"/>
      <c r="F769" s="63"/>
      <c r="G769" s="63"/>
      <c r="H769" s="63"/>
      <c r="J769" s="63"/>
      <c r="K769" s="63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2.75" customHeight="1">
      <c r="A770" s="47"/>
      <c r="B770" s="63"/>
      <c r="C770" s="64"/>
      <c r="D770" s="63"/>
      <c r="E770" s="63"/>
      <c r="F770" s="63"/>
      <c r="G770" s="63"/>
      <c r="H770" s="63"/>
      <c r="J770" s="63"/>
      <c r="K770" s="63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2.75" customHeight="1">
      <c r="A771" s="47"/>
      <c r="B771" s="63"/>
      <c r="C771" s="64"/>
      <c r="D771" s="63"/>
      <c r="E771" s="63"/>
      <c r="F771" s="63"/>
      <c r="G771" s="63"/>
      <c r="H771" s="63"/>
      <c r="J771" s="63"/>
      <c r="K771" s="63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2.75" customHeight="1">
      <c r="A772" s="47"/>
      <c r="B772" s="63"/>
      <c r="C772" s="64"/>
      <c r="D772" s="63"/>
      <c r="E772" s="63"/>
      <c r="F772" s="63"/>
      <c r="G772" s="63"/>
      <c r="H772" s="63"/>
      <c r="J772" s="63"/>
      <c r="K772" s="63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2.75" customHeight="1">
      <c r="A773" s="47"/>
      <c r="B773" s="63"/>
      <c r="C773" s="64"/>
      <c r="D773" s="63"/>
      <c r="E773" s="63"/>
      <c r="F773" s="63"/>
      <c r="G773" s="63"/>
      <c r="H773" s="63"/>
      <c r="J773" s="63"/>
      <c r="K773" s="63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2.75" customHeight="1">
      <c r="A774" s="47"/>
      <c r="B774" s="63"/>
      <c r="C774" s="64"/>
      <c r="D774" s="63"/>
      <c r="E774" s="63"/>
      <c r="F774" s="63"/>
      <c r="G774" s="63"/>
      <c r="H774" s="63"/>
      <c r="J774" s="63"/>
      <c r="K774" s="63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2.75" customHeight="1">
      <c r="A775" s="47"/>
      <c r="B775" s="63"/>
      <c r="C775" s="64"/>
      <c r="D775" s="63"/>
      <c r="E775" s="63"/>
      <c r="F775" s="63"/>
      <c r="G775" s="63"/>
      <c r="H775" s="63"/>
      <c r="J775" s="63"/>
      <c r="K775" s="63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2.75" customHeight="1">
      <c r="A776" s="47"/>
      <c r="B776" s="63"/>
      <c r="C776" s="64"/>
      <c r="D776" s="63"/>
      <c r="E776" s="63"/>
      <c r="F776" s="63"/>
      <c r="G776" s="63"/>
      <c r="H776" s="63"/>
      <c r="J776" s="63"/>
      <c r="K776" s="63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2.75" customHeight="1">
      <c r="A777" s="47"/>
      <c r="B777" s="63"/>
      <c r="C777" s="64"/>
      <c r="D777" s="63"/>
      <c r="E777" s="63"/>
      <c r="F777" s="63"/>
      <c r="G777" s="63"/>
      <c r="H777" s="63"/>
      <c r="J777" s="63"/>
      <c r="K777" s="63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2.75" customHeight="1">
      <c r="A778" s="47"/>
      <c r="B778" s="63"/>
      <c r="C778" s="64"/>
      <c r="D778" s="63"/>
      <c r="E778" s="63"/>
      <c r="F778" s="63"/>
      <c r="G778" s="63"/>
      <c r="H778" s="63"/>
      <c r="J778" s="63"/>
      <c r="K778" s="63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2.75" customHeight="1">
      <c r="A779" s="47"/>
      <c r="B779" s="63"/>
      <c r="C779" s="64"/>
      <c r="D779" s="63"/>
      <c r="E779" s="63"/>
      <c r="F779" s="63"/>
      <c r="G779" s="63"/>
      <c r="H779" s="63"/>
      <c r="J779" s="63"/>
      <c r="K779" s="63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2.75" customHeight="1">
      <c r="A780" s="47"/>
      <c r="B780" s="63"/>
      <c r="C780" s="64"/>
      <c r="D780" s="63"/>
      <c r="E780" s="63"/>
      <c r="F780" s="63"/>
      <c r="G780" s="63"/>
      <c r="H780" s="63"/>
      <c r="J780" s="63"/>
      <c r="K780" s="63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2.75" customHeight="1">
      <c r="A781" s="47"/>
      <c r="B781" s="63"/>
      <c r="C781" s="64"/>
      <c r="D781" s="63"/>
      <c r="E781" s="63"/>
      <c r="F781" s="63"/>
      <c r="G781" s="63"/>
      <c r="H781" s="63"/>
      <c r="J781" s="63"/>
      <c r="K781" s="63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2.75" customHeight="1">
      <c r="A782" s="47"/>
      <c r="B782" s="63"/>
      <c r="C782" s="64"/>
      <c r="D782" s="63"/>
      <c r="E782" s="63"/>
      <c r="F782" s="63"/>
      <c r="G782" s="63"/>
      <c r="H782" s="63"/>
      <c r="J782" s="63"/>
      <c r="K782" s="63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2.75" customHeight="1">
      <c r="A783" s="47"/>
      <c r="B783" s="63"/>
      <c r="C783" s="64"/>
      <c r="D783" s="63"/>
      <c r="E783" s="63"/>
      <c r="F783" s="63"/>
      <c r="G783" s="63"/>
      <c r="H783" s="63"/>
      <c r="J783" s="63"/>
      <c r="K783" s="63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2.75" customHeight="1">
      <c r="A784" s="47"/>
      <c r="B784" s="63"/>
      <c r="C784" s="64"/>
      <c r="D784" s="63"/>
      <c r="E784" s="63"/>
      <c r="F784" s="63"/>
      <c r="G784" s="63"/>
      <c r="H784" s="63"/>
      <c r="J784" s="63"/>
      <c r="K784" s="63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2.75" customHeight="1">
      <c r="A785" s="47"/>
      <c r="B785" s="63"/>
      <c r="C785" s="64"/>
      <c r="D785" s="63"/>
      <c r="E785" s="63"/>
      <c r="F785" s="63"/>
      <c r="G785" s="63"/>
      <c r="H785" s="63"/>
      <c r="J785" s="63"/>
      <c r="K785" s="63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2.75" customHeight="1">
      <c r="A786" s="47"/>
      <c r="B786" s="63"/>
      <c r="C786" s="64"/>
      <c r="D786" s="63"/>
      <c r="E786" s="63"/>
      <c r="F786" s="63"/>
      <c r="G786" s="63"/>
      <c r="H786" s="63"/>
      <c r="J786" s="63"/>
      <c r="K786" s="63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2.75" customHeight="1">
      <c r="A787" s="47"/>
      <c r="B787" s="63"/>
      <c r="C787" s="64"/>
      <c r="D787" s="63"/>
      <c r="E787" s="63"/>
      <c r="F787" s="63"/>
      <c r="G787" s="63"/>
      <c r="H787" s="63"/>
      <c r="J787" s="63"/>
      <c r="K787" s="63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2.75" customHeight="1">
      <c r="A788" s="47"/>
      <c r="B788" s="63"/>
      <c r="C788" s="64"/>
      <c r="D788" s="63"/>
      <c r="E788" s="63"/>
      <c r="F788" s="63"/>
      <c r="G788" s="63"/>
      <c r="H788" s="63"/>
      <c r="J788" s="63"/>
      <c r="K788" s="63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2.75" customHeight="1">
      <c r="A789" s="47"/>
      <c r="B789" s="63"/>
      <c r="C789" s="64"/>
      <c r="D789" s="63"/>
      <c r="E789" s="63"/>
      <c r="F789" s="63"/>
      <c r="G789" s="63"/>
      <c r="H789" s="63"/>
      <c r="J789" s="63"/>
      <c r="K789" s="63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2.75" customHeight="1">
      <c r="A790" s="47"/>
      <c r="B790" s="63"/>
      <c r="C790" s="64"/>
      <c r="D790" s="63"/>
      <c r="E790" s="63"/>
      <c r="F790" s="63"/>
      <c r="G790" s="63"/>
      <c r="H790" s="63"/>
      <c r="J790" s="63"/>
      <c r="K790" s="63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2.75" customHeight="1">
      <c r="A791" s="47"/>
      <c r="B791" s="63"/>
      <c r="C791" s="64"/>
      <c r="D791" s="63"/>
      <c r="E791" s="63"/>
      <c r="F791" s="63"/>
      <c r="G791" s="63"/>
      <c r="H791" s="63"/>
      <c r="J791" s="63"/>
      <c r="K791" s="63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2.75" customHeight="1">
      <c r="A792" s="47"/>
      <c r="B792" s="63"/>
      <c r="C792" s="64"/>
      <c r="D792" s="63"/>
      <c r="E792" s="63"/>
      <c r="F792" s="63"/>
      <c r="G792" s="63"/>
      <c r="H792" s="63"/>
      <c r="J792" s="63"/>
      <c r="K792" s="63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2.75" customHeight="1">
      <c r="A793" s="47"/>
      <c r="B793" s="63"/>
      <c r="C793" s="64"/>
      <c r="D793" s="63"/>
      <c r="E793" s="63"/>
      <c r="F793" s="63"/>
      <c r="G793" s="63"/>
      <c r="H793" s="63"/>
      <c r="J793" s="63"/>
      <c r="K793" s="63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2.75" customHeight="1">
      <c r="A794" s="47"/>
      <c r="B794" s="63"/>
      <c r="C794" s="64"/>
      <c r="D794" s="63"/>
      <c r="E794" s="63"/>
      <c r="F794" s="63"/>
      <c r="G794" s="63"/>
      <c r="H794" s="63"/>
      <c r="J794" s="63"/>
      <c r="K794" s="63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2.75" customHeight="1">
      <c r="A795" s="47"/>
      <c r="B795" s="63"/>
      <c r="C795" s="64"/>
      <c r="D795" s="63"/>
      <c r="E795" s="63"/>
      <c r="F795" s="63"/>
      <c r="G795" s="63"/>
      <c r="H795" s="63"/>
      <c r="J795" s="63"/>
      <c r="K795" s="63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2.75" customHeight="1">
      <c r="A796" s="47"/>
      <c r="B796" s="63"/>
      <c r="C796" s="64"/>
      <c r="D796" s="63"/>
      <c r="E796" s="63"/>
      <c r="F796" s="63"/>
      <c r="G796" s="63"/>
      <c r="H796" s="63"/>
      <c r="J796" s="63"/>
      <c r="K796" s="63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2.75" customHeight="1">
      <c r="A797" s="47"/>
      <c r="B797" s="63"/>
      <c r="C797" s="64"/>
      <c r="D797" s="63"/>
      <c r="E797" s="63"/>
      <c r="F797" s="63"/>
      <c r="G797" s="63"/>
      <c r="H797" s="63"/>
      <c r="J797" s="63"/>
      <c r="K797" s="63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2.75" customHeight="1">
      <c r="A798" s="47"/>
      <c r="B798" s="63"/>
      <c r="C798" s="64"/>
      <c r="D798" s="63"/>
      <c r="E798" s="63"/>
      <c r="F798" s="63"/>
      <c r="G798" s="63"/>
      <c r="H798" s="63"/>
      <c r="J798" s="63"/>
      <c r="K798" s="63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2.75" customHeight="1">
      <c r="A799" s="47"/>
      <c r="B799" s="63"/>
      <c r="C799" s="64"/>
      <c r="D799" s="63"/>
      <c r="E799" s="63"/>
      <c r="F799" s="63"/>
      <c r="G799" s="63"/>
      <c r="H799" s="63"/>
      <c r="J799" s="63"/>
      <c r="K799" s="63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2.75" customHeight="1">
      <c r="A800" s="47"/>
      <c r="B800" s="63"/>
      <c r="C800" s="64"/>
      <c r="D800" s="63"/>
      <c r="E800" s="63"/>
      <c r="F800" s="63"/>
      <c r="G800" s="63"/>
      <c r="H800" s="63"/>
      <c r="J800" s="63"/>
      <c r="K800" s="63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2.75" customHeight="1">
      <c r="A801" s="47"/>
      <c r="B801" s="63"/>
      <c r="C801" s="64"/>
      <c r="D801" s="63"/>
      <c r="E801" s="63"/>
      <c r="F801" s="63"/>
      <c r="G801" s="63"/>
      <c r="H801" s="63"/>
      <c r="J801" s="63"/>
      <c r="K801" s="63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2.75" customHeight="1">
      <c r="A802" s="47"/>
      <c r="B802" s="63"/>
      <c r="C802" s="64"/>
      <c r="D802" s="63"/>
      <c r="E802" s="63"/>
      <c r="F802" s="63"/>
      <c r="G802" s="63"/>
      <c r="H802" s="63"/>
      <c r="J802" s="63"/>
      <c r="K802" s="63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2.75" customHeight="1">
      <c r="A803" s="47"/>
      <c r="B803" s="63"/>
      <c r="C803" s="64"/>
      <c r="D803" s="63"/>
      <c r="E803" s="63"/>
      <c r="F803" s="63"/>
      <c r="G803" s="63"/>
      <c r="H803" s="63"/>
      <c r="J803" s="63"/>
      <c r="K803" s="63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2.75" customHeight="1">
      <c r="A804" s="47"/>
      <c r="B804" s="63"/>
      <c r="C804" s="64"/>
      <c r="D804" s="63"/>
      <c r="E804" s="63"/>
      <c r="F804" s="63"/>
      <c r="G804" s="63"/>
      <c r="H804" s="63"/>
      <c r="J804" s="63"/>
      <c r="K804" s="63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2.75" customHeight="1">
      <c r="A805" s="47"/>
      <c r="B805" s="63"/>
      <c r="C805" s="64"/>
      <c r="D805" s="63"/>
      <c r="E805" s="63"/>
      <c r="F805" s="63"/>
      <c r="G805" s="63"/>
      <c r="H805" s="63"/>
      <c r="J805" s="63"/>
      <c r="K805" s="63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2.75" customHeight="1">
      <c r="A806" s="47"/>
      <c r="B806" s="63"/>
      <c r="C806" s="64"/>
      <c r="D806" s="63"/>
      <c r="E806" s="63"/>
      <c r="F806" s="63"/>
      <c r="G806" s="63"/>
      <c r="H806" s="63"/>
      <c r="J806" s="63"/>
      <c r="K806" s="63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2.75" customHeight="1">
      <c r="A807" s="47"/>
      <c r="B807" s="63"/>
      <c r="C807" s="64"/>
      <c r="D807" s="63"/>
      <c r="E807" s="63"/>
      <c r="F807" s="63"/>
      <c r="G807" s="63"/>
      <c r="H807" s="63"/>
      <c r="J807" s="63"/>
      <c r="K807" s="63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2.75" customHeight="1">
      <c r="A808" s="47"/>
      <c r="B808" s="63"/>
      <c r="C808" s="64"/>
      <c r="D808" s="63"/>
      <c r="E808" s="63"/>
      <c r="F808" s="63"/>
      <c r="G808" s="63"/>
      <c r="H808" s="63"/>
      <c r="J808" s="63"/>
      <c r="K808" s="63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2.75" customHeight="1">
      <c r="A809" s="47"/>
      <c r="B809" s="63"/>
      <c r="C809" s="64"/>
      <c r="D809" s="63"/>
      <c r="E809" s="63"/>
      <c r="F809" s="63"/>
      <c r="G809" s="63"/>
      <c r="H809" s="63"/>
      <c r="J809" s="63"/>
      <c r="K809" s="63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2.75" customHeight="1">
      <c r="A810" s="47"/>
      <c r="B810" s="63"/>
      <c r="C810" s="64"/>
      <c r="D810" s="63"/>
      <c r="E810" s="63"/>
      <c r="F810" s="63"/>
      <c r="G810" s="63"/>
      <c r="H810" s="63"/>
      <c r="J810" s="63"/>
      <c r="K810" s="63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2.75" customHeight="1">
      <c r="A811" s="47"/>
      <c r="B811" s="63"/>
      <c r="C811" s="64"/>
      <c r="D811" s="63"/>
      <c r="E811" s="63"/>
      <c r="F811" s="63"/>
      <c r="G811" s="63"/>
      <c r="H811" s="63"/>
      <c r="J811" s="63"/>
      <c r="K811" s="63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2.75" customHeight="1">
      <c r="A812" s="47"/>
      <c r="B812" s="63"/>
      <c r="C812" s="64"/>
      <c r="D812" s="63"/>
      <c r="E812" s="63"/>
      <c r="F812" s="63"/>
      <c r="G812" s="63"/>
      <c r="H812" s="63"/>
      <c r="J812" s="63"/>
      <c r="K812" s="63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2.75" customHeight="1">
      <c r="A813" s="47"/>
      <c r="B813" s="63"/>
      <c r="C813" s="64"/>
      <c r="D813" s="63"/>
      <c r="E813" s="63"/>
      <c r="F813" s="63"/>
      <c r="G813" s="63"/>
      <c r="H813" s="63"/>
      <c r="J813" s="63"/>
      <c r="K813" s="63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2.75" customHeight="1">
      <c r="A814" s="47"/>
      <c r="B814" s="63"/>
      <c r="C814" s="64"/>
      <c r="D814" s="63"/>
      <c r="E814" s="63"/>
      <c r="F814" s="63"/>
      <c r="G814" s="63"/>
      <c r="H814" s="63"/>
      <c r="J814" s="63"/>
      <c r="K814" s="63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2.75" customHeight="1">
      <c r="A815" s="47"/>
      <c r="B815" s="63"/>
      <c r="C815" s="64"/>
      <c r="D815" s="63"/>
      <c r="E815" s="63"/>
      <c r="F815" s="63"/>
      <c r="G815" s="63"/>
      <c r="H815" s="63"/>
      <c r="J815" s="63"/>
      <c r="K815" s="63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2.75" customHeight="1">
      <c r="A816" s="47"/>
      <c r="B816" s="63"/>
      <c r="C816" s="64"/>
      <c r="D816" s="63"/>
      <c r="E816" s="63"/>
      <c r="F816" s="63"/>
      <c r="G816" s="63"/>
      <c r="H816" s="63"/>
      <c r="J816" s="63"/>
      <c r="K816" s="63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2.75" customHeight="1">
      <c r="A817" s="47"/>
      <c r="B817" s="63"/>
      <c r="C817" s="64"/>
      <c r="D817" s="63"/>
      <c r="E817" s="63"/>
      <c r="F817" s="63"/>
      <c r="G817" s="63"/>
      <c r="H817" s="63"/>
      <c r="J817" s="63"/>
      <c r="K817" s="63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2.75" customHeight="1">
      <c r="A818" s="47"/>
      <c r="B818" s="63"/>
      <c r="C818" s="64"/>
      <c r="D818" s="63"/>
      <c r="E818" s="63"/>
      <c r="F818" s="63"/>
      <c r="G818" s="63"/>
      <c r="H818" s="63"/>
      <c r="J818" s="63"/>
      <c r="K818" s="63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2.75" customHeight="1">
      <c r="A819" s="47"/>
      <c r="B819" s="63"/>
      <c r="C819" s="64"/>
      <c r="D819" s="63"/>
      <c r="E819" s="63"/>
      <c r="F819" s="63"/>
      <c r="G819" s="63"/>
      <c r="H819" s="63"/>
      <c r="J819" s="63"/>
      <c r="K819" s="63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2.75" customHeight="1">
      <c r="A820" s="47"/>
      <c r="B820" s="63"/>
      <c r="C820" s="64"/>
      <c r="D820" s="63"/>
      <c r="E820" s="63"/>
      <c r="F820" s="63"/>
      <c r="G820" s="63"/>
      <c r="H820" s="63"/>
      <c r="J820" s="63"/>
      <c r="K820" s="63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2.75" customHeight="1">
      <c r="A821" s="47"/>
      <c r="B821" s="63"/>
      <c r="C821" s="64"/>
      <c r="D821" s="63"/>
      <c r="E821" s="63"/>
      <c r="F821" s="63"/>
      <c r="G821" s="63"/>
      <c r="H821" s="63"/>
      <c r="J821" s="63"/>
      <c r="K821" s="63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2.75" customHeight="1">
      <c r="A822" s="47"/>
      <c r="B822" s="63"/>
      <c r="C822" s="64"/>
      <c r="D822" s="63"/>
      <c r="E822" s="63"/>
      <c r="F822" s="63"/>
      <c r="G822" s="63"/>
      <c r="H822" s="63"/>
      <c r="J822" s="63"/>
      <c r="K822" s="63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2.75" customHeight="1">
      <c r="A823" s="47"/>
      <c r="B823" s="63"/>
      <c r="C823" s="64"/>
      <c r="D823" s="63"/>
      <c r="E823" s="63"/>
      <c r="F823" s="63"/>
      <c r="G823" s="63"/>
      <c r="H823" s="63"/>
      <c r="J823" s="63"/>
      <c r="K823" s="63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2.75" customHeight="1">
      <c r="A824" s="47"/>
      <c r="B824" s="63"/>
      <c r="C824" s="64"/>
      <c r="D824" s="63"/>
      <c r="E824" s="63"/>
      <c r="F824" s="63"/>
      <c r="G824" s="63"/>
      <c r="H824" s="63"/>
      <c r="J824" s="63"/>
      <c r="K824" s="63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2.75" customHeight="1">
      <c r="A825" s="47"/>
      <c r="B825" s="63"/>
      <c r="C825" s="64"/>
      <c r="D825" s="63"/>
      <c r="E825" s="63"/>
      <c r="F825" s="63"/>
      <c r="G825" s="63"/>
      <c r="H825" s="63"/>
      <c r="J825" s="63"/>
      <c r="K825" s="63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2.75" customHeight="1">
      <c r="A826" s="47"/>
      <c r="B826" s="63"/>
      <c r="C826" s="64"/>
      <c r="D826" s="63"/>
      <c r="E826" s="63"/>
      <c r="F826" s="63"/>
      <c r="G826" s="63"/>
      <c r="H826" s="63"/>
      <c r="J826" s="63"/>
      <c r="K826" s="63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2.75" customHeight="1">
      <c r="A827" s="47"/>
      <c r="B827" s="63"/>
      <c r="C827" s="64"/>
      <c r="D827" s="63"/>
      <c r="E827" s="63"/>
      <c r="F827" s="63"/>
      <c r="G827" s="63"/>
      <c r="H827" s="63"/>
      <c r="J827" s="63"/>
      <c r="K827" s="63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2.75" customHeight="1">
      <c r="A828" s="47"/>
      <c r="B828" s="63"/>
      <c r="C828" s="64"/>
      <c r="D828" s="63"/>
      <c r="E828" s="63"/>
      <c r="F828" s="63"/>
      <c r="G828" s="63"/>
      <c r="H828" s="63"/>
      <c r="J828" s="63"/>
      <c r="K828" s="63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2.75" customHeight="1">
      <c r="A829" s="47"/>
      <c r="B829" s="63"/>
      <c r="C829" s="64"/>
      <c r="D829" s="63"/>
      <c r="E829" s="63"/>
      <c r="F829" s="63"/>
      <c r="G829" s="63"/>
      <c r="H829" s="63"/>
      <c r="J829" s="63"/>
      <c r="K829" s="63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2.75" customHeight="1">
      <c r="A830" s="47"/>
      <c r="B830" s="63"/>
      <c r="C830" s="64"/>
      <c r="D830" s="63"/>
      <c r="E830" s="63"/>
      <c r="F830" s="63"/>
      <c r="G830" s="63"/>
      <c r="H830" s="63"/>
      <c r="J830" s="63"/>
      <c r="K830" s="63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2.75" customHeight="1">
      <c r="A831" s="47"/>
      <c r="B831" s="63"/>
      <c r="C831" s="64"/>
      <c r="D831" s="63"/>
      <c r="E831" s="63"/>
      <c r="F831" s="63"/>
      <c r="G831" s="63"/>
      <c r="H831" s="63"/>
      <c r="J831" s="63"/>
      <c r="K831" s="63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2.75" customHeight="1">
      <c r="A832" s="47"/>
      <c r="B832" s="63"/>
      <c r="C832" s="64"/>
      <c r="D832" s="63"/>
      <c r="E832" s="63"/>
      <c r="F832" s="63"/>
      <c r="G832" s="63"/>
      <c r="H832" s="63"/>
      <c r="J832" s="63"/>
      <c r="K832" s="63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2.75" customHeight="1">
      <c r="A833" s="47"/>
      <c r="B833" s="63"/>
      <c r="C833" s="64"/>
      <c r="D833" s="63"/>
      <c r="E833" s="63"/>
      <c r="F833" s="63"/>
      <c r="G833" s="63"/>
      <c r="H833" s="63"/>
      <c r="J833" s="63"/>
      <c r="K833" s="63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2.75" customHeight="1">
      <c r="A834" s="47"/>
      <c r="B834" s="63"/>
      <c r="C834" s="64"/>
      <c r="D834" s="63"/>
      <c r="E834" s="63"/>
      <c r="F834" s="63"/>
      <c r="G834" s="63"/>
      <c r="H834" s="63"/>
      <c r="J834" s="63"/>
      <c r="K834" s="63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2.75" customHeight="1">
      <c r="A835" s="47"/>
      <c r="B835" s="63"/>
      <c r="C835" s="64"/>
      <c r="D835" s="63"/>
      <c r="E835" s="63"/>
      <c r="F835" s="63"/>
      <c r="G835" s="63"/>
      <c r="H835" s="63"/>
      <c r="J835" s="63"/>
      <c r="K835" s="63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2.75" customHeight="1">
      <c r="A836" s="47"/>
      <c r="B836" s="63"/>
      <c r="C836" s="64"/>
      <c r="D836" s="63"/>
      <c r="E836" s="63"/>
      <c r="F836" s="63"/>
      <c r="G836" s="63"/>
      <c r="H836" s="63"/>
      <c r="J836" s="63"/>
      <c r="K836" s="63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2.75" customHeight="1">
      <c r="A837" s="47"/>
      <c r="B837" s="63"/>
      <c r="C837" s="64"/>
      <c r="D837" s="63"/>
      <c r="E837" s="63"/>
      <c r="F837" s="63"/>
      <c r="G837" s="63"/>
      <c r="H837" s="63"/>
      <c r="J837" s="63"/>
      <c r="K837" s="63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2.75" customHeight="1">
      <c r="A838" s="47"/>
      <c r="B838" s="63"/>
      <c r="C838" s="64"/>
      <c r="D838" s="63"/>
      <c r="E838" s="63"/>
      <c r="F838" s="63"/>
      <c r="G838" s="63"/>
      <c r="H838" s="63"/>
      <c r="J838" s="63"/>
      <c r="K838" s="63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2.75" customHeight="1">
      <c r="A839" s="47"/>
      <c r="B839" s="63"/>
      <c r="C839" s="64"/>
      <c r="D839" s="63"/>
      <c r="E839" s="63"/>
      <c r="F839" s="63"/>
      <c r="G839" s="63"/>
      <c r="H839" s="63"/>
      <c r="J839" s="63"/>
      <c r="K839" s="63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2.75" customHeight="1">
      <c r="A840" s="47"/>
      <c r="B840" s="63"/>
      <c r="C840" s="64"/>
      <c r="D840" s="63"/>
      <c r="E840" s="63"/>
      <c r="F840" s="63"/>
      <c r="G840" s="63"/>
      <c r="H840" s="63"/>
      <c r="J840" s="63"/>
      <c r="K840" s="63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2.75" customHeight="1">
      <c r="A841" s="47"/>
      <c r="B841" s="63"/>
      <c r="C841" s="64"/>
      <c r="D841" s="63"/>
      <c r="E841" s="63"/>
      <c r="F841" s="63"/>
      <c r="G841" s="63"/>
      <c r="H841" s="63"/>
      <c r="J841" s="63"/>
      <c r="K841" s="63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2.75" customHeight="1">
      <c r="A842" s="47"/>
      <c r="B842" s="63"/>
      <c r="C842" s="64"/>
      <c r="D842" s="63"/>
      <c r="E842" s="63"/>
      <c r="F842" s="63"/>
      <c r="G842" s="63"/>
      <c r="H842" s="63"/>
      <c r="J842" s="63"/>
      <c r="K842" s="63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2.75" customHeight="1">
      <c r="A843" s="47"/>
      <c r="B843" s="63"/>
      <c r="C843" s="64"/>
      <c r="D843" s="63"/>
      <c r="E843" s="63"/>
      <c r="F843" s="63"/>
      <c r="G843" s="63"/>
      <c r="H843" s="63"/>
      <c r="J843" s="63"/>
      <c r="K843" s="63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2.75" customHeight="1">
      <c r="A844" s="47"/>
      <c r="B844" s="63"/>
      <c r="C844" s="64"/>
      <c r="D844" s="63"/>
      <c r="E844" s="63"/>
      <c r="F844" s="63"/>
      <c r="G844" s="63"/>
      <c r="H844" s="63"/>
      <c r="J844" s="63"/>
      <c r="K844" s="63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2.75" customHeight="1">
      <c r="A845" s="47"/>
      <c r="B845" s="63"/>
      <c r="C845" s="64"/>
      <c r="D845" s="63"/>
      <c r="E845" s="63"/>
      <c r="F845" s="63"/>
      <c r="G845" s="63"/>
      <c r="H845" s="63"/>
      <c r="J845" s="63"/>
      <c r="K845" s="63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2.75" customHeight="1">
      <c r="A846" s="47"/>
      <c r="B846" s="63"/>
      <c r="C846" s="64"/>
      <c r="D846" s="63"/>
      <c r="E846" s="63"/>
      <c r="F846" s="63"/>
      <c r="G846" s="63"/>
      <c r="H846" s="63"/>
      <c r="J846" s="63"/>
      <c r="K846" s="63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2.75" customHeight="1">
      <c r="A847" s="47"/>
      <c r="B847" s="63"/>
      <c r="C847" s="64"/>
      <c r="D847" s="63"/>
      <c r="E847" s="63"/>
      <c r="F847" s="63"/>
      <c r="G847" s="63"/>
      <c r="H847" s="63"/>
      <c r="J847" s="63"/>
      <c r="K847" s="63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2.75" customHeight="1">
      <c r="A848" s="47"/>
      <c r="B848" s="63"/>
      <c r="C848" s="64"/>
      <c r="D848" s="63"/>
      <c r="E848" s="63"/>
      <c r="F848" s="63"/>
      <c r="G848" s="63"/>
      <c r="H848" s="63"/>
      <c r="J848" s="63"/>
      <c r="K848" s="63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2.75" customHeight="1">
      <c r="A849" s="47"/>
      <c r="B849" s="63"/>
      <c r="C849" s="64"/>
      <c r="D849" s="63"/>
      <c r="E849" s="63"/>
      <c r="F849" s="63"/>
      <c r="G849" s="63"/>
      <c r="H849" s="63"/>
      <c r="J849" s="63"/>
      <c r="K849" s="63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2.75" customHeight="1">
      <c r="A850" s="47"/>
      <c r="B850" s="63"/>
      <c r="C850" s="64"/>
      <c r="D850" s="63"/>
      <c r="E850" s="63"/>
      <c r="F850" s="63"/>
      <c r="G850" s="63"/>
      <c r="H850" s="63"/>
      <c r="J850" s="63"/>
      <c r="K850" s="63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2.75" customHeight="1">
      <c r="A851" s="47"/>
      <c r="B851" s="63"/>
      <c r="C851" s="64"/>
      <c r="D851" s="63"/>
      <c r="E851" s="63"/>
      <c r="F851" s="63"/>
      <c r="G851" s="63"/>
      <c r="H851" s="63"/>
      <c r="J851" s="63"/>
      <c r="K851" s="63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2.75" customHeight="1">
      <c r="A852" s="47"/>
      <c r="B852" s="63"/>
      <c r="C852" s="64"/>
      <c r="D852" s="63"/>
      <c r="E852" s="63"/>
      <c r="F852" s="63"/>
      <c r="G852" s="63"/>
      <c r="H852" s="63"/>
      <c r="J852" s="63"/>
      <c r="K852" s="63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2.75" customHeight="1">
      <c r="A853" s="47"/>
      <c r="B853" s="63"/>
      <c r="C853" s="64"/>
      <c r="D853" s="63"/>
      <c r="E853" s="63"/>
      <c r="F853" s="63"/>
      <c r="G853" s="63"/>
      <c r="H853" s="63"/>
      <c r="J853" s="63"/>
      <c r="K853" s="63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2.75" customHeight="1">
      <c r="A854" s="47"/>
      <c r="B854" s="63"/>
      <c r="C854" s="64"/>
      <c r="D854" s="63"/>
      <c r="E854" s="63"/>
      <c r="F854" s="63"/>
      <c r="G854" s="63"/>
      <c r="H854" s="63"/>
      <c r="J854" s="63"/>
      <c r="K854" s="63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2.75" customHeight="1">
      <c r="A855" s="47"/>
      <c r="B855" s="63"/>
      <c r="C855" s="64"/>
      <c r="D855" s="63"/>
      <c r="E855" s="63"/>
      <c r="F855" s="63"/>
      <c r="G855" s="63"/>
      <c r="H855" s="63"/>
      <c r="J855" s="63"/>
      <c r="K855" s="63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2.75" customHeight="1">
      <c r="A856" s="47"/>
      <c r="B856" s="63"/>
      <c r="C856" s="64"/>
      <c r="D856" s="63"/>
      <c r="E856" s="63"/>
      <c r="F856" s="63"/>
      <c r="G856" s="63"/>
      <c r="H856" s="63"/>
      <c r="J856" s="63"/>
      <c r="K856" s="63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2.75" customHeight="1">
      <c r="A857" s="47"/>
      <c r="B857" s="63"/>
      <c r="C857" s="64"/>
      <c r="D857" s="63"/>
      <c r="E857" s="63"/>
      <c r="F857" s="63"/>
      <c r="G857" s="63"/>
      <c r="H857" s="63"/>
      <c r="J857" s="63"/>
      <c r="K857" s="63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2.75" customHeight="1">
      <c r="A858" s="47"/>
      <c r="B858" s="63"/>
      <c r="C858" s="64"/>
      <c r="D858" s="63"/>
      <c r="E858" s="63"/>
      <c r="F858" s="63"/>
      <c r="G858" s="63"/>
      <c r="H858" s="63"/>
      <c r="J858" s="63"/>
      <c r="K858" s="63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2.75" customHeight="1">
      <c r="A859" s="47"/>
      <c r="B859" s="63"/>
      <c r="C859" s="64"/>
      <c r="D859" s="63"/>
      <c r="E859" s="63"/>
      <c r="F859" s="63"/>
      <c r="G859" s="63"/>
      <c r="H859" s="63"/>
      <c r="J859" s="63"/>
      <c r="K859" s="63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2.75" customHeight="1">
      <c r="A860" s="47"/>
      <c r="B860" s="63"/>
      <c r="C860" s="64"/>
      <c r="D860" s="63"/>
      <c r="E860" s="63"/>
      <c r="F860" s="63"/>
      <c r="G860" s="63"/>
      <c r="H860" s="63"/>
      <c r="J860" s="63"/>
      <c r="K860" s="63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2.75" customHeight="1">
      <c r="A861" s="47"/>
      <c r="B861" s="63"/>
      <c r="C861" s="64"/>
      <c r="D861" s="63"/>
      <c r="E861" s="63"/>
      <c r="F861" s="63"/>
      <c r="G861" s="63"/>
      <c r="H861" s="63"/>
      <c r="J861" s="63"/>
      <c r="K861" s="63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2.75" customHeight="1">
      <c r="A862" s="47"/>
      <c r="B862" s="63"/>
      <c r="C862" s="64"/>
      <c r="D862" s="63"/>
      <c r="E862" s="63"/>
      <c r="F862" s="63"/>
      <c r="G862" s="63"/>
      <c r="H862" s="63"/>
      <c r="J862" s="63"/>
      <c r="K862" s="63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2.75" customHeight="1">
      <c r="A863" s="47"/>
      <c r="B863" s="63"/>
      <c r="C863" s="64"/>
      <c r="D863" s="63"/>
      <c r="E863" s="63"/>
      <c r="F863" s="63"/>
      <c r="G863" s="63"/>
      <c r="H863" s="63"/>
      <c r="J863" s="63"/>
      <c r="K863" s="63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2.75" customHeight="1">
      <c r="A864" s="47"/>
      <c r="B864" s="63"/>
      <c r="C864" s="64"/>
      <c r="D864" s="63"/>
      <c r="E864" s="63"/>
      <c r="F864" s="63"/>
      <c r="G864" s="63"/>
      <c r="H864" s="63"/>
      <c r="J864" s="63"/>
      <c r="K864" s="63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2.75" customHeight="1">
      <c r="A865" s="47"/>
      <c r="B865" s="63"/>
      <c r="C865" s="64"/>
      <c r="D865" s="63"/>
      <c r="E865" s="63"/>
      <c r="F865" s="63"/>
      <c r="G865" s="63"/>
      <c r="H865" s="63"/>
      <c r="J865" s="63"/>
      <c r="K865" s="63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2.75" customHeight="1">
      <c r="A866" s="47"/>
      <c r="B866" s="63"/>
      <c r="C866" s="64"/>
      <c r="D866" s="63"/>
      <c r="E866" s="63"/>
      <c r="F866" s="63"/>
      <c r="G866" s="63"/>
      <c r="H866" s="63"/>
      <c r="J866" s="63"/>
      <c r="K866" s="63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2.75" customHeight="1">
      <c r="A867" s="47"/>
      <c r="B867" s="63"/>
      <c r="C867" s="64"/>
      <c r="D867" s="63"/>
      <c r="E867" s="63"/>
      <c r="F867" s="63"/>
      <c r="G867" s="63"/>
      <c r="H867" s="63"/>
      <c r="J867" s="63"/>
      <c r="K867" s="63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2.75" customHeight="1">
      <c r="A868" s="47"/>
      <c r="B868" s="63"/>
      <c r="C868" s="64"/>
      <c r="D868" s="63"/>
      <c r="E868" s="63"/>
      <c r="F868" s="63"/>
      <c r="G868" s="63"/>
      <c r="H868" s="63"/>
      <c r="J868" s="63"/>
      <c r="K868" s="63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2.75" customHeight="1">
      <c r="A869" s="47"/>
      <c r="B869" s="63"/>
      <c r="C869" s="64"/>
      <c r="D869" s="63"/>
      <c r="E869" s="63"/>
      <c r="F869" s="63"/>
      <c r="G869" s="63"/>
      <c r="H869" s="63"/>
      <c r="J869" s="63"/>
      <c r="K869" s="63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2.75" customHeight="1">
      <c r="A870" s="47"/>
      <c r="B870" s="63"/>
      <c r="C870" s="64"/>
      <c r="D870" s="63"/>
      <c r="E870" s="63"/>
      <c r="F870" s="63"/>
      <c r="G870" s="63"/>
      <c r="H870" s="63"/>
      <c r="J870" s="63"/>
      <c r="K870" s="63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2.75" customHeight="1">
      <c r="A871" s="47"/>
      <c r="B871" s="63"/>
      <c r="C871" s="64"/>
      <c r="D871" s="63"/>
      <c r="E871" s="63"/>
      <c r="F871" s="63"/>
      <c r="G871" s="63"/>
      <c r="H871" s="63"/>
      <c r="J871" s="63"/>
      <c r="K871" s="63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2.75" customHeight="1">
      <c r="A872" s="47"/>
      <c r="B872" s="63"/>
      <c r="C872" s="64"/>
      <c r="D872" s="63"/>
      <c r="E872" s="63"/>
      <c r="F872" s="63"/>
      <c r="G872" s="63"/>
      <c r="H872" s="63"/>
      <c r="J872" s="63"/>
      <c r="K872" s="63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2.75" customHeight="1">
      <c r="A873" s="47"/>
      <c r="B873" s="63"/>
      <c r="C873" s="64"/>
      <c r="D873" s="63"/>
      <c r="E873" s="63"/>
      <c r="F873" s="63"/>
      <c r="G873" s="63"/>
      <c r="H873" s="63"/>
      <c r="J873" s="63"/>
      <c r="K873" s="63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2.75" customHeight="1">
      <c r="A874" s="47"/>
      <c r="B874" s="63"/>
      <c r="C874" s="64"/>
      <c r="D874" s="63"/>
      <c r="E874" s="63"/>
      <c r="F874" s="63"/>
      <c r="G874" s="63"/>
      <c r="H874" s="63"/>
      <c r="J874" s="63"/>
      <c r="K874" s="63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2.75" customHeight="1">
      <c r="A875" s="47"/>
      <c r="B875" s="63"/>
      <c r="C875" s="64"/>
      <c r="D875" s="63"/>
      <c r="E875" s="63"/>
      <c r="F875" s="63"/>
      <c r="G875" s="63"/>
      <c r="H875" s="63"/>
      <c r="J875" s="63"/>
      <c r="K875" s="63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2.75" customHeight="1">
      <c r="A876" s="47"/>
      <c r="B876" s="63"/>
      <c r="C876" s="64"/>
      <c r="D876" s="63"/>
      <c r="E876" s="63"/>
      <c r="F876" s="63"/>
      <c r="G876" s="63"/>
      <c r="H876" s="63"/>
      <c r="J876" s="63"/>
      <c r="K876" s="63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2.75" customHeight="1">
      <c r="A877" s="47"/>
      <c r="B877" s="63"/>
      <c r="C877" s="64"/>
      <c r="D877" s="63"/>
      <c r="E877" s="63"/>
      <c r="F877" s="63"/>
      <c r="G877" s="63"/>
      <c r="H877" s="63"/>
      <c r="J877" s="63"/>
      <c r="K877" s="63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2.75" customHeight="1">
      <c r="A878" s="47"/>
      <c r="B878" s="63"/>
      <c r="C878" s="64"/>
      <c r="D878" s="63"/>
      <c r="E878" s="63"/>
      <c r="F878" s="63"/>
      <c r="G878" s="63"/>
      <c r="H878" s="63"/>
      <c r="J878" s="63"/>
      <c r="K878" s="63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2.75" customHeight="1">
      <c r="A879" s="47"/>
      <c r="B879" s="63"/>
      <c r="C879" s="64"/>
      <c r="D879" s="63"/>
      <c r="E879" s="63"/>
      <c r="F879" s="63"/>
      <c r="G879" s="63"/>
      <c r="H879" s="63"/>
      <c r="J879" s="63"/>
      <c r="K879" s="63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2.75" customHeight="1">
      <c r="A880" s="47"/>
      <c r="B880" s="63"/>
      <c r="C880" s="64"/>
      <c r="D880" s="63"/>
      <c r="E880" s="63"/>
      <c r="F880" s="63"/>
      <c r="G880" s="63"/>
      <c r="H880" s="63"/>
      <c r="J880" s="63"/>
      <c r="K880" s="63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2.75" customHeight="1">
      <c r="A881" s="47"/>
      <c r="B881" s="63"/>
      <c r="C881" s="64"/>
      <c r="D881" s="63"/>
      <c r="E881" s="63"/>
      <c r="F881" s="63"/>
      <c r="G881" s="63"/>
      <c r="H881" s="63"/>
      <c r="J881" s="63"/>
      <c r="K881" s="63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2.75" customHeight="1">
      <c r="A882" s="47"/>
      <c r="B882" s="63"/>
      <c r="C882" s="64"/>
      <c r="D882" s="63"/>
      <c r="E882" s="63"/>
      <c r="F882" s="63"/>
      <c r="G882" s="63"/>
      <c r="H882" s="63"/>
      <c r="J882" s="63"/>
      <c r="K882" s="63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2.75" customHeight="1">
      <c r="A883" s="47"/>
      <c r="B883" s="63"/>
      <c r="C883" s="64"/>
      <c r="D883" s="63"/>
      <c r="E883" s="63"/>
      <c r="F883" s="63"/>
      <c r="G883" s="63"/>
      <c r="H883" s="63"/>
      <c r="J883" s="63"/>
      <c r="K883" s="63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2.75" customHeight="1">
      <c r="A884" s="47"/>
      <c r="B884" s="63"/>
      <c r="C884" s="64"/>
      <c r="D884" s="63"/>
      <c r="E884" s="63"/>
      <c r="F884" s="63"/>
      <c r="G884" s="63"/>
      <c r="H884" s="63"/>
      <c r="J884" s="63"/>
      <c r="K884" s="63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2.75" customHeight="1">
      <c r="A885" s="47"/>
      <c r="B885" s="63"/>
      <c r="C885" s="64"/>
      <c r="D885" s="63"/>
      <c r="E885" s="63"/>
      <c r="F885" s="63"/>
      <c r="G885" s="63"/>
      <c r="H885" s="63"/>
      <c r="J885" s="63"/>
      <c r="K885" s="63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2.75" customHeight="1">
      <c r="A886" s="47"/>
      <c r="B886" s="63"/>
      <c r="C886" s="64"/>
      <c r="D886" s="63"/>
      <c r="E886" s="63"/>
      <c r="F886" s="63"/>
      <c r="G886" s="63"/>
      <c r="H886" s="63"/>
      <c r="J886" s="63"/>
      <c r="K886" s="63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2.75" customHeight="1">
      <c r="A887" s="47"/>
      <c r="B887" s="63"/>
      <c r="C887" s="64"/>
      <c r="D887" s="63"/>
      <c r="E887" s="63"/>
      <c r="F887" s="63"/>
      <c r="G887" s="63"/>
      <c r="H887" s="63"/>
      <c r="J887" s="63"/>
      <c r="K887" s="63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2.75" customHeight="1">
      <c r="A888" s="47"/>
      <c r="B888" s="63"/>
      <c r="C888" s="64"/>
      <c r="D888" s="63"/>
      <c r="E888" s="63"/>
      <c r="F888" s="63"/>
      <c r="G888" s="63"/>
      <c r="H888" s="63"/>
      <c r="J888" s="63"/>
      <c r="K888" s="63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2.75" customHeight="1">
      <c r="A889" s="47"/>
      <c r="B889" s="63"/>
      <c r="C889" s="64"/>
      <c r="D889" s="63"/>
      <c r="E889" s="63"/>
      <c r="F889" s="63"/>
      <c r="G889" s="63"/>
      <c r="H889" s="63"/>
      <c r="J889" s="63"/>
      <c r="K889" s="63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2.75" customHeight="1">
      <c r="A890" s="47"/>
      <c r="B890" s="63"/>
      <c r="C890" s="64"/>
      <c r="D890" s="63"/>
      <c r="E890" s="63"/>
      <c r="F890" s="63"/>
      <c r="G890" s="63"/>
      <c r="H890" s="63"/>
      <c r="J890" s="63"/>
      <c r="K890" s="63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2.75" customHeight="1">
      <c r="A891" s="47"/>
      <c r="B891" s="63"/>
      <c r="C891" s="64"/>
      <c r="D891" s="63"/>
      <c r="E891" s="63"/>
      <c r="F891" s="63"/>
      <c r="G891" s="63"/>
      <c r="H891" s="63"/>
      <c r="J891" s="63"/>
      <c r="K891" s="63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2.75" customHeight="1">
      <c r="A892" s="47"/>
      <c r="B892" s="63"/>
      <c r="C892" s="64"/>
      <c r="D892" s="63"/>
      <c r="E892" s="63"/>
      <c r="F892" s="63"/>
      <c r="G892" s="63"/>
      <c r="H892" s="63"/>
      <c r="J892" s="63"/>
      <c r="K892" s="63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2.75" customHeight="1">
      <c r="A893" s="47"/>
      <c r="B893" s="63"/>
      <c r="C893" s="64"/>
      <c r="D893" s="63"/>
      <c r="E893" s="63"/>
      <c r="F893" s="63"/>
      <c r="G893" s="63"/>
      <c r="H893" s="63"/>
      <c r="J893" s="63"/>
      <c r="K893" s="63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2.75" customHeight="1">
      <c r="A894" s="47"/>
      <c r="B894" s="63"/>
      <c r="C894" s="64"/>
      <c r="D894" s="63"/>
      <c r="E894" s="63"/>
      <c r="F894" s="63"/>
      <c r="G894" s="63"/>
      <c r="H894" s="63"/>
      <c r="J894" s="63"/>
      <c r="K894" s="63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2.75" customHeight="1">
      <c r="A895" s="47"/>
      <c r="B895" s="63"/>
      <c r="C895" s="64"/>
      <c r="D895" s="63"/>
      <c r="E895" s="63"/>
      <c r="F895" s="63"/>
      <c r="G895" s="63"/>
      <c r="H895" s="63"/>
      <c r="J895" s="63"/>
      <c r="K895" s="63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2.75" customHeight="1">
      <c r="A896" s="47"/>
      <c r="B896" s="63"/>
      <c r="C896" s="64"/>
      <c r="D896" s="63"/>
      <c r="E896" s="63"/>
      <c r="F896" s="63"/>
      <c r="G896" s="63"/>
      <c r="H896" s="63"/>
      <c r="J896" s="63"/>
      <c r="K896" s="63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2.75" customHeight="1">
      <c r="A897" s="47"/>
      <c r="B897" s="63"/>
      <c r="C897" s="64"/>
      <c r="D897" s="63"/>
      <c r="E897" s="63"/>
      <c r="F897" s="63"/>
      <c r="G897" s="63"/>
      <c r="H897" s="63"/>
      <c r="J897" s="63"/>
      <c r="K897" s="63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2.75" customHeight="1">
      <c r="A898" s="47"/>
      <c r="B898" s="63"/>
      <c r="C898" s="64"/>
      <c r="D898" s="63"/>
      <c r="E898" s="63"/>
      <c r="F898" s="63"/>
      <c r="G898" s="63"/>
      <c r="H898" s="63"/>
      <c r="J898" s="63"/>
      <c r="K898" s="63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2.75" customHeight="1">
      <c r="A899" s="47"/>
      <c r="B899" s="63"/>
      <c r="C899" s="64"/>
      <c r="D899" s="63"/>
      <c r="E899" s="63"/>
      <c r="F899" s="63"/>
      <c r="G899" s="63"/>
      <c r="H899" s="63"/>
      <c r="J899" s="63"/>
      <c r="K899" s="63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2.75" customHeight="1">
      <c r="A900" s="47"/>
      <c r="B900" s="63"/>
      <c r="C900" s="64"/>
      <c r="D900" s="63"/>
      <c r="E900" s="63"/>
      <c r="F900" s="63"/>
      <c r="G900" s="63"/>
      <c r="H900" s="63"/>
      <c r="J900" s="63"/>
      <c r="K900" s="63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2.75" customHeight="1">
      <c r="A901" s="47"/>
      <c r="B901" s="63"/>
      <c r="C901" s="64"/>
      <c r="D901" s="63"/>
      <c r="E901" s="63"/>
      <c r="F901" s="63"/>
      <c r="G901" s="63"/>
      <c r="H901" s="63"/>
      <c r="J901" s="63"/>
      <c r="K901" s="63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2.75" customHeight="1">
      <c r="A902" s="47"/>
      <c r="B902" s="63"/>
      <c r="C902" s="64"/>
      <c r="D902" s="63"/>
      <c r="E902" s="63"/>
      <c r="F902" s="63"/>
      <c r="G902" s="63"/>
      <c r="H902" s="63"/>
      <c r="J902" s="63"/>
      <c r="K902" s="63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2.75" customHeight="1">
      <c r="A903" s="47"/>
      <c r="B903" s="63"/>
      <c r="C903" s="64"/>
      <c r="D903" s="63"/>
      <c r="E903" s="63"/>
      <c r="F903" s="63"/>
      <c r="G903" s="63"/>
      <c r="H903" s="63"/>
      <c r="J903" s="63"/>
      <c r="K903" s="63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2.75" customHeight="1">
      <c r="A904" s="47"/>
      <c r="B904" s="63"/>
      <c r="C904" s="64"/>
      <c r="D904" s="63"/>
      <c r="E904" s="63"/>
      <c r="F904" s="63"/>
      <c r="G904" s="63"/>
      <c r="H904" s="63"/>
      <c r="J904" s="63"/>
      <c r="K904" s="63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2.75" customHeight="1">
      <c r="A905" s="47"/>
      <c r="B905" s="63"/>
      <c r="C905" s="64"/>
      <c r="D905" s="63"/>
      <c r="E905" s="63"/>
      <c r="F905" s="63"/>
      <c r="G905" s="63"/>
      <c r="H905" s="63"/>
      <c r="J905" s="63"/>
      <c r="K905" s="63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2.75" customHeight="1">
      <c r="A906" s="47"/>
      <c r="B906" s="63"/>
      <c r="C906" s="64"/>
      <c r="D906" s="63"/>
      <c r="E906" s="63"/>
      <c r="F906" s="63"/>
      <c r="G906" s="63"/>
      <c r="H906" s="63"/>
      <c r="J906" s="63"/>
      <c r="K906" s="63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2.75" customHeight="1">
      <c r="A907" s="47"/>
      <c r="B907" s="63"/>
      <c r="C907" s="64"/>
      <c r="D907" s="63"/>
      <c r="E907" s="63"/>
      <c r="F907" s="63"/>
      <c r="G907" s="63"/>
      <c r="H907" s="63"/>
      <c r="J907" s="63"/>
      <c r="K907" s="63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2.75" customHeight="1">
      <c r="A908" s="47"/>
      <c r="B908" s="63"/>
      <c r="C908" s="64"/>
      <c r="D908" s="63"/>
      <c r="E908" s="63"/>
      <c r="F908" s="63"/>
      <c r="G908" s="63"/>
      <c r="H908" s="63"/>
      <c r="J908" s="63"/>
      <c r="K908" s="63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2.75" customHeight="1">
      <c r="A909" s="47"/>
      <c r="B909" s="63"/>
      <c r="C909" s="64"/>
      <c r="D909" s="63"/>
      <c r="E909" s="63"/>
      <c r="F909" s="63"/>
      <c r="G909" s="63"/>
      <c r="H909" s="63"/>
      <c r="J909" s="63"/>
      <c r="K909" s="63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2.75" customHeight="1">
      <c r="A910" s="47"/>
      <c r="B910" s="63"/>
      <c r="C910" s="64"/>
      <c r="D910" s="63"/>
      <c r="E910" s="63"/>
      <c r="F910" s="63"/>
      <c r="G910" s="63"/>
      <c r="H910" s="63"/>
      <c r="J910" s="63"/>
      <c r="K910" s="63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2.75" customHeight="1">
      <c r="A911" s="47"/>
      <c r="B911" s="63"/>
      <c r="C911" s="64"/>
      <c r="D911" s="63"/>
      <c r="E911" s="63"/>
      <c r="F911" s="63"/>
      <c r="G911" s="63"/>
      <c r="H911" s="63"/>
      <c r="J911" s="63"/>
      <c r="K911" s="63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2.75" customHeight="1">
      <c r="A912" s="47"/>
      <c r="B912" s="63"/>
      <c r="C912" s="64"/>
      <c r="D912" s="63"/>
      <c r="E912" s="63"/>
      <c r="F912" s="63"/>
      <c r="G912" s="63"/>
      <c r="H912" s="63"/>
      <c r="J912" s="63"/>
      <c r="K912" s="63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2.75" customHeight="1">
      <c r="A913" s="47"/>
      <c r="B913" s="63"/>
      <c r="C913" s="64"/>
      <c r="D913" s="63"/>
      <c r="E913" s="63"/>
      <c r="F913" s="63"/>
      <c r="G913" s="63"/>
      <c r="H913" s="63"/>
      <c r="J913" s="63"/>
      <c r="K913" s="63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2.75" customHeight="1">
      <c r="A914" s="47"/>
      <c r="B914" s="63"/>
      <c r="C914" s="64"/>
      <c r="D914" s="63"/>
      <c r="E914" s="63"/>
      <c r="F914" s="63"/>
      <c r="G914" s="63"/>
      <c r="H914" s="63"/>
      <c r="J914" s="63"/>
      <c r="K914" s="63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2.75" customHeight="1">
      <c r="A915" s="47"/>
      <c r="B915" s="63"/>
      <c r="C915" s="64"/>
      <c r="D915" s="63"/>
      <c r="E915" s="63"/>
      <c r="F915" s="63"/>
      <c r="G915" s="63"/>
      <c r="H915" s="63"/>
      <c r="J915" s="63"/>
      <c r="K915" s="63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2.75" customHeight="1">
      <c r="A916" s="47"/>
      <c r="B916" s="63"/>
      <c r="C916" s="64"/>
      <c r="D916" s="63"/>
      <c r="E916" s="63"/>
      <c r="F916" s="63"/>
      <c r="G916" s="63"/>
      <c r="H916" s="63"/>
      <c r="J916" s="63"/>
      <c r="K916" s="63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2.75" customHeight="1">
      <c r="A917" s="47"/>
      <c r="B917" s="63"/>
      <c r="C917" s="64"/>
      <c r="D917" s="63"/>
      <c r="E917" s="63"/>
      <c r="F917" s="63"/>
      <c r="G917" s="63"/>
      <c r="H917" s="63"/>
      <c r="J917" s="63"/>
      <c r="K917" s="63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2.75" customHeight="1">
      <c r="A918" s="47"/>
      <c r="B918" s="63"/>
      <c r="C918" s="64"/>
      <c r="D918" s="63"/>
      <c r="E918" s="63"/>
      <c r="F918" s="63"/>
      <c r="G918" s="63"/>
      <c r="H918" s="63"/>
      <c r="J918" s="63"/>
      <c r="K918" s="63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2.75" customHeight="1">
      <c r="A919" s="47"/>
      <c r="B919" s="63"/>
      <c r="C919" s="64"/>
      <c r="D919" s="63"/>
      <c r="E919" s="63"/>
      <c r="F919" s="63"/>
      <c r="G919" s="63"/>
      <c r="H919" s="63"/>
      <c r="J919" s="63"/>
      <c r="K919" s="63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2.75" customHeight="1">
      <c r="A920" s="47"/>
      <c r="B920" s="63"/>
      <c r="C920" s="64"/>
      <c r="D920" s="63"/>
      <c r="E920" s="63"/>
      <c r="F920" s="63"/>
      <c r="G920" s="63"/>
      <c r="H920" s="63"/>
      <c r="J920" s="63"/>
      <c r="K920" s="63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2.75" customHeight="1">
      <c r="A921" s="47"/>
      <c r="B921" s="63"/>
      <c r="C921" s="64"/>
      <c r="D921" s="63"/>
      <c r="E921" s="63"/>
      <c r="F921" s="63"/>
      <c r="G921" s="63"/>
      <c r="H921" s="63"/>
      <c r="J921" s="63"/>
      <c r="K921" s="63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2.75" customHeight="1">
      <c r="A922" s="47"/>
      <c r="B922" s="63"/>
      <c r="C922" s="64"/>
      <c r="D922" s="63"/>
      <c r="E922" s="63"/>
      <c r="F922" s="63"/>
      <c r="G922" s="63"/>
      <c r="H922" s="63"/>
      <c r="J922" s="63"/>
      <c r="K922" s="63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2.75" customHeight="1">
      <c r="A923" s="47"/>
      <c r="B923" s="63"/>
      <c r="C923" s="64"/>
      <c r="D923" s="63"/>
      <c r="E923" s="63"/>
      <c r="F923" s="63"/>
      <c r="G923" s="63"/>
      <c r="H923" s="63"/>
      <c r="J923" s="63"/>
      <c r="K923" s="63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2.75" customHeight="1">
      <c r="A924" s="47"/>
      <c r="B924" s="63"/>
      <c r="C924" s="64"/>
      <c r="D924" s="63"/>
      <c r="E924" s="63"/>
      <c r="F924" s="63"/>
      <c r="G924" s="63"/>
      <c r="H924" s="63"/>
      <c r="J924" s="63"/>
      <c r="K924" s="63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2.75" customHeight="1">
      <c r="A925" s="47"/>
      <c r="B925" s="63"/>
      <c r="C925" s="64"/>
      <c r="D925" s="63"/>
      <c r="E925" s="63"/>
      <c r="F925" s="63"/>
      <c r="G925" s="63"/>
      <c r="H925" s="63"/>
      <c r="J925" s="63"/>
      <c r="K925" s="63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2.75" customHeight="1">
      <c r="A926" s="47"/>
      <c r="B926" s="63"/>
      <c r="C926" s="64"/>
      <c r="D926" s="63"/>
      <c r="E926" s="63"/>
      <c r="F926" s="63"/>
      <c r="G926" s="63"/>
      <c r="H926" s="63"/>
      <c r="J926" s="63"/>
      <c r="K926" s="63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2.75" customHeight="1">
      <c r="A927" s="47"/>
      <c r="B927" s="63"/>
      <c r="C927" s="64"/>
      <c r="D927" s="63"/>
      <c r="E927" s="63"/>
      <c r="F927" s="63"/>
      <c r="G927" s="63"/>
      <c r="H927" s="63"/>
      <c r="J927" s="63"/>
      <c r="K927" s="63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2.75" customHeight="1">
      <c r="A928" s="47"/>
      <c r="B928" s="63"/>
      <c r="C928" s="64"/>
      <c r="D928" s="63"/>
      <c r="E928" s="63"/>
      <c r="F928" s="63"/>
      <c r="G928" s="63"/>
      <c r="H928" s="63"/>
      <c r="J928" s="63"/>
      <c r="K928" s="63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2.75" customHeight="1">
      <c r="A929" s="47"/>
      <c r="B929" s="63"/>
      <c r="C929" s="64"/>
      <c r="D929" s="63"/>
      <c r="E929" s="63"/>
      <c r="F929" s="63"/>
      <c r="G929" s="63"/>
      <c r="H929" s="63"/>
      <c r="J929" s="63"/>
      <c r="K929" s="63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2.75" customHeight="1">
      <c r="A930" s="47"/>
      <c r="B930" s="63"/>
      <c r="C930" s="64"/>
      <c r="D930" s="63"/>
      <c r="E930" s="63"/>
      <c r="F930" s="63"/>
      <c r="G930" s="63"/>
      <c r="H930" s="63"/>
      <c r="J930" s="63"/>
      <c r="K930" s="63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2.75" customHeight="1">
      <c r="A931" s="47"/>
      <c r="B931" s="63"/>
      <c r="C931" s="64"/>
      <c r="D931" s="63"/>
      <c r="E931" s="63"/>
      <c r="F931" s="63"/>
      <c r="G931" s="63"/>
      <c r="H931" s="63"/>
      <c r="J931" s="63"/>
      <c r="K931" s="63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2.75" customHeight="1">
      <c r="A932" s="47"/>
      <c r="B932" s="63"/>
      <c r="C932" s="64"/>
      <c r="D932" s="63"/>
      <c r="E932" s="63"/>
      <c r="F932" s="63"/>
      <c r="G932" s="63"/>
      <c r="H932" s="63"/>
      <c r="J932" s="63"/>
      <c r="K932" s="63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2.75" customHeight="1">
      <c r="A933" s="47"/>
      <c r="B933" s="63"/>
      <c r="C933" s="64"/>
      <c r="D933" s="63"/>
      <c r="E933" s="63"/>
      <c r="F933" s="63"/>
      <c r="G933" s="63"/>
      <c r="H933" s="63"/>
      <c r="J933" s="63"/>
      <c r="K933" s="63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2.75" customHeight="1">
      <c r="A934" s="47"/>
      <c r="B934" s="63"/>
      <c r="C934" s="64"/>
      <c r="D934" s="63"/>
      <c r="E934" s="63"/>
      <c r="F934" s="63"/>
      <c r="G934" s="63"/>
      <c r="H934" s="63"/>
      <c r="J934" s="63"/>
      <c r="K934" s="63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2.75" customHeight="1">
      <c r="A935" s="47"/>
      <c r="B935" s="63"/>
      <c r="C935" s="64"/>
      <c r="D935" s="63"/>
      <c r="E935" s="63"/>
      <c r="F935" s="63"/>
      <c r="G935" s="63"/>
      <c r="H935" s="63"/>
      <c r="J935" s="63"/>
      <c r="K935" s="63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2.75" customHeight="1">
      <c r="A936" s="47"/>
      <c r="B936" s="63"/>
      <c r="C936" s="64"/>
      <c r="D936" s="63"/>
      <c r="E936" s="63"/>
      <c r="F936" s="63"/>
      <c r="G936" s="63"/>
      <c r="H936" s="63"/>
      <c r="J936" s="63"/>
      <c r="K936" s="63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2.75" customHeight="1">
      <c r="A937" s="47"/>
      <c r="B937" s="63"/>
      <c r="C937" s="64"/>
      <c r="D937" s="63"/>
      <c r="E937" s="63"/>
      <c r="F937" s="63"/>
      <c r="G937" s="63"/>
      <c r="H937" s="63"/>
      <c r="J937" s="63"/>
      <c r="K937" s="63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2.75" customHeight="1">
      <c r="A938" s="47"/>
      <c r="B938" s="63"/>
      <c r="C938" s="64"/>
      <c r="D938" s="63"/>
      <c r="E938" s="63"/>
      <c r="F938" s="63"/>
      <c r="G938" s="63"/>
      <c r="H938" s="63"/>
      <c r="J938" s="63"/>
      <c r="K938" s="63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2.75" customHeight="1">
      <c r="A939" s="47"/>
      <c r="B939" s="63"/>
      <c r="C939" s="64"/>
      <c r="D939" s="63"/>
      <c r="E939" s="63"/>
      <c r="F939" s="63"/>
      <c r="G939" s="63"/>
      <c r="H939" s="63"/>
      <c r="J939" s="63"/>
      <c r="K939" s="63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2.75" customHeight="1">
      <c r="A940" s="47"/>
      <c r="B940" s="63"/>
      <c r="C940" s="64"/>
      <c r="D940" s="63"/>
      <c r="E940" s="63"/>
      <c r="F940" s="63"/>
      <c r="G940" s="63"/>
      <c r="H940" s="63"/>
      <c r="J940" s="63"/>
      <c r="K940" s="63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2.75" customHeight="1">
      <c r="A941" s="47"/>
      <c r="B941" s="63"/>
      <c r="C941" s="64"/>
      <c r="D941" s="63"/>
      <c r="E941" s="63"/>
      <c r="F941" s="63"/>
      <c r="G941" s="63"/>
      <c r="H941" s="63"/>
      <c r="J941" s="63"/>
      <c r="K941" s="63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2.75" customHeight="1">
      <c r="A942" s="47"/>
      <c r="B942" s="63"/>
      <c r="C942" s="64"/>
      <c r="D942" s="63"/>
      <c r="E942" s="63"/>
      <c r="F942" s="63"/>
      <c r="G942" s="63"/>
      <c r="H942" s="63"/>
      <c r="J942" s="63"/>
      <c r="K942" s="63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2.75" customHeight="1">
      <c r="A943" s="47"/>
      <c r="B943" s="63"/>
      <c r="C943" s="64"/>
      <c r="D943" s="63"/>
      <c r="E943" s="63"/>
      <c r="F943" s="63"/>
      <c r="G943" s="63"/>
      <c r="H943" s="63"/>
      <c r="J943" s="63"/>
      <c r="K943" s="63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2.75" customHeight="1">
      <c r="A944" s="47"/>
      <c r="B944" s="63"/>
      <c r="C944" s="64"/>
      <c r="D944" s="63"/>
      <c r="E944" s="63"/>
      <c r="F944" s="63"/>
      <c r="G944" s="63"/>
      <c r="H944" s="63"/>
      <c r="J944" s="63"/>
      <c r="K944" s="63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2.75" customHeight="1">
      <c r="A945" s="47"/>
      <c r="B945" s="63"/>
      <c r="C945" s="64"/>
      <c r="D945" s="63"/>
      <c r="E945" s="63"/>
      <c r="F945" s="63"/>
      <c r="G945" s="63"/>
      <c r="H945" s="63"/>
      <c r="J945" s="63"/>
      <c r="K945" s="63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2.75" customHeight="1">
      <c r="A946" s="47"/>
      <c r="B946" s="63"/>
      <c r="C946" s="64"/>
      <c r="D946" s="63"/>
      <c r="E946" s="63"/>
      <c r="F946" s="63"/>
      <c r="G946" s="63"/>
      <c r="H946" s="63"/>
      <c r="J946" s="63"/>
      <c r="K946" s="63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2.75" customHeight="1">
      <c r="A947" s="47"/>
      <c r="B947" s="63"/>
      <c r="C947" s="64"/>
      <c r="D947" s="63"/>
      <c r="E947" s="63"/>
      <c r="F947" s="63"/>
      <c r="G947" s="63"/>
      <c r="H947" s="63"/>
      <c r="J947" s="63"/>
      <c r="K947" s="63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2.75" customHeight="1">
      <c r="A948" s="47"/>
      <c r="B948" s="63"/>
      <c r="C948" s="64"/>
      <c r="D948" s="63"/>
      <c r="E948" s="63"/>
      <c r="F948" s="63"/>
      <c r="G948" s="63"/>
      <c r="H948" s="63"/>
      <c r="J948" s="63"/>
      <c r="K948" s="63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2.75" customHeight="1">
      <c r="A949" s="47"/>
      <c r="B949" s="63"/>
      <c r="C949" s="64"/>
      <c r="D949" s="63"/>
      <c r="E949" s="63"/>
      <c r="F949" s="63"/>
      <c r="G949" s="63"/>
      <c r="H949" s="63"/>
      <c r="J949" s="63"/>
      <c r="K949" s="63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2.75" customHeight="1">
      <c r="A950" s="47"/>
      <c r="B950" s="63"/>
      <c r="C950" s="64"/>
      <c r="D950" s="63"/>
      <c r="E950" s="63"/>
      <c r="F950" s="63"/>
      <c r="G950" s="63"/>
      <c r="H950" s="63"/>
      <c r="J950" s="63"/>
      <c r="K950" s="63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2.75" customHeight="1">
      <c r="A951" s="47"/>
      <c r="B951" s="63"/>
      <c r="C951" s="64"/>
      <c r="D951" s="63"/>
      <c r="E951" s="63"/>
      <c r="F951" s="63"/>
      <c r="G951" s="63"/>
      <c r="H951" s="63"/>
      <c r="J951" s="63"/>
      <c r="K951" s="63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2.75" customHeight="1">
      <c r="A952" s="47"/>
      <c r="B952" s="63"/>
      <c r="C952" s="64"/>
      <c r="D952" s="63"/>
      <c r="E952" s="63"/>
      <c r="F952" s="63"/>
      <c r="G952" s="63"/>
      <c r="H952" s="63"/>
      <c r="J952" s="63"/>
      <c r="K952" s="63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2.75" customHeight="1">
      <c r="A953" s="47"/>
      <c r="B953" s="63"/>
      <c r="C953" s="64"/>
      <c r="D953" s="63"/>
      <c r="E953" s="63"/>
      <c r="F953" s="63"/>
      <c r="G953" s="63"/>
      <c r="H953" s="63"/>
      <c r="J953" s="63"/>
      <c r="K953" s="63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2.75" customHeight="1">
      <c r="A954" s="47"/>
      <c r="B954" s="63"/>
      <c r="C954" s="64"/>
      <c r="D954" s="63"/>
      <c r="E954" s="63"/>
      <c r="F954" s="63"/>
      <c r="G954" s="63"/>
      <c r="H954" s="63"/>
      <c r="J954" s="63"/>
      <c r="K954" s="63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2.75" customHeight="1">
      <c r="A955" s="47"/>
      <c r="B955" s="63"/>
      <c r="C955" s="64"/>
      <c r="D955" s="63"/>
      <c r="E955" s="63"/>
      <c r="F955" s="63"/>
      <c r="G955" s="63"/>
      <c r="H955" s="63"/>
      <c r="J955" s="63"/>
      <c r="K955" s="63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2.75" customHeight="1">
      <c r="A956" s="47"/>
      <c r="B956" s="63"/>
      <c r="C956" s="64"/>
      <c r="D956" s="63"/>
      <c r="E956" s="63"/>
      <c r="F956" s="63"/>
      <c r="G956" s="63"/>
      <c r="H956" s="63"/>
      <c r="J956" s="63"/>
      <c r="K956" s="63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2.75" customHeight="1">
      <c r="A957" s="47"/>
      <c r="B957" s="63"/>
      <c r="C957" s="64"/>
      <c r="D957" s="63"/>
      <c r="E957" s="63"/>
      <c r="F957" s="63"/>
      <c r="G957" s="63"/>
      <c r="H957" s="63"/>
      <c r="J957" s="63"/>
      <c r="K957" s="63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2.75" customHeight="1">
      <c r="A958" s="47"/>
      <c r="B958" s="63"/>
      <c r="C958" s="64"/>
      <c r="D958" s="63"/>
      <c r="E958" s="63"/>
      <c r="F958" s="63"/>
      <c r="G958" s="63"/>
      <c r="H958" s="63"/>
      <c r="J958" s="63"/>
      <c r="K958" s="63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2.75" customHeight="1">
      <c r="A959" s="47"/>
      <c r="B959" s="63"/>
      <c r="C959" s="64"/>
      <c r="D959" s="63"/>
      <c r="E959" s="63"/>
      <c r="F959" s="63"/>
      <c r="G959" s="63"/>
      <c r="H959" s="63"/>
      <c r="J959" s="63"/>
      <c r="K959" s="63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2.75" customHeight="1">
      <c r="A960" s="47"/>
      <c r="B960" s="63"/>
      <c r="C960" s="64"/>
      <c r="D960" s="63"/>
      <c r="E960" s="63"/>
      <c r="F960" s="63"/>
      <c r="G960" s="63"/>
      <c r="H960" s="63"/>
      <c r="J960" s="63"/>
      <c r="K960" s="63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2.75" customHeight="1">
      <c r="A961" s="47"/>
      <c r="B961" s="63"/>
      <c r="C961" s="64"/>
      <c r="D961" s="63"/>
      <c r="E961" s="63"/>
      <c r="F961" s="63"/>
      <c r="G961" s="63"/>
      <c r="H961" s="63"/>
      <c r="J961" s="63"/>
      <c r="K961" s="63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2.75" customHeight="1">
      <c r="A962" s="47"/>
      <c r="B962" s="63"/>
      <c r="C962" s="64"/>
      <c r="D962" s="63"/>
      <c r="E962" s="63"/>
      <c r="F962" s="63"/>
      <c r="G962" s="63"/>
      <c r="H962" s="63"/>
      <c r="J962" s="63"/>
      <c r="K962" s="63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2.75" customHeight="1">
      <c r="A963" s="47"/>
      <c r="B963" s="63"/>
      <c r="C963" s="64"/>
      <c r="D963" s="63"/>
      <c r="E963" s="63"/>
      <c r="F963" s="63"/>
      <c r="G963" s="63"/>
      <c r="H963" s="63"/>
      <c r="J963" s="63"/>
      <c r="K963" s="63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2.75" customHeight="1">
      <c r="A964" s="47"/>
      <c r="B964" s="63"/>
      <c r="C964" s="64"/>
      <c r="D964" s="63"/>
      <c r="E964" s="63"/>
      <c r="F964" s="63"/>
      <c r="G964" s="63"/>
      <c r="H964" s="63"/>
      <c r="J964" s="63"/>
      <c r="K964" s="63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2.75" customHeight="1">
      <c r="A965" s="47"/>
      <c r="B965" s="63"/>
      <c r="C965" s="64"/>
      <c r="D965" s="63"/>
      <c r="E965" s="63"/>
      <c r="F965" s="63"/>
      <c r="G965" s="63"/>
      <c r="H965" s="63"/>
      <c r="J965" s="63"/>
      <c r="K965" s="63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2.75" customHeight="1">
      <c r="A966" s="47"/>
      <c r="B966" s="63"/>
      <c r="C966" s="64"/>
      <c r="D966" s="63"/>
      <c r="E966" s="63"/>
      <c r="F966" s="63"/>
      <c r="G966" s="63"/>
      <c r="H966" s="63"/>
      <c r="J966" s="63"/>
      <c r="K966" s="63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2.75" customHeight="1">
      <c r="A967" s="47"/>
      <c r="B967" s="63"/>
      <c r="C967" s="64"/>
      <c r="D967" s="63"/>
      <c r="E967" s="63"/>
      <c r="F967" s="63"/>
      <c r="G967" s="63"/>
      <c r="H967" s="63"/>
      <c r="J967" s="63"/>
      <c r="K967" s="63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2.75" customHeight="1">
      <c r="A968" s="47"/>
      <c r="B968" s="63"/>
      <c r="C968" s="64"/>
      <c r="D968" s="63"/>
      <c r="E968" s="63"/>
      <c r="F968" s="63"/>
      <c r="G968" s="63"/>
      <c r="H968" s="63"/>
      <c r="J968" s="63"/>
      <c r="K968" s="63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2.75" customHeight="1">
      <c r="A969" s="47"/>
      <c r="B969" s="63"/>
      <c r="C969" s="64"/>
      <c r="D969" s="63"/>
      <c r="E969" s="63"/>
      <c r="F969" s="63"/>
      <c r="G969" s="63"/>
      <c r="H969" s="63"/>
      <c r="J969" s="63"/>
      <c r="K969" s="63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2.75" customHeight="1">
      <c r="A970" s="47"/>
      <c r="B970" s="63"/>
      <c r="C970" s="64"/>
      <c r="D970" s="63"/>
      <c r="E970" s="63"/>
      <c r="F970" s="63"/>
      <c r="G970" s="63"/>
      <c r="H970" s="63"/>
      <c r="J970" s="63"/>
      <c r="K970" s="63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2.75" customHeight="1">
      <c r="A971" s="47"/>
      <c r="B971" s="63"/>
      <c r="C971" s="64"/>
      <c r="D971" s="63"/>
      <c r="E971" s="63"/>
      <c r="F971" s="63"/>
      <c r="G971" s="63"/>
      <c r="H971" s="63"/>
      <c r="J971" s="63"/>
      <c r="K971" s="63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2.75" customHeight="1">
      <c r="A972" s="47"/>
      <c r="B972" s="63"/>
      <c r="C972" s="64"/>
      <c r="D972" s="63"/>
      <c r="E972" s="63"/>
      <c r="F972" s="63"/>
      <c r="G972" s="63"/>
      <c r="H972" s="63"/>
      <c r="J972" s="63"/>
      <c r="K972" s="63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2.75" customHeight="1">
      <c r="A973" s="47"/>
      <c r="B973" s="63"/>
      <c r="C973" s="64"/>
      <c r="D973" s="63"/>
      <c r="E973" s="63"/>
      <c r="F973" s="63"/>
      <c r="G973" s="63"/>
      <c r="H973" s="63"/>
      <c r="J973" s="63"/>
      <c r="K973" s="63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2.75" customHeight="1">
      <c r="A974" s="47"/>
      <c r="B974" s="63"/>
      <c r="C974" s="64"/>
      <c r="D974" s="63"/>
      <c r="E974" s="63"/>
      <c r="F974" s="63"/>
      <c r="G974" s="63"/>
      <c r="H974" s="63"/>
      <c r="J974" s="63"/>
      <c r="K974" s="63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2.75" customHeight="1">
      <c r="A975" s="47"/>
      <c r="B975" s="63"/>
      <c r="C975" s="64"/>
      <c r="D975" s="63"/>
      <c r="E975" s="63"/>
      <c r="F975" s="63"/>
      <c r="G975" s="63"/>
      <c r="H975" s="63"/>
      <c r="J975" s="63"/>
      <c r="K975" s="63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2.75" customHeight="1">
      <c r="A976" s="47"/>
      <c r="B976" s="63"/>
      <c r="C976" s="64"/>
      <c r="D976" s="63"/>
      <c r="E976" s="63"/>
      <c r="F976" s="63"/>
      <c r="G976" s="63"/>
      <c r="H976" s="63"/>
      <c r="J976" s="63"/>
      <c r="K976" s="63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2.75" customHeight="1">
      <c r="A977" s="47"/>
      <c r="B977" s="63"/>
      <c r="C977" s="64"/>
      <c r="D977" s="63"/>
      <c r="E977" s="63"/>
      <c r="F977" s="63"/>
      <c r="G977" s="63"/>
      <c r="H977" s="63"/>
      <c r="J977" s="63"/>
      <c r="K977" s="63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2.75" customHeight="1">
      <c r="A978" s="47"/>
      <c r="B978" s="63"/>
      <c r="C978" s="64"/>
      <c r="D978" s="63"/>
      <c r="E978" s="63"/>
      <c r="F978" s="63"/>
      <c r="G978" s="63"/>
      <c r="H978" s="63"/>
      <c r="J978" s="63"/>
      <c r="K978" s="63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2.75" customHeight="1">
      <c r="A979" s="47"/>
      <c r="B979" s="63"/>
      <c r="C979" s="64"/>
      <c r="D979" s="63"/>
      <c r="E979" s="63"/>
      <c r="F979" s="63"/>
      <c r="G979" s="63"/>
      <c r="H979" s="63"/>
      <c r="J979" s="63"/>
      <c r="K979" s="63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2.75" customHeight="1">
      <c r="A980" s="47"/>
      <c r="B980" s="63"/>
      <c r="C980" s="64"/>
      <c r="D980" s="63"/>
      <c r="E980" s="63"/>
      <c r="F980" s="63"/>
      <c r="G980" s="63"/>
      <c r="H980" s="63"/>
      <c r="J980" s="63"/>
      <c r="K980" s="63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2.75" customHeight="1">
      <c r="A981" s="47"/>
      <c r="B981" s="63"/>
      <c r="C981" s="64"/>
      <c r="D981" s="63"/>
      <c r="E981" s="63"/>
      <c r="F981" s="63"/>
      <c r="G981" s="63"/>
      <c r="H981" s="63"/>
      <c r="J981" s="63"/>
      <c r="K981" s="63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2.75" customHeight="1">
      <c r="A982" s="47"/>
      <c r="B982" s="63"/>
      <c r="C982" s="64"/>
      <c r="D982" s="63"/>
      <c r="E982" s="63"/>
      <c r="F982" s="63"/>
      <c r="G982" s="63"/>
      <c r="H982" s="63"/>
      <c r="J982" s="63"/>
      <c r="K982" s="63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2.75" customHeight="1">
      <c r="A983" s="47"/>
      <c r="B983" s="63"/>
      <c r="C983" s="64"/>
      <c r="D983" s="63"/>
      <c r="E983" s="63"/>
      <c r="F983" s="63"/>
      <c r="G983" s="63"/>
      <c r="H983" s="63"/>
      <c r="J983" s="63"/>
      <c r="K983" s="63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2.75" customHeight="1">
      <c r="A984" s="47"/>
      <c r="B984" s="63"/>
      <c r="C984" s="64"/>
      <c r="D984" s="63"/>
      <c r="E984" s="63"/>
      <c r="F984" s="63"/>
      <c r="G984" s="63"/>
      <c r="H984" s="63"/>
      <c r="J984" s="63"/>
      <c r="K984" s="63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2.75" customHeight="1">
      <c r="A985" s="47"/>
      <c r="B985" s="63"/>
      <c r="C985" s="64"/>
      <c r="D985" s="63"/>
      <c r="E985" s="63"/>
      <c r="F985" s="63"/>
      <c r="G985" s="63"/>
      <c r="H985" s="63"/>
      <c r="J985" s="63"/>
      <c r="K985" s="63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2.75" customHeight="1">
      <c r="A986" s="47"/>
      <c r="B986" s="63"/>
      <c r="C986" s="64"/>
      <c r="D986" s="63"/>
      <c r="E986" s="63"/>
      <c r="F986" s="63"/>
      <c r="G986" s="63"/>
      <c r="H986" s="63"/>
      <c r="J986" s="63"/>
      <c r="K986" s="63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2.75" customHeight="1">
      <c r="A987" s="47"/>
      <c r="B987" s="63"/>
      <c r="C987" s="64"/>
      <c r="D987" s="63"/>
      <c r="E987" s="63"/>
      <c r="F987" s="63"/>
      <c r="G987" s="63"/>
      <c r="H987" s="63"/>
      <c r="J987" s="63"/>
      <c r="K987" s="63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2.75" customHeight="1">
      <c r="A988" s="47"/>
      <c r="B988" s="63"/>
      <c r="C988" s="64"/>
      <c r="D988" s="63"/>
      <c r="E988" s="63"/>
      <c r="F988" s="63"/>
      <c r="G988" s="63"/>
      <c r="H988" s="63"/>
      <c r="J988" s="63"/>
      <c r="K988" s="63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2.75" customHeight="1">
      <c r="A989" s="47"/>
      <c r="B989" s="63"/>
      <c r="C989" s="64"/>
      <c r="D989" s="63"/>
      <c r="E989" s="63"/>
      <c r="F989" s="63"/>
      <c r="G989" s="63"/>
      <c r="H989" s="63"/>
      <c r="J989" s="63"/>
      <c r="K989" s="63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2.75" customHeight="1">
      <c r="A990" s="47"/>
      <c r="B990" s="63"/>
      <c r="C990" s="64"/>
      <c r="D990" s="63"/>
      <c r="E990" s="63"/>
      <c r="F990" s="63"/>
      <c r="G990" s="63"/>
      <c r="H990" s="63"/>
      <c r="J990" s="63"/>
      <c r="K990" s="63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2.75" customHeight="1">
      <c r="A991" s="47"/>
      <c r="B991" s="63"/>
      <c r="C991" s="64"/>
      <c r="D991" s="63"/>
      <c r="E991" s="63"/>
      <c r="F991" s="63"/>
      <c r="G991" s="63"/>
      <c r="H991" s="63"/>
      <c r="J991" s="63"/>
      <c r="K991" s="63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2.75" customHeight="1">
      <c r="A992" s="47"/>
      <c r="B992" s="63"/>
      <c r="C992" s="64"/>
      <c r="D992" s="63"/>
      <c r="E992" s="63"/>
      <c r="F992" s="63"/>
      <c r="G992" s="63"/>
      <c r="H992" s="63"/>
      <c r="J992" s="63"/>
      <c r="K992" s="63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2.75" customHeight="1">
      <c r="A993" s="47"/>
      <c r="B993" s="63"/>
      <c r="C993" s="64"/>
      <c r="D993" s="63"/>
      <c r="E993" s="63"/>
      <c r="F993" s="63"/>
      <c r="G993" s="63"/>
      <c r="H993" s="63"/>
      <c r="J993" s="63"/>
      <c r="K993" s="63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2.75" customHeight="1">
      <c r="A994" s="47"/>
      <c r="B994" s="63"/>
      <c r="C994" s="64"/>
      <c r="D994" s="63"/>
      <c r="E994" s="63"/>
      <c r="F994" s="63"/>
      <c r="G994" s="63"/>
      <c r="H994" s="63"/>
      <c r="J994" s="63"/>
      <c r="K994" s="63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2.75" customHeight="1">
      <c r="A995" s="47"/>
      <c r="B995" s="63"/>
      <c r="C995" s="64"/>
      <c r="D995" s="63"/>
      <c r="E995" s="63"/>
      <c r="F995" s="63"/>
      <c r="G995" s="63"/>
      <c r="H995" s="63"/>
      <c r="J995" s="63"/>
      <c r="K995" s="63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2.75" customHeight="1">
      <c r="A996" s="47"/>
      <c r="B996" s="63"/>
      <c r="C996" s="64"/>
      <c r="D996" s="63"/>
      <c r="E996" s="63"/>
      <c r="F996" s="63"/>
      <c r="G996" s="63"/>
      <c r="H996" s="63"/>
      <c r="J996" s="63"/>
      <c r="K996" s="63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2.75" customHeight="1">
      <c r="A997" s="47"/>
      <c r="B997" s="63"/>
      <c r="C997" s="64"/>
      <c r="D997" s="63"/>
      <c r="E997" s="63"/>
      <c r="F997" s="63"/>
      <c r="G997" s="63"/>
      <c r="H997" s="63"/>
      <c r="J997" s="63"/>
      <c r="K997" s="63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2.75" customHeight="1">
      <c r="A998" s="47"/>
      <c r="B998" s="63"/>
      <c r="C998" s="64"/>
      <c r="D998" s="63"/>
      <c r="E998" s="63"/>
      <c r="F998" s="63"/>
      <c r="G998" s="63"/>
      <c r="H998" s="63"/>
      <c r="J998" s="63"/>
      <c r="K998" s="63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2.75" customHeight="1">
      <c r="A999" s="47"/>
      <c r="B999" s="63"/>
      <c r="C999" s="64"/>
      <c r="D999" s="63"/>
      <c r="E999" s="63"/>
      <c r="F999" s="63"/>
      <c r="G999" s="63"/>
      <c r="H999" s="63"/>
      <c r="J999" s="63"/>
      <c r="K999" s="63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2.75" customHeight="1">
      <c r="A1000" s="47"/>
      <c r="B1000" s="63"/>
      <c r="C1000" s="64"/>
      <c r="D1000" s="63"/>
      <c r="E1000" s="63"/>
      <c r="F1000" s="63"/>
      <c r="G1000" s="63"/>
      <c r="H1000" s="63"/>
      <c r="J1000" s="63"/>
      <c r="K1000" s="63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printOptions/>
  <pageMargins bottom="1.0" footer="0.0" header="0.0" left="0.75" right="0.75" top="1.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6.38"/>
    <col customWidth="1" min="3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6.13"/>
    <col customWidth="1" min="3" max="26" width="8.63"/>
  </cols>
  <sheetData>
    <row r="1" ht="12.75" customHeight="1">
      <c r="A1" s="42"/>
      <c r="B1" s="12" t="s">
        <v>143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3.88"/>
    <col customWidth="1" min="4" max="4" width="8.88"/>
    <col customWidth="1" min="5" max="5" width="25.38"/>
    <col customWidth="1" min="6" max="7" width="9.13"/>
    <col customWidth="1" min="8" max="17" width="8.88"/>
    <col customWidth="1" min="18" max="26" width="8.63"/>
  </cols>
  <sheetData>
    <row r="1" ht="15.0" customHeight="1">
      <c r="A1" s="34" t="s">
        <v>145</v>
      </c>
      <c r="B1" s="34" t="s">
        <v>146</v>
      </c>
      <c r="C1" s="20" t="s">
        <v>147</v>
      </c>
      <c r="D1" s="20" t="s">
        <v>139</v>
      </c>
      <c r="E1" s="20" t="s">
        <v>148</v>
      </c>
      <c r="F1" s="34" t="s">
        <v>149</v>
      </c>
      <c r="G1" s="34" t="s">
        <v>150</v>
      </c>
      <c r="H1" s="42"/>
      <c r="I1" s="42"/>
      <c r="J1" s="42"/>
      <c r="K1" s="20">
        <v>24.0</v>
      </c>
      <c r="L1" s="38" t="s">
        <v>151</v>
      </c>
      <c r="M1" s="26"/>
      <c r="N1" s="26"/>
      <c r="O1" s="26"/>
      <c r="P1" s="27"/>
      <c r="Q1" s="42" t="s">
        <v>41</v>
      </c>
      <c r="R1" s="42"/>
      <c r="S1" s="42"/>
      <c r="T1" s="42"/>
      <c r="U1" s="42"/>
      <c r="V1" s="42"/>
      <c r="W1" s="42"/>
      <c r="X1" s="42"/>
      <c r="Y1" s="42"/>
      <c r="Z1" s="42"/>
    </row>
    <row r="2" ht="12.75" customHeight="1">
      <c r="A2" s="28" t="s">
        <v>152</v>
      </c>
      <c r="B2" s="28" t="s">
        <v>153</v>
      </c>
      <c r="C2" s="42" t="s">
        <v>154</v>
      </c>
      <c r="D2" s="42" t="s">
        <v>155</v>
      </c>
      <c r="E2" s="42" t="s">
        <v>156</v>
      </c>
      <c r="F2" s="28" t="s">
        <v>157</v>
      </c>
      <c r="G2" s="28">
        <v>17.5</v>
      </c>
      <c r="H2" s="66"/>
      <c r="I2" s="42"/>
      <c r="J2" s="42"/>
      <c r="K2" s="20"/>
      <c r="L2" s="29"/>
      <c r="P2" s="30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2.75" customHeight="1">
      <c r="A3" s="28" t="s">
        <v>158</v>
      </c>
      <c r="B3" s="28" t="s">
        <v>159</v>
      </c>
      <c r="C3" s="42" t="s">
        <v>160</v>
      </c>
      <c r="D3" s="42" t="s">
        <v>161</v>
      </c>
      <c r="E3" s="42" t="s">
        <v>162</v>
      </c>
      <c r="F3" s="28" t="s">
        <v>163</v>
      </c>
      <c r="G3" s="28">
        <v>27.7</v>
      </c>
      <c r="H3" s="66"/>
      <c r="I3" s="42"/>
      <c r="J3" s="42"/>
      <c r="K3" s="20"/>
      <c r="L3" s="31"/>
      <c r="M3" s="32"/>
      <c r="N3" s="32"/>
      <c r="O3" s="32"/>
      <c r="P3" s="33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2.75" customHeight="1">
      <c r="A4" s="28" t="s">
        <v>164</v>
      </c>
      <c r="B4" s="28" t="s">
        <v>165</v>
      </c>
      <c r="C4" s="42" t="s">
        <v>166</v>
      </c>
      <c r="D4" s="42" t="s">
        <v>167</v>
      </c>
      <c r="E4" s="42" t="s">
        <v>168</v>
      </c>
      <c r="F4" s="28" t="s">
        <v>169</v>
      </c>
      <c r="G4" s="28">
        <v>33.3</v>
      </c>
      <c r="H4" s="66"/>
      <c r="I4" s="42"/>
      <c r="J4" s="42"/>
      <c r="K4" s="20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2.75" customHeight="1">
      <c r="A5" s="28" t="s">
        <v>170</v>
      </c>
      <c r="B5" s="28" t="s">
        <v>165</v>
      </c>
      <c r="C5" s="42" t="s">
        <v>166</v>
      </c>
      <c r="D5" s="42" t="s">
        <v>171</v>
      </c>
      <c r="E5" s="42" t="s">
        <v>172</v>
      </c>
      <c r="F5" s="28" t="s">
        <v>173</v>
      </c>
      <c r="G5" s="28">
        <v>25.4</v>
      </c>
      <c r="H5" s="66"/>
      <c r="I5" s="42"/>
      <c r="J5" s="42"/>
      <c r="K5" s="20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5.0" customHeight="1">
      <c r="A6" s="28" t="s">
        <v>174</v>
      </c>
      <c r="B6" s="28" t="s">
        <v>165</v>
      </c>
      <c r="C6" s="42" t="s">
        <v>175</v>
      </c>
      <c r="D6" s="42" t="s">
        <v>176</v>
      </c>
      <c r="E6" s="42" t="s">
        <v>162</v>
      </c>
      <c r="F6" s="28" t="s">
        <v>177</v>
      </c>
      <c r="G6" s="28">
        <v>25.9</v>
      </c>
      <c r="H6" s="66"/>
      <c r="I6" s="42"/>
      <c r="J6" s="42"/>
      <c r="K6" s="20">
        <v>25.0</v>
      </c>
      <c r="L6" s="38" t="s">
        <v>178</v>
      </c>
      <c r="M6" s="26"/>
      <c r="N6" s="26"/>
      <c r="O6" s="26"/>
      <c r="P6" s="27"/>
      <c r="Q6" s="42" t="s">
        <v>51</v>
      </c>
      <c r="R6" s="42"/>
      <c r="S6" s="42"/>
      <c r="T6" s="42"/>
      <c r="U6" s="42"/>
      <c r="V6" s="42"/>
      <c r="W6" s="42"/>
      <c r="X6" s="42"/>
      <c r="Y6" s="42"/>
      <c r="Z6" s="42"/>
    </row>
    <row r="7" ht="12.75" customHeight="1">
      <c r="A7" s="28" t="s">
        <v>179</v>
      </c>
      <c r="B7" s="28" t="s">
        <v>165</v>
      </c>
      <c r="C7" s="42" t="s">
        <v>180</v>
      </c>
      <c r="D7" s="42" t="s">
        <v>181</v>
      </c>
      <c r="E7" s="42" t="s">
        <v>162</v>
      </c>
      <c r="F7" s="28" t="s">
        <v>182</v>
      </c>
      <c r="G7" s="28">
        <v>22.6</v>
      </c>
      <c r="H7" s="66"/>
      <c r="I7" s="42"/>
      <c r="J7" s="42"/>
      <c r="K7" s="20"/>
      <c r="L7" s="29"/>
      <c r="P7" s="30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2.75" customHeight="1">
      <c r="A8" s="28" t="s">
        <v>183</v>
      </c>
      <c r="B8" s="28" t="s">
        <v>165</v>
      </c>
      <c r="C8" s="42" t="s">
        <v>184</v>
      </c>
      <c r="D8" s="42" t="s">
        <v>185</v>
      </c>
      <c r="E8" s="42" t="s">
        <v>186</v>
      </c>
      <c r="F8" s="28" t="s">
        <v>187</v>
      </c>
      <c r="G8" s="28">
        <v>33.8</v>
      </c>
      <c r="H8" s="66"/>
      <c r="I8" s="42"/>
      <c r="J8" s="42"/>
      <c r="K8" s="42"/>
      <c r="L8" s="29"/>
      <c r="P8" s="30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2.75" customHeight="1">
      <c r="A9" s="28" t="s">
        <v>188</v>
      </c>
      <c r="B9" s="28" t="s">
        <v>165</v>
      </c>
      <c r="C9" s="42" t="s">
        <v>189</v>
      </c>
      <c r="D9" s="42" t="s">
        <v>190</v>
      </c>
      <c r="E9" s="42" t="s">
        <v>191</v>
      </c>
      <c r="F9" s="28" t="s">
        <v>192</v>
      </c>
      <c r="G9" s="28">
        <v>27.7</v>
      </c>
      <c r="H9" s="66"/>
      <c r="I9" s="42"/>
      <c r="J9" s="42"/>
      <c r="K9" s="42"/>
      <c r="L9" s="31"/>
      <c r="M9" s="32"/>
      <c r="N9" s="32"/>
      <c r="O9" s="32"/>
      <c r="P9" s="33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2.75" customHeight="1">
      <c r="A10" s="28" t="s">
        <v>193</v>
      </c>
      <c r="B10" s="28" t="s">
        <v>165</v>
      </c>
      <c r="C10" s="42" t="s">
        <v>189</v>
      </c>
      <c r="D10" s="42" t="s">
        <v>194</v>
      </c>
      <c r="E10" s="42" t="s">
        <v>162</v>
      </c>
      <c r="F10" s="28" t="s">
        <v>195</v>
      </c>
      <c r="G10" s="28">
        <v>25.2</v>
      </c>
      <c r="H10" s="66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2.75" customHeight="1">
      <c r="A11" s="28" t="s">
        <v>196</v>
      </c>
      <c r="B11" s="28" t="s">
        <v>159</v>
      </c>
      <c r="C11" s="42" t="s">
        <v>197</v>
      </c>
      <c r="D11" s="42" t="s">
        <v>198</v>
      </c>
      <c r="E11" s="42" t="s">
        <v>199</v>
      </c>
      <c r="F11" s="28" t="s">
        <v>200</v>
      </c>
      <c r="G11" s="28">
        <v>25.8</v>
      </c>
      <c r="H11" s="66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2.75" customHeight="1">
      <c r="A12" s="28" t="s">
        <v>201</v>
      </c>
      <c r="B12" s="28" t="s">
        <v>165</v>
      </c>
      <c r="C12" s="42" t="s">
        <v>202</v>
      </c>
      <c r="D12" s="42" t="s">
        <v>203</v>
      </c>
      <c r="E12" s="42" t="s">
        <v>168</v>
      </c>
      <c r="F12" s="28" t="s">
        <v>204</v>
      </c>
      <c r="G12" s="28">
        <v>32.9</v>
      </c>
      <c r="H12" s="66"/>
      <c r="I12" s="42"/>
      <c r="J12" s="42"/>
      <c r="K12" s="20">
        <v>26.0</v>
      </c>
      <c r="L12" s="38" t="s">
        <v>205</v>
      </c>
      <c r="M12" s="26"/>
      <c r="N12" s="26"/>
      <c r="O12" s="26"/>
      <c r="P12" s="27"/>
      <c r="Q12" s="42" t="s">
        <v>51</v>
      </c>
      <c r="R12" s="42"/>
      <c r="S12" s="42"/>
      <c r="T12" s="42"/>
      <c r="U12" s="42"/>
      <c r="V12" s="42"/>
      <c r="W12" s="42"/>
      <c r="X12" s="42"/>
      <c r="Y12" s="42"/>
      <c r="Z12" s="42"/>
    </row>
    <row r="13" ht="12.75" customHeight="1">
      <c r="A13" s="28" t="s">
        <v>206</v>
      </c>
      <c r="B13" s="28" t="s">
        <v>165</v>
      </c>
      <c r="C13" s="42" t="s">
        <v>207</v>
      </c>
      <c r="D13" s="42" t="s">
        <v>208</v>
      </c>
      <c r="E13" s="42" t="s">
        <v>162</v>
      </c>
      <c r="F13" s="28" t="s">
        <v>209</v>
      </c>
      <c r="G13" s="28">
        <v>20.9</v>
      </c>
      <c r="H13" s="66"/>
      <c r="I13" s="42"/>
      <c r="J13" s="42"/>
      <c r="K13" s="20"/>
      <c r="L13" s="29"/>
      <c r="P13" s="30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2.75" customHeight="1">
      <c r="A14" s="28" t="s">
        <v>206</v>
      </c>
      <c r="B14" s="28" t="s">
        <v>210</v>
      </c>
      <c r="C14" s="42" t="s">
        <v>207</v>
      </c>
      <c r="D14" s="42" t="s">
        <v>211</v>
      </c>
      <c r="E14" s="42" t="s">
        <v>212</v>
      </c>
      <c r="F14" s="28" t="s">
        <v>213</v>
      </c>
      <c r="G14" s="28">
        <v>21.0</v>
      </c>
      <c r="H14" s="66"/>
      <c r="I14" s="42"/>
      <c r="J14" s="42"/>
      <c r="K14" s="42"/>
      <c r="L14" s="29"/>
      <c r="P14" s="30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2.75" customHeight="1">
      <c r="A15" s="28" t="s">
        <v>214</v>
      </c>
      <c r="B15" s="28" t="s">
        <v>215</v>
      </c>
      <c r="C15" s="42" t="s">
        <v>207</v>
      </c>
      <c r="D15" s="42" t="s">
        <v>216</v>
      </c>
      <c r="E15" s="42" t="s">
        <v>212</v>
      </c>
      <c r="F15" s="28" t="s">
        <v>217</v>
      </c>
      <c r="G15" s="28">
        <v>28.1</v>
      </c>
      <c r="H15" s="66"/>
      <c r="I15" s="42"/>
      <c r="J15" s="42"/>
      <c r="K15" s="42"/>
      <c r="L15" s="31"/>
      <c r="M15" s="32"/>
      <c r="N15" s="32"/>
      <c r="O15" s="32"/>
      <c r="P15" s="33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2.75" customHeight="1">
      <c r="A16" s="28" t="s">
        <v>218</v>
      </c>
      <c r="B16" s="28" t="s">
        <v>219</v>
      </c>
      <c r="C16" s="42" t="s">
        <v>207</v>
      </c>
      <c r="D16" s="42" t="s">
        <v>220</v>
      </c>
      <c r="E16" s="42" t="s">
        <v>212</v>
      </c>
      <c r="F16" s="28" t="s">
        <v>221</v>
      </c>
      <c r="G16" s="28">
        <v>19.4</v>
      </c>
      <c r="H16" s="66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2.75" customHeight="1">
      <c r="A17" s="28" t="s">
        <v>222</v>
      </c>
      <c r="B17" s="28" t="s">
        <v>165</v>
      </c>
      <c r="C17" s="42" t="s">
        <v>223</v>
      </c>
      <c r="D17" s="42" t="s">
        <v>224</v>
      </c>
      <c r="E17" s="42" t="s">
        <v>162</v>
      </c>
      <c r="F17" s="28" t="s">
        <v>225</v>
      </c>
      <c r="G17" s="28">
        <v>27.3</v>
      </c>
      <c r="H17" s="66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2.75" customHeight="1">
      <c r="A18" s="28" t="s">
        <v>226</v>
      </c>
      <c r="B18" s="28" t="s">
        <v>210</v>
      </c>
      <c r="C18" s="42" t="s">
        <v>227</v>
      </c>
      <c r="D18" s="42" t="s">
        <v>228</v>
      </c>
      <c r="E18" s="42" t="s">
        <v>229</v>
      </c>
      <c r="F18" s="28" t="s">
        <v>230</v>
      </c>
      <c r="G18" s="28">
        <v>17.5</v>
      </c>
      <c r="H18" s="66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2.75" customHeight="1">
      <c r="A19" s="28" t="s">
        <v>231</v>
      </c>
      <c r="B19" s="28" t="s">
        <v>165</v>
      </c>
      <c r="C19" s="42" t="s">
        <v>232</v>
      </c>
      <c r="D19" s="42" t="s">
        <v>233</v>
      </c>
      <c r="E19" s="42" t="s">
        <v>156</v>
      </c>
      <c r="F19" s="28" t="s">
        <v>234</v>
      </c>
      <c r="G19" s="28">
        <v>20.7</v>
      </c>
      <c r="H19" s="66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2.75" customHeight="1">
      <c r="A20" s="28" t="s">
        <v>231</v>
      </c>
      <c r="B20" s="28" t="s">
        <v>165</v>
      </c>
      <c r="C20" s="42" t="s">
        <v>232</v>
      </c>
      <c r="D20" s="42" t="s">
        <v>235</v>
      </c>
      <c r="E20" s="42" t="s">
        <v>156</v>
      </c>
      <c r="F20" s="28" t="s">
        <v>236</v>
      </c>
      <c r="G20" s="28">
        <v>21.1</v>
      </c>
      <c r="H20" s="66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2.75" customHeight="1">
      <c r="A21" s="28" t="s">
        <v>183</v>
      </c>
      <c r="B21" s="28" t="s">
        <v>159</v>
      </c>
      <c r="C21" s="42" t="s">
        <v>232</v>
      </c>
      <c r="D21" s="42" t="s">
        <v>167</v>
      </c>
      <c r="E21" s="42" t="s">
        <v>162</v>
      </c>
      <c r="F21" s="28" t="s">
        <v>237</v>
      </c>
      <c r="G21" s="28">
        <v>28.5</v>
      </c>
      <c r="H21" s="66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2.75" customHeight="1">
      <c r="A22" s="28" t="s">
        <v>238</v>
      </c>
      <c r="B22" s="28" t="s">
        <v>165</v>
      </c>
      <c r="C22" s="42" t="s">
        <v>239</v>
      </c>
      <c r="D22" s="42" t="s">
        <v>240</v>
      </c>
      <c r="E22" s="42" t="s">
        <v>156</v>
      </c>
      <c r="F22" s="28" t="s">
        <v>241</v>
      </c>
      <c r="G22" s="28">
        <v>16.9</v>
      </c>
      <c r="H22" s="66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2.75" customHeight="1">
      <c r="A23" s="28" t="s">
        <v>242</v>
      </c>
      <c r="B23" s="28" t="s">
        <v>165</v>
      </c>
      <c r="C23" s="42" t="s">
        <v>239</v>
      </c>
      <c r="D23" s="42" t="s">
        <v>243</v>
      </c>
      <c r="E23" s="42" t="s">
        <v>156</v>
      </c>
      <c r="F23" s="28" t="s">
        <v>244</v>
      </c>
      <c r="G23" s="28">
        <v>16.9</v>
      </c>
      <c r="H23" s="66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2.75" customHeight="1">
      <c r="A24" s="28" t="s">
        <v>245</v>
      </c>
      <c r="B24" s="28" t="s">
        <v>210</v>
      </c>
      <c r="C24" s="42" t="s">
        <v>246</v>
      </c>
      <c r="D24" s="42" t="s">
        <v>247</v>
      </c>
      <c r="E24" s="42" t="s">
        <v>162</v>
      </c>
      <c r="F24" s="28" t="s">
        <v>248</v>
      </c>
      <c r="G24" s="28">
        <v>29.8</v>
      </c>
      <c r="H24" s="66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2.75" customHeight="1">
      <c r="A25" s="28" t="s">
        <v>249</v>
      </c>
      <c r="B25" s="28" t="s">
        <v>165</v>
      </c>
      <c r="C25" s="42" t="s">
        <v>250</v>
      </c>
      <c r="D25" s="42" t="s">
        <v>251</v>
      </c>
      <c r="E25" s="42" t="s">
        <v>162</v>
      </c>
      <c r="F25" s="28" t="s">
        <v>252</v>
      </c>
      <c r="G25" s="28">
        <v>30.5</v>
      </c>
      <c r="H25" s="66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2.75" customHeight="1">
      <c r="A26" s="28" t="s">
        <v>253</v>
      </c>
      <c r="B26" s="28" t="s">
        <v>165</v>
      </c>
      <c r="C26" s="42" t="s">
        <v>254</v>
      </c>
      <c r="D26" s="42" t="s">
        <v>203</v>
      </c>
      <c r="E26" s="42" t="s">
        <v>255</v>
      </c>
      <c r="F26" s="28" t="s">
        <v>256</v>
      </c>
      <c r="G26" s="28">
        <v>36.4</v>
      </c>
      <c r="H26" s="66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2.75" customHeight="1">
      <c r="A27" s="28" t="s">
        <v>257</v>
      </c>
      <c r="B27" s="28" t="s">
        <v>165</v>
      </c>
      <c r="C27" s="42" t="s">
        <v>258</v>
      </c>
      <c r="D27" s="42" t="s">
        <v>259</v>
      </c>
      <c r="E27" s="42" t="s">
        <v>156</v>
      </c>
      <c r="F27" s="28" t="s">
        <v>260</v>
      </c>
      <c r="G27" s="28">
        <v>29.0</v>
      </c>
      <c r="H27" s="66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2.75" customHeight="1">
      <c r="A28" s="28" t="s">
        <v>261</v>
      </c>
      <c r="B28" s="28" t="s">
        <v>262</v>
      </c>
      <c r="C28" s="42" t="s">
        <v>263</v>
      </c>
      <c r="D28" s="42" t="s">
        <v>185</v>
      </c>
      <c r="E28" s="42" t="s">
        <v>162</v>
      </c>
      <c r="F28" s="28" t="s">
        <v>264</v>
      </c>
      <c r="G28" s="28">
        <v>19.2</v>
      </c>
      <c r="H28" s="66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2.75" customHeight="1">
      <c r="A29" s="28" t="s">
        <v>265</v>
      </c>
      <c r="B29" s="28" t="s">
        <v>262</v>
      </c>
      <c r="C29" s="42" t="s">
        <v>266</v>
      </c>
      <c r="D29" s="42" t="s">
        <v>251</v>
      </c>
      <c r="E29" s="42" t="s">
        <v>162</v>
      </c>
      <c r="F29" s="28" t="s">
        <v>267</v>
      </c>
      <c r="G29" s="28">
        <v>23.9</v>
      </c>
      <c r="H29" s="66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2.75" customHeight="1">
      <c r="A30" s="28" t="s">
        <v>268</v>
      </c>
      <c r="B30" s="28" t="s">
        <v>165</v>
      </c>
      <c r="C30" s="42" t="s">
        <v>269</v>
      </c>
      <c r="D30" s="42" t="s">
        <v>270</v>
      </c>
      <c r="E30" s="42" t="s">
        <v>162</v>
      </c>
      <c r="F30" s="28" t="s">
        <v>271</v>
      </c>
      <c r="G30" s="28">
        <v>23.6</v>
      </c>
      <c r="H30" s="66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2.75" customHeight="1">
      <c r="A31" s="28" t="s">
        <v>272</v>
      </c>
      <c r="B31" s="28" t="s">
        <v>165</v>
      </c>
      <c r="C31" s="42" t="s">
        <v>269</v>
      </c>
      <c r="D31" s="42" t="s">
        <v>273</v>
      </c>
      <c r="E31" s="42" t="s">
        <v>162</v>
      </c>
      <c r="F31" s="28" t="s">
        <v>274</v>
      </c>
      <c r="G31" s="28">
        <v>27.0</v>
      </c>
      <c r="H31" s="66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2.75" customHeight="1">
      <c r="A32" s="28" t="s">
        <v>242</v>
      </c>
      <c r="B32" s="28" t="s">
        <v>165</v>
      </c>
      <c r="C32" s="42" t="s">
        <v>275</v>
      </c>
      <c r="D32" s="42" t="s">
        <v>276</v>
      </c>
      <c r="E32" s="42" t="s">
        <v>277</v>
      </c>
      <c r="F32" s="28" t="s">
        <v>278</v>
      </c>
      <c r="G32" s="28">
        <v>20.0</v>
      </c>
      <c r="H32" s="66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2.75" customHeight="1">
      <c r="A33" s="28" t="s">
        <v>279</v>
      </c>
      <c r="B33" s="28" t="s">
        <v>280</v>
      </c>
      <c r="C33" s="42" t="s">
        <v>281</v>
      </c>
      <c r="D33" s="42" t="s">
        <v>282</v>
      </c>
      <c r="E33" s="42" t="s">
        <v>162</v>
      </c>
      <c r="F33" s="28" t="s">
        <v>283</v>
      </c>
      <c r="G33" s="28">
        <v>43.3</v>
      </c>
      <c r="H33" s="66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2.75" customHeight="1">
      <c r="A34" s="28" t="s">
        <v>284</v>
      </c>
      <c r="B34" s="28" t="s">
        <v>219</v>
      </c>
      <c r="C34" s="42" t="s">
        <v>285</v>
      </c>
      <c r="D34" s="42" t="s">
        <v>286</v>
      </c>
      <c r="E34" s="42" t="s">
        <v>162</v>
      </c>
      <c r="F34" s="28" t="s">
        <v>287</v>
      </c>
      <c r="G34" s="28">
        <v>30.6</v>
      </c>
      <c r="H34" s="66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2.75" customHeight="1">
      <c r="A35" s="28" t="s">
        <v>288</v>
      </c>
      <c r="B35" s="28" t="s">
        <v>165</v>
      </c>
      <c r="C35" s="42" t="s">
        <v>289</v>
      </c>
      <c r="D35" s="42" t="s">
        <v>290</v>
      </c>
      <c r="E35" s="42" t="s">
        <v>156</v>
      </c>
      <c r="F35" s="28" t="s">
        <v>291</v>
      </c>
      <c r="G35" s="28">
        <v>21.9</v>
      </c>
      <c r="H35" s="66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2.75" customHeight="1">
      <c r="A36" s="28" t="s">
        <v>292</v>
      </c>
      <c r="B36" s="28" t="s">
        <v>165</v>
      </c>
      <c r="C36" s="42" t="s">
        <v>293</v>
      </c>
      <c r="D36" s="42" t="s">
        <v>294</v>
      </c>
      <c r="E36" s="42" t="s">
        <v>295</v>
      </c>
      <c r="F36" s="28" t="s">
        <v>296</v>
      </c>
      <c r="G36" s="28">
        <v>31.5</v>
      </c>
      <c r="H36" s="66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2.75" customHeight="1">
      <c r="A37" s="28" t="s">
        <v>158</v>
      </c>
      <c r="B37" s="28" t="s">
        <v>219</v>
      </c>
      <c r="C37" s="42" t="s">
        <v>297</v>
      </c>
      <c r="D37" s="42" t="s">
        <v>298</v>
      </c>
      <c r="E37" s="42" t="s">
        <v>162</v>
      </c>
      <c r="F37" s="28" t="s">
        <v>299</v>
      </c>
      <c r="G37" s="28">
        <v>30.6</v>
      </c>
      <c r="H37" s="66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2.75" customHeight="1">
      <c r="A38" s="28" t="s">
        <v>300</v>
      </c>
      <c r="B38" s="28" t="s">
        <v>165</v>
      </c>
      <c r="C38" s="42" t="s">
        <v>297</v>
      </c>
      <c r="D38" s="42" t="s">
        <v>301</v>
      </c>
      <c r="E38" s="42" t="s">
        <v>302</v>
      </c>
      <c r="F38" s="28" t="s">
        <v>303</v>
      </c>
      <c r="G38" s="28">
        <v>18.7</v>
      </c>
      <c r="H38" s="66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2.75" customHeight="1">
      <c r="A39" s="28" t="s">
        <v>304</v>
      </c>
      <c r="B39" s="28" t="s">
        <v>165</v>
      </c>
      <c r="C39" s="42" t="s">
        <v>305</v>
      </c>
      <c r="D39" s="42" t="s">
        <v>306</v>
      </c>
      <c r="E39" s="42" t="s">
        <v>307</v>
      </c>
      <c r="F39" s="28" t="s">
        <v>308</v>
      </c>
      <c r="G39" s="28">
        <v>31.6</v>
      </c>
      <c r="H39" s="66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2.75" customHeight="1">
      <c r="A40" s="28" t="s">
        <v>309</v>
      </c>
      <c r="B40" s="28" t="s">
        <v>210</v>
      </c>
      <c r="C40" s="42" t="s">
        <v>310</v>
      </c>
      <c r="D40" s="42" t="s">
        <v>311</v>
      </c>
      <c r="E40" s="42" t="s">
        <v>162</v>
      </c>
      <c r="F40" s="28" t="s">
        <v>312</v>
      </c>
      <c r="G40" s="28">
        <v>23.1</v>
      </c>
      <c r="H40" s="66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2.75" customHeight="1">
      <c r="A41" s="28" t="s">
        <v>313</v>
      </c>
      <c r="B41" s="28" t="s">
        <v>314</v>
      </c>
      <c r="C41" s="42" t="s">
        <v>315</v>
      </c>
      <c r="D41" s="42" t="s">
        <v>270</v>
      </c>
      <c r="E41" s="42" t="s">
        <v>316</v>
      </c>
      <c r="F41" s="28" t="s">
        <v>317</v>
      </c>
      <c r="G41" s="28">
        <v>43.4</v>
      </c>
      <c r="H41" s="66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2.75" customHeight="1">
      <c r="A42" s="28" t="s">
        <v>318</v>
      </c>
      <c r="B42" s="28" t="s">
        <v>319</v>
      </c>
      <c r="C42" s="42" t="s">
        <v>320</v>
      </c>
      <c r="D42" s="42" t="s">
        <v>321</v>
      </c>
      <c r="E42" s="42" t="s">
        <v>322</v>
      </c>
      <c r="F42" s="28" t="s">
        <v>323</v>
      </c>
      <c r="G42" s="28">
        <v>43.9</v>
      </c>
      <c r="H42" s="66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2.75" customHeight="1">
      <c r="A43" s="28" t="s">
        <v>324</v>
      </c>
      <c r="B43" s="28" t="s">
        <v>210</v>
      </c>
      <c r="C43" s="42" t="s">
        <v>325</v>
      </c>
      <c r="D43" s="42" t="s">
        <v>326</v>
      </c>
      <c r="E43" s="42" t="s">
        <v>277</v>
      </c>
      <c r="F43" s="28" t="s">
        <v>327</v>
      </c>
      <c r="G43" s="28">
        <v>17.9</v>
      </c>
      <c r="H43" s="66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2.75" customHeight="1">
      <c r="A44" s="28" t="s">
        <v>324</v>
      </c>
      <c r="B44" s="28" t="s">
        <v>165</v>
      </c>
      <c r="C44" s="42" t="s">
        <v>328</v>
      </c>
      <c r="D44" s="42" t="s">
        <v>224</v>
      </c>
      <c r="E44" s="42" t="s">
        <v>277</v>
      </c>
      <c r="F44" s="28" t="s">
        <v>329</v>
      </c>
      <c r="G44" s="28">
        <v>16.5</v>
      </c>
      <c r="H44" s="66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2.75" customHeight="1">
      <c r="A45" s="28" t="s">
        <v>330</v>
      </c>
      <c r="B45" s="28" t="s">
        <v>165</v>
      </c>
      <c r="C45" s="42" t="s">
        <v>331</v>
      </c>
      <c r="D45" s="42" t="s">
        <v>306</v>
      </c>
      <c r="E45" s="42" t="s">
        <v>255</v>
      </c>
      <c r="F45" s="28" t="s">
        <v>332</v>
      </c>
      <c r="G45" s="28">
        <v>29.1</v>
      </c>
      <c r="H45" s="66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2.75" customHeight="1">
      <c r="A46" s="28" t="s">
        <v>333</v>
      </c>
      <c r="B46" s="28" t="s">
        <v>159</v>
      </c>
      <c r="C46" s="42" t="s">
        <v>334</v>
      </c>
      <c r="D46" s="42" t="s">
        <v>335</v>
      </c>
      <c r="E46" s="42" t="s">
        <v>336</v>
      </c>
      <c r="F46" s="28" t="s">
        <v>337</v>
      </c>
      <c r="G46" s="28">
        <v>29.3</v>
      </c>
      <c r="H46" s="66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2.75" customHeight="1">
      <c r="A47" s="28" t="s">
        <v>338</v>
      </c>
      <c r="B47" s="28" t="s">
        <v>165</v>
      </c>
      <c r="C47" s="42" t="s">
        <v>339</v>
      </c>
      <c r="D47" s="42" t="s">
        <v>240</v>
      </c>
      <c r="E47" s="42" t="s">
        <v>340</v>
      </c>
      <c r="F47" s="28" t="s">
        <v>341</v>
      </c>
      <c r="G47" s="28">
        <v>31.1</v>
      </c>
      <c r="H47" s="66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2.75" customHeight="1">
      <c r="A48" s="28" t="s">
        <v>342</v>
      </c>
      <c r="B48" s="28" t="s">
        <v>165</v>
      </c>
      <c r="C48" s="42" t="s">
        <v>339</v>
      </c>
      <c r="D48" s="42" t="s">
        <v>208</v>
      </c>
      <c r="E48" s="42" t="s">
        <v>343</v>
      </c>
      <c r="F48" s="28" t="s">
        <v>344</v>
      </c>
      <c r="G48" s="28">
        <v>33.3</v>
      </c>
      <c r="H48" s="66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2.75" customHeight="1">
      <c r="A49" s="28" t="s">
        <v>345</v>
      </c>
      <c r="B49" s="28" t="s">
        <v>165</v>
      </c>
      <c r="C49" s="42" t="s">
        <v>339</v>
      </c>
      <c r="D49" s="42" t="s">
        <v>216</v>
      </c>
      <c r="E49" s="42" t="s">
        <v>343</v>
      </c>
      <c r="F49" s="28" t="s">
        <v>346</v>
      </c>
      <c r="G49" s="28">
        <v>30.5</v>
      </c>
      <c r="H49" s="66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2.75" customHeight="1">
      <c r="A50" s="28" t="s">
        <v>347</v>
      </c>
      <c r="B50" s="28" t="s">
        <v>210</v>
      </c>
      <c r="C50" s="42" t="s">
        <v>348</v>
      </c>
      <c r="D50" s="42" t="s">
        <v>349</v>
      </c>
      <c r="E50" s="42" t="s">
        <v>350</v>
      </c>
      <c r="F50" s="28" t="s">
        <v>351</v>
      </c>
      <c r="G50" s="28">
        <v>24.2</v>
      </c>
      <c r="H50" s="66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2.75" customHeight="1">
      <c r="A51" s="28" t="s">
        <v>352</v>
      </c>
      <c r="B51" s="28" t="s">
        <v>165</v>
      </c>
      <c r="C51" s="42" t="s">
        <v>353</v>
      </c>
      <c r="D51" s="42" t="s">
        <v>354</v>
      </c>
      <c r="E51" s="42" t="s">
        <v>350</v>
      </c>
      <c r="F51" s="28" t="s">
        <v>355</v>
      </c>
      <c r="G51" s="28">
        <v>29.1</v>
      </c>
      <c r="H51" s="66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2.75" customHeight="1">
      <c r="A52" s="28" t="s">
        <v>356</v>
      </c>
      <c r="B52" s="28" t="s">
        <v>165</v>
      </c>
      <c r="C52" s="42" t="s">
        <v>353</v>
      </c>
      <c r="D52" s="42" t="s">
        <v>357</v>
      </c>
      <c r="E52" s="42" t="s">
        <v>350</v>
      </c>
      <c r="F52" s="28" t="s">
        <v>358</v>
      </c>
      <c r="G52" s="28">
        <v>31.6</v>
      </c>
      <c r="H52" s="66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2.75" customHeight="1">
      <c r="A53" s="28" t="s">
        <v>359</v>
      </c>
      <c r="B53" s="28" t="s">
        <v>210</v>
      </c>
      <c r="C53" s="42" t="s">
        <v>360</v>
      </c>
      <c r="D53" s="42" t="s">
        <v>361</v>
      </c>
      <c r="E53" s="42" t="s">
        <v>362</v>
      </c>
      <c r="F53" s="28" t="s">
        <v>363</v>
      </c>
      <c r="G53" s="28">
        <v>22.6</v>
      </c>
      <c r="H53" s="66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2.75" customHeight="1">
      <c r="A54" s="28" t="s">
        <v>364</v>
      </c>
      <c r="B54" s="28" t="s">
        <v>165</v>
      </c>
      <c r="C54" s="42" t="s">
        <v>365</v>
      </c>
      <c r="D54" s="42" t="s">
        <v>354</v>
      </c>
      <c r="E54" s="42" t="s">
        <v>162</v>
      </c>
      <c r="F54" s="28" t="s">
        <v>366</v>
      </c>
      <c r="G54" s="28">
        <v>33.5</v>
      </c>
      <c r="H54" s="66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2.75" customHeight="1">
      <c r="A55" s="28" t="s">
        <v>261</v>
      </c>
      <c r="B55" s="28" t="s">
        <v>215</v>
      </c>
      <c r="C55" s="42" t="s">
        <v>367</v>
      </c>
      <c r="D55" s="42" t="s">
        <v>240</v>
      </c>
      <c r="E55" s="42" t="s">
        <v>162</v>
      </c>
      <c r="F55" s="28" t="s">
        <v>368</v>
      </c>
      <c r="G55" s="28">
        <v>32.6</v>
      </c>
      <c r="H55" s="66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2.75" customHeight="1">
      <c r="A56" s="28" t="s">
        <v>369</v>
      </c>
      <c r="B56" s="28" t="s">
        <v>165</v>
      </c>
      <c r="C56" s="42" t="s">
        <v>370</v>
      </c>
      <c r="D56" s="42" t="s">
        <v>240</v>
      </c>
      <c r="E56" s="42" t="s">
        <v>162</v>
      </c>
      <c r="F56" s="28" t="s">
        <v>371</v>
      </c>
      <c r="G56" s="28">
        <v>28.4</v>
      </c>
      <c r="H56" s="66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2.75" customHeight="1">
      <c r="A57" s="28" t="s">
        <v>372</v>
      </c>
      <c r="B57" s="28" t="s">
        <v>215</v>
      </c>
      <c r="C57" s="42" t="s">
        <v>373</v>
      </c>
      <c r="D57" s="42" t="s">
        <v>181</v>
      </c>
      <c r="E57" s="42" t="s">
        <v>374</v>
      </c>
      <c r="F57" s="28" t="s">
        <v>375</v>
      </c>
      <c r="G57" s="28">
        <v>26.7</v>
      </c>
      <c r="H57" s="66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2.75" customHeight="1">
      <c r="A58" s="28" t="s">
        <v>376</v>
      </c>
      <c r="B58" s="28" t="s">
        <v>165</v>
      </c>
      <c r="C58" s="42" t="s">
        <v>377</v>
      </c>
      <c r="D58" s="42" t="s">
        <v>194</v>
      </c>
      <c r="E58" s="42" t="s">
        <v>378</v>
      </c>
      <c r="F58" s="28" t="s">
        <v>379</v>
      </c>
      <c r="G58" s="28">
        <v>22.0</v>
      </c>
      <c r="H58" s="66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2.75" customHeight="1">
      <c r="A59" s="28" t="s">
        <v>380</v>
      </c>
      <c r="B59" s="28" t="s">
        <v>319</v>
      </c>
      <c r="C59" s="42" t="s">
        <v>377</v>
      </c>
      <c r="D59" s="42" t="s">
        <v>270</v>
      </c>
      <c r="E59" s="42" t="s">
        <v>378</v>
      </c>
      <c r="F59" s="28" t="s">
        <v>381</v>
      </c>
      <c r="G59" s="28">
        <v>43.2</v>
      </c>
      <c r="H59" s="66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2.75" customHeight="1">
      <c r="A60" s="28" t="s">
        <v>382</v>
      </c>
      <c r="B60" s="28" t="s">
        <v>165</v>
      </c>
      <c r="C60" s="42" t="s">
        <v>383</v>
      </c>
      <c r="D60" s="42" t="s">
        <v>384</v>
      </c>
      <c r="E60" s="42" t="s">
        <v>255</v>
      </c>
      <c r="F60" s="28" t="s">
        <v>385</v>
      </c>
      <c r="G60" s="28">
        <v>28.8</v>
      </c>
      <c r="H60" s="66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2.75" customHeight="1">
      <c r="A61" s="28" t="s">
        <v>386</v>
      </c>
      <c r="B61" s="28" t="s">
        <v>210</v>
      </c>
      <c r="C61" s="42" t="s">
        <v>387</v>
      </c>
      <c r="D61" s="42" t="s">
        <v>361</v>
      </c>
      <c r="E61" s="42" t="s">
        <v>388</v>
      </c>
      <c r="F61" s="28" t="s">
        <v>389</v>
      </c>
      <c r="G61" s="28">
        <v>18.2</v>
      </c>
      <c r="H61" s="66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2.75" customHeight="1">
      <c r="A62" s="28" t="s">
        <v>390</v>
      </c>
      <c r="B62" s="28" t="s">
        <v>159</v>
      </c>
      <c r="C62" s="42" t="s">
        <v>391</v>
      </c>
      <c r="D62" s="42" t="s">
        <v>240</v>
      </c>
      <c r="E62" s="42" t="s">
        <v>162</v>
      </c>
      <c r="F62" s="28" t="s">
        <v>392</v>
      </c>
      <c r="G62" s="28">
        <v>26.0</v>
      </c>
      <c r="H62" s="66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2.75" customHeight="1">
      <c r="A63" s="28" t="s">
        <v>393</v>
      </c>
      <c r="B63" s="28" t="s">
        <v>210</v>
      </c>
      <c r="C63" s="42" t="s">
        <v>394</v>
      </c>
      <c r="D63" s="42" t="s">
        <v>395</v>
      </c>
      <c r="E63" s="42" t="s">
        <v>162</v>
      </c>
      <c r="F63" s="28" t="s">
        <v>396</v>
      </c>
      <c r="G63" s="28">
        <v>20.6</v>
      </c>
      <c r="H63" s="66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2.75" customHeight="1">
      <c r="A64" s="28" t="s">
        <v>397</v>
      </c>
      <c r="B64" s="28" t="s">
        <v>210</v>
      </c>
      <c r="C64" s="42" t="s">
        <v>394</v>
      </c>
      <c r="D64" s="42" t="s">
        <v>326</v>
      </c>
      <c r="E64" s="42" t="s">
        <v>162</v>
      </c>
      <c r="F64" s="28" t="s">
        <v>398</v>
      </c>
      <c r="G64" s="28">
        <v>15.3</v>
      </c>
      <c r="H64" s="66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2.75" customHeight="1">
      <c r="A65" s="28" t="s">
        <v>399</v>
      </c>
      <c r="B65" s="28" t="s">
        <v>165</v>
      </c>
      <c r="C65" s="42" t="s">
        <v>400</v>
      </c>
      <c r="D65" s="42" t="s">
        <v>401</v>
      </c>
      <c r="E65" s="42" t="s">
        <v>162</v>
      </c>
      <c r="F65" s="28" t="s">
        <v>402</v>
      </c>
      <c r="G65" s="28">
        <v>30.8</v>
      </c>
      <c r="H65" s="66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2.75" customHeight="1">
      <c r="A66" s="28" t="s">
        <v>324</v>
      </c>
      <c r="B66" s="28" t="s">
        <v>165</v>
      </c>
      <c r="C66" s="42" t="s">
        <v>403</v>
      </c>
      <c r="D66" s="42" t="s">
        <v>403</v>
      </c>
      <c r="E66" s="42" t="s">
        <v>404</v>
      </c>
      <c r="F66" s="28" t="s">
        <v>405</v>
      </c>
      <c r="G66" s="28">
        <v>28.9</v>
      </c>
      <c r="H66" s="66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2.75" customHeight="1">
      <c r="A67" s="28" t="s">
        <v>406</v>
      </c>
      <c r="B67" s="28" t="s">
        <v>159</v>
      </c>
      <c r="C67" s="42" t="s">
        <v>403</v>
      </c>
      <c r="D67" s="42" t="s">
        <v>407</v>
      </c>
      <c r="E67" s="42" t="s">
        <v>408</v>
      </c>
      <c r="F67" s="28" t="s">
        <v>409</v>
      </c>
      <c r="G67" s="28">
        <v>31.8</v>
      </c>
      <c r="H67" s="66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2.75" customHeight="1">
      <c r="A68" s="28" t="s">
        <v>410</v>
      </c>
      <c r="B68" s="28" t="s">
        <v>319</v>
      </c>
      <c r="C68" s="42" t="s">
        <v>403</v>
      </c>
      <c r="D68" s="42" t="s">
        <v>240</v>
      </c>
      <c r="E68" s="42" t="s">
        <v>156</v>
      </c>
      <c r="F68" s="28" t="s">
        <v>411</v>
      </c>
      <c r="G68" s="28">
        <v>40.5</v>
      </c>
      <c r="H68" s="66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2.75" customHeight="1">
      <c r="A69" s="28" t="s">
        <v>412</v>
      </c>
      <c r="B69" s="28" t="s">
        <v>159</v>
      </c>
      <c r="C69" s="42" t="s">
        <v>413</v>
      </c>
      <c r="D69" s="42" t="s">
        <v>198</v>
      </c>
      <c r="E69" s="42" t="s">
        <v>162</v>
      </c>
      <c r="F69" s="28" t="s">
        <v>414</v>
      </c>
      <c r="G69" s="28">
        <v>24.5</v>
      </c>
      <c r="H69" s="66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2.75" customHeight="1">
      <c r="A70" s="28" t="s">
        <v>218</v>
      </c>
      <c r="B70" s="28" t="s">
        <v>159</v>
      </c>
      <c r="C70" s="42" t="s">
        <v>413</v>
      </c>
      <c r="D70" s="42" t="s">
        <v>415</v>
      </c>
      <c r="E70" s="42" t="s">
        <v>416</v>
      </c>
      <c r="F70" s="28" t="s">
        <v>417</v>
      </c>
      <c r="G70" s="28">
        <v>21.8</v>
      </c>
      <c r="H70" s="66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2.75" customHeight="1">
      <c r="A71" s="28" t="s">
        <v>418</v>
      </c>
      <c r="B71" s="28" t="s">
        <v>165</v>
      </c>
      <c r="C71" s="42" t="s">
        <v>413</v>
      </c>
      <c r="D71" s="42" t="s">
        <v>419</v>
      </c>
      <c r="E71" s="42" t="s">
        <v>420</v>
      </c>
      <c r="F71" s="28" t="s">
        <v>421</v>
      </c>
      <c r="G71" s="28">
        <v>27.3</v>
      </c>
      <c r="H71" s="66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2.75" customHeight="1">
      <c r="A72" s="28" t="s">
        <v>422</v>
      </c>
      <c r="B72" s="28" t="s">
        <v>165</v>
      </c>
      <c r="C72" s="42" t="s">
        <v>413</v>
      </c>
      <c r="D72" s="42" t="s">
        <v>141</v>
      </c>
      <c r="E72" s="42" t="s">
        <v>423</v>
      </c>
      <c r="F72" s="28" t="s">
        <v>424</v>
      </c>
      <c r="G72" s="28">
        <v>21.6</v>
      </c>
      <c r="H72" s="66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2.75" customHeight="1">
      <c r="A73" s="28" t="s">
        <v>425</v>
      </c>
      <c r="B73" s="28" t="s">
        <v>165</v>
      </c>
      <c r="C73" s="42" t="s">
        <v>426</v>
      </c>
      <c r="D73" s="42" t="s">
        <v>240</v>
      </c>
      <c r="E73" s="42" t="s">
        <v>427</v>
      </c>
      <c r="F73" s="28" t="s">
        <v>428</v>
      </c>
      <c r="G73" s="28">
        <v>17.2</v>
      </c>
      <c r="H73" s="66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2.75" customHeight="1">
      <c r="A74" s="28" t="s">
        <v>429</v>
      </c>
      <c r="B74" s="28" t="s">
        <v>165</v>
      </c>
      <c r="C74" s="42" t="s">
        <v>430</v>
      </c>
      <c r="D74" s="42" t="s">
        <v>431</v>
      </c>
      <c r="E74" s="42" t="s">
        <v>162</v>
      </c>
      <c r="F74" s="28" t="s">
        <v>432</v>
      </c>
      <c r="G74" s="28">
        <v>23.8</v>
      </c>
      <c r="H74" s="66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2.75" customHeight="1">
      <c r="A75" s="28" t="s">
        <v>433</v>
      </c>
      <c r="B75" s="28" t="s">
        <v>219</v>
      </c>
      <c r="C75" s="42" t="s">
        <v>434</v>
      </c>
      <c r="D75" s="42" t="s">
        <v>435</v>
      </c>
      <c r="E75" s="42" t="s">
        <v>436</v>
      </c>
      <c r="F75" s="28" t="s">
        <v>437</v>
      </c>
      <c r="G75" s="28">
        <v>35.3</v>
      </c>
      <c r="H75" s="66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2.75" customHeight="1">
      <c r="A76" s="28" t="s">
        <v>382</v>
      </c>
      <c r="B76" s="28" t="s">
        <v>165</v>
      </c>
      <c r="C76" s="42" t="s">
        <v>438</v>
      </c>
      <c r="D76" s="42" t="s">
        <v>286</v>
      </c>
      <c r="E76" s="42" t="s">
        <v>322</v>
      </c>
      <c r="F76" s="28" t="s">
        <v>439</v>
      </c>
      <c r="G76" s="28">
        <v>33.9</v>
      </c>
      <c r="H76" s="66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2.75" customHeight="1">
      <c r="A77" s="28" t="s">
        <v>284</v>
      </c>
      <c r="B77" s="28" t="s">
        <v>159</v>
      </c>
      <c r="C77" s="42" t="s">
        <v>440</v>
      </c>
      <c r="D77" s="42" t="s">
        <v>290</v>
      </c>
      <c r="E77" s="42" t="s">
        <v>162</v>
      </c>
      <c r="F77" s="28" t="s">
        <v>441</v>
      </c>
      <c r="G77" s="28">
        <v>15.5</v>
      </c>
      <c r="H77" s="66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2.75" customHeight="1">
      <c r="A78" s="28" t="s">
        <v>442</v>
      </c>
      <c r="B78" s="28" t="s">
        <v>165</v>
      </c>
      <c r="C78" s="42" t="s">
        <v>443</v>
      </c>
      <c r="D78" s="42" t="s">
        <v>203</v>
      </c>
      <c r="E78" s="42" t="s">
        <v>156</v>
      </c>
      <c r="F78" s="28" t="s">
        <v>444</v>
      </c>
      <c r="G78" s="28">
        <v>20.3</v>
      </c>
      <c r="H78" s="66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2.75" customHeight="1">
      <c r="A79" s="28" t="s">
        <v>445</v>
      </c>
      <c r="B79" s="28" t="s">
        <v>165</v>
      </c>
      <c r="C79" s="42" t="s">
        <v>446</v>
      </c>
      <c r="D79" s="42" t="s">
        <v>447</v>
      </c>
      <c r="E79" s="42" t="s">
        <v>162</v>
      </c>
      <c r="F79" s="28" t="s">
        <v>448</v>
      </c>
      <c r="G79" s="28">
        <v>29.1</v>
      </c>
      <c r="H79" s="66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2.75" customHeight="1">
      <c r="A80" s="28" t="s">
        <v>449</v>
      </c>
      <c r="B80" s="28" t="s">
        <v>165</v>
      </c>
      <c r="C80" s="42" t="s">
        <v>450</v>
      </c>
      <c r="D80" s="42" t="s">
        <v>451</v>
      </c>
      <c r="E80" s="42" t="s">
        <v>156</v>
      </c>
      <c r="F80" s="28" t="s">
        <v>452</v>
      </c>
      <c r="G80" s="28">
        <v>21.1</v>
      </c>
      <c r="H80" s="66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2.75" customHeight="1">
      <c r="A81" s="28" t="s">
        <v>449</v>
      </c>
      <c r="B81" s="28" t="s">
        <v>165</v>
      </c>
      <c r="C81" s="42" t="s">
        <v>453</v>
      </c>
      <c r="D81" s="42" t="s">
        <v>454</v>
      </c>
      <c r="E81" s="42" t="s">
        <v>156</v>
      </c>
      <c r="F81" s="28" t="s">
        <v>455</v>
      </c>
      <c r="G81" s="28">
        <v>22.1</v>
      </c>
      <c r="H81" s="66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2.75" customHeight="1">
      <c r="A82" s="28" t="s">
        <v>456</v>
      </c>
      <c r="B82" s="28" t="s">
        <v>457</v>
      </c>
      <c r="C82" s="42" t="s">
        <v>458</v>
      </c>
      <c r="D82" s="42" t="s">
        <v>459</v>
      </c>
      <c r="E82" s="42" t="s">
        <v>460</v>
      </c>
      <c r="F82" s="28" t="s">
        <v>461</v>
      </c>
      <c r="G82" s="28">
        <v>43.2</v>
      </c>
      <c r="H82" s="66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2.75" customHeight="1">
      <c r="A83" s="28" t="s">
        <v>462</v>
      </c>
      <c r="B83" s="28" t="s">
        <v>463</v>
      </c>
      <c r="C83" s="42" t="s">
        <v>458</v>
      </c>
      <c r="D83" s="42" t="s">
        <v>464</v>
      </c>
      <c r="E83" s="42" t="s">
        <v>460</v>
      </c>
      <c r="F83" s="28" t="s">
        <v>465</v>
      </c>
      <c r="G83" s="28">
        <v>42.5</v>
      </c>
      <c r="H83" s="66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2.75" customHeight="1">
      <c r="A84" s="28" t="s">
        <v>466</v>
      </c>
      <c r="B84" s="28" t="s">
        <v>159</v>
      </c>
      <c r="C84" s="42" t="s">
        <v>467</v>
      </c>
      <c r="D84" s="42" t="s">
        <v>286</v>
      </c>
      <c r="E84" s="42" t="s">
        <v>162</v>
      </c>
      <c r="F84" s="28" t="s">
        <v>468</v>
      </c>
      <c r="G84" s="28">
        <v>20.2</v>
      </c>
      <c r="H84" s="66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2.75" customHeight="1">
      <c r="A85" s="28" t="s">
        <v>469</v>
      </c>
      <c r="B85" s="28" t="s">
        <v>210</v>
      </c>
      <c r="C85" s="42" t="s">
        <v>470</v>
      </c>
      <c r="D85" s="42" t="s">
        <v>471</v>
      </c>
      <c r="E85" s="42" t="s">
        <v>162</v>
      </c>
      <c r="F85" s="28" t="s">
        <v>472</v>
      </c>
      <c r="G85" s="28">
        <v>23.5</v>
      </c>
      <c r="H85" s="66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2.75" customHeight="1">
      <c r="A86" s="28" t="s">
        <v>473</v>
      </c>
      <c r="B86" s="28" t="s">
        <v>165</v>
      </c>
      <c r="C86" s="42" t="s">
        <v>474</v>
      </c>
      <c r="D86" s="42" t="s">
        <v>447</v>
      </c>
      <c r="E86" s="42" t="s">
        <v>162</v>
      </c>
      <c r="F86" s="28" t="s">
        <v>475</v>
      </c>
      <c r="G86" s="28">
        <v>27.8</v>
      </c>
      <c r="H86" s="66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2.75" customHeight="1">
      <c r="A87" s="28" t="s">
        <v>476</v>
      </c>
      <c r="B87" s="28" t="s">
        <v>165</v>
      </c>
      <c r="C87" s="42" t="s">
        <v>477</v>
      </c>
      <c r="D87" s="42" t="s">
        <v>401</v>
      </c>
      <c r="E87" s="42" t="s">
        <v>478</v>
      </c>
      <c r="F87" s="28" t="s">
        <v>479</v>
      </c>
      <c r="G87" s="28">
        <v>18.9</v>
      </c>
      <c r="H87" s="66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2.75" customHeight="1">
      <c r="A88" s="28" t="s">
        <v>480</v>
      </c>
      <c r="B88" s="28" t="s">
        <v>165</v>
      </c>
      <c r="C88" s="42" t="s">
        <v>477</v>
      </c>
      <c r="D88" s="42" t="s">
        <v>481</v>
      </c>
      <c r="E88" s="42" t="s">
        <v>482</v>
      </c>
      <c r="F88" s="28" t="s">
        <v>483</v>
      </c>
      <c r="G88" s="28">
        <v>26.3</v>
      </c>
      <c r="H88" s="66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2.75" customHeight="1">
      <c r="A89" s="28" t="s">
        <v>480</v>
      </c>
      <c r="B89" s="28" t="s">
        <v>165</v>
      </c>
      <c r="C89" s="42" t="s">
        <v>477</v>
      </c>
      <c r="D89" s="42" t="s">
        <v>484</v>
      </c>
      <c r="E89" s="42" t="s">
        <v>482</v>
      </c>
      <c r="F89" s="28" t="s">
        <v>485</v>
      </c>
      <c r="G89" s="28">
        <v>27.6</v>
      </c>
      <c r="H89" s="66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2.75" customHeight="1">
      <c r="A90" s="28" t="s">
        <v>486</v>
      </c>
      <c r="B90" s="28" t="s">
        <v>487</v>
      </c>
      <c r="C90" s="42" t="s">
        <v>477</v>
      </c>
      <c r="D90" s="42" t="s">
        <v>488</v>
      </c>
      <c r="E90" s="42" t="s">
        <v>489</v>
      </c>
      <c r="F90" s="28" t="s">
        <v>490</v>
      </c>
      <c r="G90" s="28">
        <v>42.5</v>
      </c>
      <c r="H90" s="66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2.75" customHeight="1">
      <c r="A91" s="28" t="s">
        <v>480</v>
      </c>
      <c r="B91" s="28" t="s">
        <v>165</v>
      </c>
      <c r="C91" s="42" t="s">
        <v>491</v>
      </c>
      <c r="D91" s="42" t="s">
        <v>240</v>
      </c>
      <c r="E91" s="42" t="s">
        <v>492</v>
      </c>
      <c r="F91" s="28" t="s">
        <v>493</v>
      </c>
      <c r="G91" s="28">
        <v>35.0</v>
      </c>
      <c r="H91" s="66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2.75" customHeight="1">
      <c r="A92" s="28" t="s">
        <v>442</v>
      </c>
      <c r="B92" s="28" t="s">
        <v>165</v>
      </c>
      <c r="C92" s="42" t="s">
        <v>494</v>
      </c>
      <c r="D92" s="42" t="s">
        <v>495</v>
      </c>
      <c r="E92" s="42" t="s">
        <v>156</v>
      </c>
      <c r="F92" s="28" t="s">
        <v>496</v>
      </c>
      <c r="G92" s="28">
        <v>23.4</v>
      </c>
      <c r="H92" s="66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2.75" customHeight="1">
      <c r="A93" s="28" t="s">
        <v>406</v>
      </c>
      <c r="B93" s="28" t="s">
        <v>497</v>
      </c>
      <c r="C93" s="42" t="s">
        <v>498</v>
      </c>
      <c r="D93" s="42" t="s">
        <v>290</v>
      </c>
      <c r="E93" s="42" t="s">
        <v>460</v>
      </c>
      <c r="F93" s="28" t="s">
        <v>499</v>
      </c>
      <c r="G93" s="28">
        <v>32.8</v>
      </c>
      <c r="H93" s="66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2.75" customHeight="1">
      <c r="A94" s="28" t="s">
        <v>158</v>
      </c>
      <c r="B94" s="28" t="s">
        <v>159</v>
      </c>
      <c r="C94" s="42" t="s">
        <v>500</v>
      </c>
      <c r="D94" s="42" t="s">
        <v>501</v>
      </c>
      <c r="E94" s="42" t="s">
        <v>162</v>
      </c>
      <c r="F94" s="28" t="s">
        <v>502</v>
      </c>
      <c r="G94" s="28">
        <v>30.2</v>
      </c>
      <c r="H94" s="66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2.75" customHeight="1">
      <c r="A95" s="28" t="s">
        <v>503</v>
      </c>
      <c r="B95" s="28" t="s">
        <v>215</v>
      </c>
      <c r="C95" s="42" t="s">
        <v>504</v>
      </c>
      <c r="D95" s="42" t="s">
        <v>505</v>
      </c>
      <c r="E95" s="42" t="s">
        <v>162</v>
      </c>
      <c r="F95" s="28" t="s">
        <v>506</v>
      </c>
      <c r="G95" s="28">
        <v>22.6</v>
      </c>
      <c r="H95" s="66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2.75" customHeight="1">
      <c r="A96" s="28" t="s">
        <v>503</v>
      </c>
      <c r="B96" s="28" t="s">
        <v>219</v>
      </c>
      <c r="C96" s="42" t="s">
        <v>504</v>
      </c>
      <c r="D96" s="42" t="s">
        <v>401</v>
      </c>
      <c r="E96" s="42" t="s">
        <v>162</v>
      </c>
      <c r="F96" s="28" t="s">
        <v>507</v>
      </c>
      <c r="G96" s="28">
        <v>26.6</v>
      </c>
      <c r="H96" s="66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2.75" customHeight="1">
      <c r="A97" s="28" t="s">
        <v>508</v>
      </c>
      <c r="B97" s="28" t="s">
        <v>457</v>
      </c>
      <c r="C97" s="42" t="s">
        <v>509</v>
      </c>
      <c r="D97" s="42" t="s">
        <v>510</v>
      </c>
      <c r="E97" s="42" t="s">
        <v>511</v>
      </c>
      <c r="F97" s="28" t="s">
        <v>512</v>
      </c>
      <c r="G97" s="28">
        <v>43.9</v>
      </c>
      <c r="H97" s="66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2.75" customHeight="1">
      <c r="A98" s="28" t="s">
        <v>179</v>
      </c>
      <c r="B98" s="28" t="s">
        <v>165</v>
      </c>
      <c r="C98" s="42" t="s">
        <v>513</v>
      </c>
      <c r="D98" s="42" t="s">
        <v>185</v>
      </c>
      <c r="E98" s="42" t="s">
        <v>255</v>
      </c>
      <c r="F98" s="28" t="s">
        <v>514</v>
      </c>
      <c r="G98" s="28">
        <v>20.4</v>
      </c>
      <c r="H98" s="66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2.75" customHeight="1">
      <c r="A99" s="28" t="s">
        <v>515</v>
      </c>
      <c r="B99" s="28" t="s">
        <v>165</v>
      </c>
      <c r="C99" s="42" t="s">
        <v>513</v>
      </c>
      <c r="D99" s="42" t="s">
        <v>516</v>
      </c>
      <c r="E99" s="42" t="s">
        <v>255</v>
      </c>
      <c r="F99" s="28" t="s">
        <v>517</v>
      </c>
      <c r="G99" s="28">
        <v>20.4</v>
      </c>
      <c r="H99" s="66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2.75" customHeight="1">
      <c r="A100" s="28" t="s">
        <v>261</v>
      </c>
      <c r="B100" s="28" t="s">
        <v>159</v>
      </c>
      <c r="C100" s="42" t="s">
        <v>513</v>
      </c>
      <c r="D100" s="42" t="s">
        <v>518</v>
      </c>
      <c r="E100" s="42" t="s">
        <v>519</v>
      </c>
      <c r="F100" s="28" t="s">
        <v>520</v>
      </c>
      <c r="G100" s="28">
        <v>27.0</v>
      </c>
      <c r="H100" s="66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2.75" customHeight="1">
      <c r="A101" s="28" t="s">
        <v>521</v>
      </c>
      <c r="B101" s="28" t="s">
        <v>165</v>
      </c>
      <c r="C101" s="42" t="s">
        <v>513</v>
      </c>
      <c r="D101" s="42" t="s">
        <v>522</v>
      </c>
      <c r="E101" s="42" t="s">
        <v>255</v>
      </c>
      <c r="F101" s="28" t="s">
        <v>517</v>
      </c>
      <c r="G101" s="28">
        <v>20.4</v>
      </c>
      <c r="H101" s="66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2.75" customHeight="1">
      <c r="A102" s="28" t="s">
        <v>523</v>
      </c>
      <c r="B102" s="28" t="s">
        <v>165</v>
      </c>
      <c r="C102" s="42" t="s">
        <v>524</v>
      </c>
      <c r="D102" s="42" t="s">
        <v>220</v>
      </c>
      <c r="E102" s="42" t="s">
        <v>525</v>
      </c>
      <c r="F102" s="28" t="s">
        <v>526</v>
      </c>
      <c r="G102" s="28">
        <v>36.1</v>
      </c>
      <c r="H102" s="66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2.75" customHeight="1">
      <c r="A103" s="28" t="s">
        <v>527</v>
      </c>
      <c r="B103" s="28" t="s">
        <v>463</v>
      </c>
      <c r="C103" s="42" t="s">
        <v>528</v>
      </c>
      <c r="D103" s="42" t="s">
        <v>529</v>
      </c>
      <c r="E103" s="42" t="s">
        <v>530</v>
      </c>
      <c r="F103" s="28" t="s">
        <v>531</v>
      </c>
      <c r="G103" s="28">
        <v>32.6</v>
      </c>
      <c r="H103" s="66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2.75" customHeight="1">
      <c r="A104" s="28" t="s">
        <v>532</v>
      </c>
      <c r="B104" s="28" t="s">
        <v>463</v>
      </c>
      <c r="C104" s="42" t="s">
        <v>533</v>
      </c>
      <c r="D104" s="42" t="s">
        <v>534</v>
      </c>
      <c r="E104" s="42" t="s">
        <v>489</v>
      </c>
      <c r="F104" s="28" t="s">
        <v>535</v>
      </c>
      <c r="G104" s="28">
        <v>35.8</v>
      </c>
      <c r="H104" s="66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2.75" customHeight="1">
      <c r="A105" s="28" t="s">
        <v>425</v>
      </c>
      <c r="B105" s="28" t="s">
        <v>210</v>
      </c>
      <c r="C105" s="42" t="s">
        <v>536</v>
      </c>
      <c r="D105" s="42" t="s">
        <v>537</v>
      </c>
      <c r="E105" s="42" t="s">
        <v>427</v>
      </c>
      <c r="F105" s="28" t="s">
        <v>538</v>
      </c>
      <c r="G105" s="28">
        <v>17.2</v>
      </c>
      <c r="H105" s="66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2.75" customHeight="1">
      <c r="A106" s="28" t="s">
        <v>324</v>
      </c>
      <c r="B106" s="28" t="s">
        <v>165</v>
      </c>
      <c r="C106" s="42" t="s">
        <v>539</v>
      </c>
      <c r="D106" s="42" t="s">
        <v>357</v>
      </c>
      <c r="E106" s="42" t="s">
        <v>156</v>
      </c>
      <c r="F106" s="28" t="s">
        <v>502</v>
      </c>
      <c r="G106" s="28">
        <v>29.4</v>
      </c>
      <c r="H106" s="66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2.75" customHeight="1">
      <c r="A107" s="28" t="s">
        <v>540</v>
      </c>
      <c r="B107" s="28" t="s">
        <v>165</v>
      </c>
      <c r="C107" s="42" t="s">
        <v>541</v>
      </c>
      <c r="D107" s="42" t="s">
        <v>354</v>
      </c>
      <c r="E107" s="42" t="s">
        <v>542</v>
      </c>
      <c r="F107" s="28" t="s">
        <v>543</v>
      </c>
      <c r="G107" s="28">
        <v>27.3</v>
      </c>
      <c r="H107" s="66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2.75" customHeight="1">
      <c r="A108" s="28" t="s">
        <v>333</v>
      </c>
      <c r="B108" s="28" t="s">
        <v>215</v>
      </c>
      <c r="C108" s="42" t="s">
        <v>541</v>
      </c>
      <c r="D108" s="42" t="s">
        <v>544</v>
      </c>
      <c r="E108" s="42" t="s">
        <v>277</v>
      </c>
      <c r="F108" s="28" t="s">
        <v>337</v>
      </c>
      <c r="G108" s="28">
        <v>29.3</v>
      </c>
      <c r="H108" s="66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2.75" customHeight="1">
      <c r="A109" s="28" t="s">
        <v>545</v>
      </c>
      <c r="B109" s="28" t="s">
        <v>210</v>
      </c>
      <c r="C109" s="42" t="s">
        <v>546</v>
      </c>
      <c r="D109" s="42" t="s">
        <v>547</v>
      </c>
      <c r="E109" s="42" t="s">
        <v>162</v>
      </c>
      <c r="F109" s="28" t="s">
        <v>548</v>
      </c>
      <c r="G109" s="28">
        <v>20.7</v>
      </c>
      <c r="H109" s="66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2.75" customHeight="1">
      <c r="A110" s="28" t="s">
        <v>406</v>
      </c>
      <c r="B110" s="28" t="s">
        <v>262</v>
      </c>
      <c r="C110" s="42" t="s">
        <v>549</v>
      </c>
      <c r="D110" s="42" t="s">
        <v>259</v>
      </c>
      <c r="E110" s="42" t="s">
        <v>162</v>
      </c>
      <c r="F110" s="28" t="s">
        <v>550</v>
      </c>
      <c r="G110" s="28">
        <v>31.8</v>
      </c>
      <c r="H110" s="66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2.75" customHeight="1">
      <c r="A111" s="28" t="s">
        <v>551</v>
      </c>
      <c r="B111" s="28" t="s">
        <v>159</v>
      </c>
      <c r="C111" s="42" t="s">
        <v>549</v>
      </c>
      <c r="D111" s="42" t="s">
        <v>552</v>
      </c>
      <c r="E111" s="42" t="s">
        <v>162</v>
      </c>
      <c r="F111" s="28" t="s">
        <v>553</v>
      </c>
      <c r="G111" s="28">
        <v>26.8</v>
      </c>
      <c r="H111" s="66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2.75" customHeight="1">
      <c r="A112" s="28" t="s">
        <v>523</v>
      </c>
      <c r="B112" s="28" t="s">
        <v>554</v>
      </c>
      <c r="C112" s="42" t="s">
        <v>555</v>
      </c>
      <c r="D112" s="42" t="s">
        <v>185</v>
      </c>
      <c r="E112" s="42" t="s">
        <v>420</v>
      </c>
      <c r="F112" s="28" t="s">
        <v>556</v>
      </c>
      <c r="G112" s="28">
        <v>26.4</v>
      </c>
      <c r="H112" s="66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2.75" customHeight="1">
      <c r="A113" s="28" t="s">
        <v>557</v>
      </c>
      <c r="B113" s="28" t="s">
        <v>165</v>
      </c>
      <c r="C113" s="42" t="s">
        <v>555</v>
      </c>
      <c r="D113" s="42" t="s">
        <v>558</v>
      </c>
      <c r="E113" s="42" t="s">
        <v>559</v>
      </c>
      <c r="F113" s="28" t="s">
        <v>560</v>
      </c>
      <c r="G113" s="28">
        <v>25.1</v>
      </c>
      <c r="H113" s="66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2.75" customHeight="1">
      <c r="A114" s="28" t="s">
        <v>561</v>
      </c>
      <c r="B114" s="28" t="s">
        <v>165</v>
      </c>
      <c r="C114" s="42" t="s">
        <v>562</v>
      </c>
      <c r="D114" s="42" t="s">
        <v>563</v>
      </c>
      <c r="E114" s="42" t="s">
        <v>564</v>
      </c>
      <c r="F114" s="28" t="s">
        <v>565</v>
      </c>
      <c r="G114" s="28">
        <v>23.7</v>
      </c>
      <c r="H114" s="66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2.75" customHeight="1">
      <c r="A115" s="28" t="s">
        <v>566</v>
      </c>
      <c r="B115" s="28" t="s">
        <v>159</v>
      </c>
      <c r="C115" s="42" t="s">
        <v>567</v>
      </c>
      <c r="D115" s="42" t="s">
        <v>568</v>
      </c>
      <c r="E115" s="42" t="s">
        <v>569</v>
      </c>
      <c r="F115" s="28" t="s">
        <v>570</v>
      </c>
      <c r="G115" s="28">
        <v>28.5</v>
      </c>
      <c r="H115" s="66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2.75" customHeight="1">
      <c r="A116" s="28" t="s">
        <v>152</v>
      </c>
      <c r="B116" s="28" t="s">
        <v>159</v>
      </c>
      <c r="C116" s="42" t="s">
        <v>571</v>
      </c>
      <c r="D116" s="42" t="s">
        <v>488</v>
      </c>
      <c r="E116" s="42" t="s">
        <v>420</v>
      </c>
      <c r="F116" s="28" t="s">
        <v>572</v>
      </c>
      <c r="G116" s="28">
        <v>25.0</v>
      </c>
      <c r="H116" s="66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2.75" customHeight="1">
      <c r="A117" s="28" t="s">
        <v>573</v>
      </c>
      <c r="B117" s="28" t="s">
        <v>210</v>
      </c>
      <c r="C117" s="42" t="s">
        <v>574</v>
      </c>
      <c r="D117" s="42" t="s">
        <v>575</v>
      </c>
      <c r="E117" s="42" t="s">
        <v>156</v>
      </c>
      <c r="F117" s="28" t="s">
        <v>576</v>
      </c>
      <c r="G117" s="28">
        <v>22.5</v>
      </c>
      <c r="H117" s="66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2.75" customHeight="1">
      <c r="A118" s="28" t="s">
        <v>577</v>
      </c>
      <c r="B118" s="28" t="s">
        <v>215</v>
      </c>
      <c r="C118" s="42" t="s">
        <v>578</v>
      </c>
      <c r="D118" s="42" t="s">
        <v>171</v>
      </c>
      <c r="E118" s="42" t="s">
        <v>460</v>
      </c>
      <c r="F118" s="28" t="s">
        <v>579</v>
      </c>
      <c r="G118" s="28">
        <v>33.7</v>
      </c>
      <c r="H118" s="66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2.75" customHeight="1">
      <c r="A119" s="28" t="s">
        <v>580</v>
      </c>
      <c r="B119" s="28" t="s">
        <v>219</v>
      </c>
      <c r="C119" s="42" t="s">
        <v>578</v>
      </c>
      <c r="D119" s="42" t="s">
        <v>224</v>
      </c>
      <c r="E119" s="42" t="s">
        <v>581</v>
      </c>
      <c r="F119" s="28" t="s">
        <v>582</v>
      </c>
      <c r="G119" s="28">
        <v>30.9</v>
      </c>
      <c r="H119" s="66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2.75" customHeight="1">
      <c r="A120" s="28" t="s">
        <v>583</v>
      </c>
      <c r="B120" s="28" t="s">
        <v>219</v>
      </c>
      <c r="C120" s="42" t="s">
        <v>578</v>
      </c>
      <c r="D120" s="42" t="s">
        <v>290</v>
      </c>
      <c r="E120" s="42" t="s">
        <v>460</v>
      </c>
      <c r="F120" s="28" t="s">
        <v>584</v>
      </c>
      <c r="G120" s="28">
        <v>29.2</v>
      </c>
      <c r="H120" s="66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2.75" customHeight="1">
      <c r="A121" s="28" t="s">
        <v>585</v>
      </c>
      <c r="B121" s="28" t="s">
        <v>159</v>
      </c>
      <c r="C121" s="42" t="s">
        <v>578</v>
      </c>
      <c r="D121" s="42" t="s">
        <v>586</v>
      </c>
      <c r="E121" s="42" t="s">
        <v>587</v>
      </c>
      <c r="F121" s="28" t="s">
        <v>588</v>
      </c>
      <c r="G121" s="28">
        <v>27.3</v>
      </c>
      <c r="H121" s="66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2.75" customHeight="1">
      <c r="A122" s="28" t="s">
        <v>589</v>
      </c>
      <c r="B122" s="28" t="s">
        <v>215</v>
      </c>
      <c r="C122" s="42" t="s">
        <v>578</v>
      </c>
      <c r="D122" s="42" t="s">
        <v>259</v>
      </c>
      <c r="E122" s="42" t="s">
        <v>460</v>
      </c>
      <c r="F122" s="28" t="s">
        <v>590</v>
      </c>
      <c r="G122" s="28">
        <v>28.6</v>
      </c>
      <c r="H122" s="66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2.75" customHeight="1">
      <c r="A123" s="28" t="s">
        <v>591</v>
      </c>
      <c r="B123" s="28" t="s">
        <v>210</v>
      </c>
      <c r="C123" s="42" t="s">
        <v>592</v>
      </c>
      <c r="D123" s="42" t="s">
        <v>593</v>
      </c>
      <c r="E123" s="42" t="s">
        <v>594</v>
      </c>
      <c r="F123" s="28" t="s">
        <v>595</v>
      </c>
      <c r="G123" s="28">
        <v>27.9</v>
      </c>
      <c r="H123" s="66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2.75" customHeight="1">
      <c r="A124" s="28" t="s">
        <v>596</v>
      </c>
      <c r="B124" s="28" t="s">
        <v>210</v>
      </c>
      <c r="C124" s="42" t="s">
        <v>592</v>
      </c>
      <c r="D124" s="42" t="s">
        <v>597</v>
      </c>
      <c r="E124" s="42" t="s">
        <v>594</v>
      </c>
      <c r="F124" s="28" t="s">
        <v>598</v>
      </c>
      <c r="G124" s="28">
        <v>25.7</v>
      </c>
      <c r="H124" s="66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2.75" customHeight="1">
      <c r="A125" s="28" t="s">
        <v>442</v>
      </c>
      <c r="B125" s="28" t="s">
        <v>165</v>
      </c>
      <c r="C125" s="42" t="s">
        <v>599</v>
      </c>
      <c r="D125" s="42" t="s">
        <v>447</v>
      </c>
      <c r="E125" s="42" t="s">
        <v>156</v>
      </c>
      <c r="F125" s="28" t="s">
        <v>600</v>
      </c>
      <c r="G125" s="28">
        <v>28.7</v>
      </c>
      <c r="H125" s="66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2.75" customHeight="1">
      <c r="A126" s="28" t="s">
        <v>601</v>
      </c>
      <c r="B126" s="28" t="s">
        <v>602</v>
      </c>
      <c r="C126" s="42" t="s">
        <v>599</v>
      </c>
      <c r="D126" s="42" t="s">
        <v>603</v>
      </c>
      <c r="E126" s="42" t="s">
        <v>594</v>
      </c>
      <c r="F126" s="28" t="s">
        <v>604</v>
      </c>
      <c r="G126" s="28">
        <v>32.0</v>
      </c>
      <c r="H126" s="66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2.75" customHeight="1">
      <c r="A127" s="28" t="s">
        <v>605</v>
      </c>
      <c r="B127" s="28" t="s">
        <v>165</v>
      </c>
      <c r="C127" s="42" t="s">
        <v>599</v>
      </c>
      <c r="D127" s="42" t="s">
        <v>606</v>
      </c>
      <c r="E127" s="42" t="s">
        <v>607</v>
      </c>
      <c r="F127" s="28" t="s">
        <v>608</v>
      </c>
      <c r="G127" s="28">
        <v>28.1</v>
      </c>
      <c r="H127" s="66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2.75" customHeight="1">
      <c r="A128" s="28" t="s">
        <v>609</v>
      </c>
      <c r="B128" s="28" t="s">
        <v>165</v>
      </c>
      <c r="C128" s="42" t="s">
        <v>610</v>
      </c>
      <c r="D128" s="42" t="s">
        <v>611</v>
      </c>
      <c r="E128" s="42" t="s">
        <v>612</v>
      </c>
      <c r="F128" s="28" t="s">
        <v>613</v>
      </c>
      <c r="G128" s="28">
        <v>27.1</v>
      </c>
      <c r="H128" s="66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2.75" customHeight="1">
      <c r="A129" s="28" t="s">
        <v>614</v>
      </c>
      <c r="B129" s="28" t="s">
        <v>210</v>
      </c>
      <c r="C129" s="42" t="s">
        <v>615</v>
      </c>
      <c r="D129" s="42" t="s">
        <v>616</v>
      </c>
      <c r="E129" s="42" t="s">
        <v>277</v>
      </c>
      <c r="F129" s="28" t="s">
        <v>617</v>
      </c>
      <c r="G129" s="28">
        <v>21.9</v>
      </c>
      <c r="H129" s="66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2.75" customHeight="1">
      <c r="A130" s="28" t="s">
        <v>614</v>
      </c>
      <c r="B130" s="28" t="s">
        <v>165</v>
      </c>
      <c r="C130" s="42" t="s">
        <v>618</v>
      </c>
      <c r="D130" s="42" t="s">
        <v>224</v>
      </c>
      <c r="E130" s="42" t="s">
        <v>277</v>
      </c>
      <c r="F130" s="28" t="s">
        <v>617</v>
      </c>
      <c r="G130" s="28">
        <v>21.9</v>
      </c>
      <c r="H130" s="66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2.75" customHeight="1">
      <c r="A131" s="28" t="s">
        <v>619</v>
      </c>
      <c r="B131" s="28" t="s">
        <v>314</v>
      </c>
      <c r="C131" s="42" t="s">
        <v>620</v>
      </c>
      <c r="D131" s="42" t="s">
        <v>198</v>
      </c>
      <c r="E131" s="42" t="s">
        <v>316</v>
      </c>
      <c r="F131" s="28" t="s">
        <v>621</v>
      </c>
      <c r="G131" s="28">
        <v>43.3</v>
      </c>
      <c r="H131" s="66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2.75" customHeight="1">
      <c r="A132" s="28" t="s">
        <v>622</v>
      </c>
      <c r="B132" s="28" t="s">
        <v>210</v>
      </c>
      <c r="C132" s="42" t="s">
        <v>623</v>
      </c>
      <c r="D132" s="42" t="s">
        <v>624</v>
      </c>
      <c r="E132" s="42" t="s">
        <v>277</v>
      </c>
      <c r="F132" s="28" t="s">
        <v>625</v>
      </c>
      <c r="G132" s="28">
        <v>23.4</v>
      </c>
      <c r="H132" s="66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2.75" customHeight="1">
      <c r="A133" s="28" t="s">
        <v>626</v>
      </c>
      <c r="B133" s="28" t="s">
        <v>210</v>
      </c>
      <c r="C133" s="42" t="s">
        <v>623</v>
      </c>
      <c r="D133" s="42" t="s">
        <v>627</v>
      </c>
      <c r="E133" s="42" t="s">
        <v>162</v>
      </c>
      <c r="F133" s="28" t="s">
        <v>628</v>
      </c>
      <c r="G133" s="28">
        <v>22.2</v>
      </c>
      <c r="H133" s="66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2.75" customHeight="1">
      <c r="A134" s="28" t="s">
        <v>629</v>
      </c>
      <c r="B134" s="28" t="s">
        <v>210</v>
      </c>
      <c r="C134" s="42" t="s">
        <v>623</v>
      </c>
      <c r="D134" s="42" t="s">
        <v>630</v>
      </c>
      <c r="E134" s="42" t="s">
        <v>255</v>
      </c>
      <c r="F134" s="28" t="s">
        <v>631</v>
      </c>
      <c r="G134" s="28">
        <v>14.5</v>
      </c>
      <c r="H134" s="66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2.75" customHeight="1">
      <c r="A135" s="28" t="s">
        <v>614</v>
      </c>
      <c r="B135" s="28" t="s">
        <v>165</v>
      </c>
      <c r="C135" s="42" t="s">
        <v>632</v>
      </c>
      <c r="D135" s="42" t="s">
        <v>633</v>
      </c>
      <c r="E135" s="42" t="s">
        <v>634</v>
      </c>
      <c r="F135" s="28" t="s">
        <v>635</v>
      </c>
      <c r="G135" s="28">
        <v>25.6</v>
      </c>
      <c r="H135" s="66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2.75" customHeight="1">
      <c r="A136" s="28" t="s">
        <v>636</v>
      </c>
      <c r="B136" s="28" t="s">
        <v>159</v>
      </c>
      <c r="C136" s="42" t="s">
        <v>632</v>
      </c>
      <c r="D136" s="42" t="s">
        <v>637</v>
      </c>
      <c r="E136" s="42" t="s">
        <v>156</v>
      </c>
      <c r="F136" s="28" t="s">
        <v>638</v>
      </c>
      <c r="G136" s="28">
        <v>25.0</v>
      </c>
      <c r="H136" s="66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2.75" customHeight="1">
      <c r="A137" s="28" t="s">
        <v>639</v>
      </c>
      <c r="B137" s="28" t="s">
        <v>159</v>
      </c>
      <c r="C137" s="42" t="s">
        <v>632</v>
      </c>
      <c r="D137" s="42" t="s">
        <v>240</v>
      </c>
      <c r="E137" s="42" t="s">
        <v>162</v>
      </c>
      <c r="F137" s="28" t="s">
        <v>640</v>
      </c>
      <c r="G137" s="28">
        <v>28.5</v>
      </c>
      <c r="H137" s="66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2.75" customHeight="1">
      <c r="A138" s="28" t="s">
        <v>641</v>
      </c>
      <c r="B138" s="28" t="s">
        <v>165</v>
      </c>
      <c r="C138" s="42" t="s">
        <v>632</v>
      </c>
      <c r="D138" s="42" t="s">
        <v>642</v>
      </c>
      <c r="E138" s="42" t="s">
        <v>156</v>
      </c>
      <c r="F138" s="28" t="s">
        <v>643</v>
      </c>
      <c r="G138" s="28">
        <v>33.2</v>
      </c>
      <c r="H138" s="66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2.75" customHeight="1">
      <c r="A139" s="28" t="s">
        <v>644</v>
      </c>
      <c r="B139" s="28" t="s">
        <v>165</v>
      </c>
      <c r="C139" s="42" t="s">
        <v>632</v>
      </c>
      <c r="D139" s="42" t="s">
        <v>259</v>
      </c>
      <c r="E139" s="42" t="s">
        <v>162</v>
      </c>
      <c r="F139" s="28" t="s">
        <v>645</v>
      </c>
      <c r="G139" s="28">
        <v>25.2</v>
      </c>
      <c r="H139" s="66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2.75" customHeight="1">
      <c r="A140" s="28" t="s">
        <v>646</v>
      </c>
      <c r="B140" s="28" t="s">
        <v>165</v>
      </c>
      <c r="C140" s="42" t="s">
        <v>632</v>
      </c>
      <c r="D140" s="42" t="s">
        <v>357</v>
      </c>
      <c r="E140" s="42" t="s">
        <v>647</v>
      </c>
      <c r="F140" s="28" t="s">
        <v>648</v>
      </c>
      <c r="G140" s="28">
        <v>23.8</v>
      </c>
      <c r="H140" s="66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2.75" customHeight="1">
      <c r="A141" s="28" t="s">
        <v>649</v>
      </c>
      <c r="B141" s="28" t="s">
        <v>165</v>
      </c>
      <c r="C141" s="42" t="s">
        <v>632</v>
      </c>
      <c r="D141" s="42" t="s">
        <v>185</v>
      </c>
      <c r="E141" s="42" t="s">
        <v>650</v>
      </c>
      <c r="F141" s="28" t="s">
        <v>651</v>
      </c>
      <c r="G141" s="28">
        <v>20.5</v>
      </c>
      <c r="H141" s="66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2.75" customHeight="1">
      <c r="A142" s="28" t="s">
        <v>652</v>
      </c>
      <c r="B142" s="28" t="s">
        <v>165</v>
      </c>
      <c r="C142" s="42" t="s">
        <v>632</v>
      </c>
      <c r="D142" s="42" t="s">
        <v>586</v>
      </c>
      <c r="E142" s="42" t="s">
        <v>653</v>
      </c>
      <c r="F142" s="28" t="s">
        <v>654</v>
      </c>
      <c r="G142" s="28">
        <v>16.2</v>
      </c>
      <c r="H142" s="66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2.75" customHeight="1">
      <c r="A143" s="28" t="s">
        <v>655</v>
      </c>
      <c r="B143" s="28" t="s">
        <v>165</v>
      </c>
      <c r="C143" s="42" t="s">
        <v>632</v>
      </c>
      <c r="D143" s="42" t="s">
        <v>384</v>
      </c>
      <c r="E143" s="42" t="s">
        <v>653</v>
      </c>
      <c r="F143" s="28" t="s">
        <v>656</v>
      </c>
      <c r="G143" s="28">
        <v>28.7</v>
      </c>
      <c r="H143" s="66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2.75" customHeight="1">
      <c r="A144" s="28" t="s">
        <v>657</v>
      </c>
      <c r="B144" s="28" t="s">
        <v>165</v>
      </c>
      <c r="C144" s="42" t="s">
        <v>632</v>
      </c>
      <c r="D144" s="42" t="s">
        <v>658</v>
      </c>
      <c r="E144" s="42" t="s">
        <v>255</v>
      </c>
      <c r="F144" s="28" t="s">
        <v>659</v>
      </c>
      <c r="G144" s="28">
        <v>14.5</v>
      </c>
      <c r="H144" s="66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2.75" customHeight="1">
      <c r="A145" s="28" t="s">
        <v>660</v>
      </c>
      <c r="B145" s="28" t="s">
        <v>165</v>
      </c>
      <c r="C145" s="42" t="s">
        <v>632</v>
      </c>
      <c r="D145" s="42" t="s">
        <v>240</v>
      </c>
      <c r="E145" s="42" t="s">
        <v>255</v>
      </c>
      <c r="F145" s="28" t="s">
        <v>661</v>
      </c>
      <c r="G145" s="28">
        <v>16.5</v>
      </c>
      <c r="H145" s="66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2.75" customHeight="1">
      <c r="A146" s="28" t="s">
        <v>662</v>
      </c>
      <c r="B146" s="28" t="s">
        <v>165</v>
      </c>
      <c r="C146" s="42" t="s">
        <v>632</v>
      </c>
      <c r="D146" s="42" t="s">
        <v>240</v>
      </c>
      <c r="E146" s="42" t="s">
        <v>650</v>
      </c>
      <c r="F146" s="28" t="s">
        <v>663</v>
      </c>
      <c r="G146" s="28">
        <v>26.7</v>
      </c>
      <c r="H146" s="66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2.75" customHeight="1">
      <c r="A147" s="28" t="s">
        <v>664</v>
      </c>
      <c r="B147" s="28" t="s">
        <v>165</v>
      </c>
      <c r="C147" s="42" t="s">
        <v>632</v>
      </c>
      <c r="D147" s="42" t="s">
        <v>665</v>
      </c>
      <c r="E147" s="42" t="s">
        <v>162</v>
      </c>
      <c r="F147" s="28" t="s">
        <v>666</v>
      </c>
      <c r="G147" s="28">
        <v>26.3</v>
      </c>
      <c r="H147" s="66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2.75" customHeight="1">
      <c r="A148" s="28" t="s">
        <v>667</v>
      </c>
      <c r="B148" s="28" t="s">
        <v>497</v>
      </c>
      <c r="C148" s="42" t="s">
        <v>668</v>
      </c>
      <c r="D148" s="42" t="s">
        <v>669</v>
      </c>
      <c r="E148" s="42" t="s">
        <v>670</v>
      </c>
      <c r="F148" s="28" t="s">
        <v>671</v>
      </c>
      <c r="G148" s="28">
        <v>18.5</v>
      </c>
      <c r="H148" s="66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2.75" customHeight="1">
      <c r="A149" s="28" t="s">
        <v>672</v>
      </c>
      <c r="B149" s="28" t="s">
        <v>673</v>
      </c>
      <c r="C149" s="42" t="s">
        <v>674</v>
      </c>
      <c r="D149" s="42" t="s">
        <v>675</v>
      </c>
      <c r="E149" s="42" t="s">
        <v>162</v>
      </c>
      <c r="F149" s="28" t="s">
        <v>676</v>
      </c>
      <c r="G149" s="28">
        <v>16.9</v>
      </c>
      <c r="H149" s="66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2.75" customHeight="1">
      <c r="A150" s="28" t="s">
        <v>677</v>
      </c>
      <c r="B150" s="28" t="s">
        <v>673</v>
      </c>
      <c r="C150" s="42" t="s">
        <v>674</v>
      </c>
      <c r="D150" s="42" t="s">
        <v>678</v>
      </c>
      <c r="E150" s="42" t="s">
        <v>162</v>
      </c>
      <c r="F150" s="28" t="s">
        <v>679</v>
      </c>
      <c r="G150" s="28">
        <v>14.9</v>
      </c>
      <c r="H150" s="66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2.75" customHeight="1">
      <c r="A151" s="28" t="s">
        <v>372</v>
      </c>
      <c r="B151" s="28" t="s">
        <v>219</v>
      </c>
      <c r="C151" s="42" t="s">
        <v>680</v>
      </c>
      <c r="D151" s="42" t="s">
        <v>354</v>
      </c>
      <c r="E151" s="42" t="s">
        <v>162</v>
      </c>
      <c r="F151" s="28" t="s">
        <v>681</v>
      </c>
      <c r="G151" s="28">
        <v>26.5</v>
      </c>
      <c r="H151" s="66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2.75" customHeight="1">
      <c r="A152" s="28" t="s">
        <v>682</v>
      </c>
      <c r="B152" s="28" t="s">
        <v>159</v>
      </c>
      <c r="C152" s="42" t="s">
        <v>683</v>
      </c>
      <c r="D152" s="42" t="s">
        <v>401</v>
      </c>
      <c r="E152" s="42" t="s">
        <v>277</v>
      </c>
      <c r="F152" s="28" t="s">
        <v>684</v>
      </c>
      <c r="G152" s="28">
        <v>27.3</v>
      </c>
      <c r="H152" s="66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2.75" customHeight="1">
      <c r="A153" s="28" t="s">
        <v>333</v>
      </c>
      <c r="B153" s="28" t="s">
        <v>159</v>
      </c>
      <c r="C153" s="42" t="s">
        <v>685</v>
      </c>
      <c r="D153" s="42" t="s">
        <v>459</v>
      </c>
      <c r="E153" s="42" t="s">
        <v>156</v>
      </c>
      <c r="F153" s="28" t="s">
        <v>686</v>
      </c>
      <c r="G153" s="28">
        <v>25.5</v>
      </c>
      <c r="H153" s="66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2.75" customHeight="1">
      <c r="A154" s="28" t="s">
        <v>333</v>
      </c>
      <c r="B154" s="28" t="s">
        <v>262</v>
      </c>
      <c r="C154" s="42" t="s">
        <v>685</v>
      </c>
      <c r="D154" s="42" t="s">
        <v>687</v>
      </c>
      <c r="E154" s="42" t="s">
        <v>156</v>
      </c>
      <c r="F154" s="28" t="s">
        <v>688</v>
      </c>
      <c r="G154" s="28">
        <v>19.6</v>
      </c>
      <c r="H154" s="66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2.75" customHeight="1">
      <c r="A155" s="28" t="s">
        <v>689</v>
      </c>
      <c r="B155" s="28" t="s">
        <v>165</v>
      </c>
      <c r="C155" s="42" t="s">
        <v>690</v>
      </c>
      <c r="D155" s="42" t="s">
        <v>691</v>
      </c>
      <c r="E155" s="42" t="s">
        <v>162</v>
      </c>
      <c r="F155" s="28" t="s">
        <v>692</v>
      </c>
      <c r="G155" s="28">
        <v>23.0</v>
      </c>
      <c r="H155" s="66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2.75" customHeight="1">
      <c r="A156" s="28" t="s">
        <v>693</v>
      </c>
      <c r="B156" s="28" t="s">
        <v>165</v>
      </c>
      <c r="C156" s="42" t="s">
        <v>694</v>
      </c>
      <c r="D156" s="42" t="s">
        <v>259</v>
      </c>
      <c r="E156" s="42" t="s">
        <v>162</v>
      </c>
      <c r="F156" s="28" t="s">
        <v>695</v>
      </c>
      <c r="G156" s="28">
        <v>25.7</v>
      </c>
      <c r="H156" s="66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2.75" customHeight="1">
      <c r="A157" s="28" t="s">
        <v>696</v>
      </c>
      <c r="B157" s="28" t="s">
        <v>165</v>
      </c>
      <c r="C157" s="42" t="s">
        <v>694</v>
      </c>
      <c r="D157" s="42" t="s">
        <v>518</v>
      </c>
      <c r="E157" s="42" t="s">
        <v>162</v>
      </c>
      <c r="F157" s="28" t="s">
        <v>697</v>
      </c>
      <c r="G157" s="28">
        <v>28.2</v>
      </c>
      <c r="H157" s="66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2.75" customHeight="1">
      <c r="A158" s="28" t="s">
        <v>257</v>
      </c>
      <c r="B158" s="28" t="s">
        <v>210</v>
      </c>
      <c r="C158" s="42" t="s">
        <v>698</v>
      </c>
      <c r="D158" s="42" t="s">
        <v>699</v>
      </c>
      <c r="E158" s="42" t="s">
        <v>700</v>
      </c>
      <c r="F158" s="28" t="s">
        <v>169</v>
      </c>
      <c r="G158" s="28">
        <v>33.3</v>
      </c>
      <c r="H158" s="66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2.75" customHeight="1">
      <c r="A159" s="28" t="s">
        <v>257</v>
      </c>
      <c r="B159" s="28" t="s">
        <v>165</v>
      </c>
      <c r="C159" s="42" t="s">
        <v>701</v>
      </c>
      <c r="D159" s="42" t="s">
        <v>702</v>
      </c>
      <c r="E159" s="42" t="s">
        <v>700</v>
      </c>
      <c r="F159" s="28" t="s">
        <v>643</v>
      </c>
      <c r="G159" s="28">
        <v>33.2</v>
      </c>
      <c r="H159" s="66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2.75" customHeight="1">
      <c r="A160" s="28" t="s">
        <v>703</v>
      </c>
      <c r="B160" s="28" t="s">
        <v>165</v>
      </c>
      <c r="C160" s="42" t="s">
        <v>704</v>
      </c>
      <c r="D160" s="42" t="s">
        <v>633</v>
      </c>
      <c r="E160" s="42" t="s">
        <v>162</v>
      </c>
      <c r="F160" s="28" t="s">
        <v>705</v>
      </c>
      <c r="G160" s="28">
        <v>27.3</v>
      </c>
      <c r="H160" s="66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2.75" customHeight="1">
      <c r="A161" s="28" t="s">
        <v>706</v>
      </c>
      <c r="B161" s="28" t="s">
        <v>210</v>
      </c>
      <c r="C161" s="42" t="s">
        <v>707</v>
      </c>
      <c r="D161" s="42" t="s">
        <v>708</v>
      </c>
      <c r="E161" s="42" t="s">
        <v>653</v>
      </c>
      <c r="F161" s="28" t="s">
        <v>709</v>
      </c>
      <c r="G161" s="28">
        <v>21.8</v>
      </c>
      <c r="H161" s="66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2.75" customHeight="1">
      <c r="A162" s="28" t="s">
        <v>710</v>
      </c>
      <c r="B162" s="28" t="s">
        <v>165</v>
      </c>
      <c r="C162" s="42" t="s">
        <v>711</v>
      </c>
      <c r="D162" s="42" t="s">
        <v>185</v>
      </c>
      <c r="E162" s="42" t="s">
        <v>162</v>
      </c>
      <c r="F162" s="28" t="s">
        <v>712</v>
      </c>
      <c r="G162" s="28">
        <v>23.5</v>
      </c>
      <c r="H162" s="66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2.75" customHeight="1">
      <c r="A163" s="28" t="s">
        <v>713</v>
      </c>
      <c r="B163" s="28" t="s">
        <v>165</v>
      </c>
      <c r="C163" s="42" t="s">
        <v>714</v>
      </c>
      <c r="D163" s="42" t="s">
        <v>141</v>
      </c>
      <c r="E163" s="42" t="s">
        <v>715</v>
      </c>
      <c r="F163" s="28" t="s">
        <v>716</v>
      </c>
      <c r="G163" s="28">
        <v>30.6</v>
      </c>
      <c r="H163" s="66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2.75" customHeight="1">
      <c r="A164" s="28" t="s">
        <v>717</v>
      </c>
      <c r="B164" s="28" t="s">
        <v>165</v>
      </c>
      <c r="C164" s="42" t="s">
        <v>714</v>
      </c>
      <c r="D164" s="42" t="s">
        <v>558</v>
      </c>
      <c r="E164" s="42" t="s">
        <v>715</v>
      </c>
      <c r="F164" s="28" t="s">
        <v>718</v>
      </c>
      <c r="G164" s="28">
        <v>24.4</v>
      </c>
      <c r="H164" s="66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2.75" customHeight="1">
      <c r="A165" s="28" t="s">
        <v>719</v>
      </c>
      <c r="B165" s="28" t="s">
        <v>165</v>
      </c>
      <c r="C165" s="42" t="s">
        <v>714</v>
      </c>
      <c r="D165" s="42" t="s">
        <v>286</v>
      </c>
      <c r="E165" s="42" t="s">
        <v>653</v>
      </c>
      <c r="F165" s="28" t="s">
        <v>720</v>
      </c>
      <c r="G165" s="28">
        <v>25.6</v>
      </c>
      <c r="H165" s="66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2.75" customHeight="1">
      <c r="A166" s="28" t="s">
        <v>636</v>
      </c>
      <c r="B166" s="28" t="s">
        <v>165</v>
      </c>
      <c r="C166" s="42" t="s">
        <v>721</v>
      </c>
      <c r="D166" s="42" t="s">
        <v>224</v>
      </c>
      <c r="E166" s="42" t="s">
        <v>722</v>
      </c>
      <c r="F166" s="28" t="s">
        <v>723</v>
      </c>
      <c r="G166" s="28">
        <v>32.1</v>
      </c>
      <c r="H166" s="66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2.75" customHeight="1">
      <c r="A167" s="28" t="s">
        <v>724</v>
      </c>
      <c r="B167" s="28" t="s">
        <v>210</v>
      </c>
      <c r="C167" s="42" t="s">
        <v>725</v>
      </c>
      <c r="D167" s="42" t="s">
        <v>726</v>
      </c>
      <c r="E167" s="42" t="s">
        <v>727</v>
      </c>
      <c r="F167" s="28" t="s">
        <v>728</v>
      </c>
      <c r="G167" s="28">
        <v>25.2</v>
      </c>
      <c r="H167" s="66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2.75" customHeight="1">
      <c r="A168" s="28" t="s">
        <v>729</v>
      </c>
      <c r="B168" s="28" t="s">
        <v>219</v>
      </c>
      <c r="C168" s="42" t="s">
        <v>730</v>
      </c>
      <c r="D168" s="42" t="s">
        <v>731</v>
      </c>
      <c r="E168" s="42" t="s">
        <v>732</v>
      </c>
      <c r="F168" s="28" t="s">
        <v>733</v>
      </c>
      <c r="G168" s="28">
        <v>26.3</v>
      </c>
      <c r="H168" s="66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2.75" customHeight="1">
      <c r="A169" s="28" t="s">
        <v>734</v>
      </c>
      <c r="B169" s="28" t="s">
        <v>159</v>
      </c>
      <c r="C169" s="42" t="s">
        <v>735</v>
      </c>
      <c r="D169" s="42" t="s">
        <v>687</v>
      </c>
      <c r="E169" s="42" t="s">
        <v>162</v>
      </c>
      <c r="F169" s="28" t="s">
        <v>736</v>
      </c>
      <c r="G169" s="28">
        <v>25.5</v>
      </c>
      <c r="H169" s="66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2.75" customHeight="1">
      <c r="A170" s="28" t="s">
        <v>737</v>
      </c>
      <c r="B170" s="28" t="s">
        <v>165</v>
      </c>
      <c r="C170" s="42" t="s">
        <v>735</v>
      </c>
      <c r="D170" s="42" t="s">
        <v>181</v>
      </c>
      <c r="E170" s="42" t="s">
        <v>653</v>
      </c>
      <c r="F170" s="28" t="s">
        <v>738</v>
      </c>
      <c r="G170" s="28">
        <v>24.4</v>
      </c>
      <c r="H170" s="66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2.75" customHeight="1">
      <c r="A171" s="28" t="s">
        <v>739</v>
      </c>
      <c r="B171" s="28" t="s">
        <v>165</v>
      </c>
      <c r="C171" s="42" t="s">
        <v>740</v>
      </c>
      <c r="D171" s="42" t="s">
        <v>741</v>
      </c>
      <c r="E171" s="42" t="s">
        <v>742</v>
      </c>
      <c r="F171" s="28" t="s">
        <v>743</v>
      </c>
      <c r="G171" s="28">
        <v>34.8</v>
      </c>
      <c r="H171" s="66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2.75" customHeight="1">
      <c r="A172" s="28" t="s">
        <v>744</v>
      </c>
      <c r="B172" s="28" t="s">
        <v>457</v>
      </c>
      <c r="C172" s="42" t="s">
        <v>745</v>
      </c>
      <c r="D172" s="42" t="s">
        <v>558</v>
      </c>
      <c r="E172" s="42" t="s">
        <v>162</v>
      </c>
      <c r="F172" s="28" t="s">
        <v>461</v>
      </c>
      <c r="G172" s="28">
        <v>43.2</v>
      </c>
      <c r="H172" s="66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2.75" customHeight="1">
      <c r="A173" s="28" t="s">
        <v>601</v>
      </c>
      <c r="B173" s="28" t="s">
        <v>219</v>
      </c>
      <c r="C173" s="42" t="s">
        <v>746</v>
      </c>
      <c r="D173" s="42" t="s">
        <v>633</v>
      </c>
      <c r="E173" s="42" t="s">
        <v>404</v>
      </c>
      <c r="F173" s="28" t="s">
        <v>747</v>
      </c>
      <c r="G173" s="28">
        <v>30.3</v>
      </c>
      <c r="H173" s="66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2.75" customHeight="1">
      <c r="A174" s="28" t="s">
        <v>748</v>
      </c>
      <c r="B174" s="28" t="s">
        <v>219</v>
      </c>
      <c r="C174" s="42" t="s">
        <v>746</v>
      </c>
      <c r="D174" s="42" t="s">
        <v>273</v>
      </c>
      <c r="E174" s="42" t="s">
        <v>404</v>
      </c>
      <c r="F174" s="28" t="s">
        <v>749</v>
      </c>
      <c r="G174" s="28">
        <v>32.8</v>
      </c>
      <c r="H174" s="66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2.75" customHeight="1">
      <c r="A175" s="28" t="s">
        <v>750</v>
      </c>
      <c r="B175" s="28" t="s">
        <v>165</v>
      </c>
      <c r="C175" s="42" t="s">
        <v>751</v>
      </c>
      <c r="D175" s="42" t="s">
        <v>752</v>
      </c>
      <c r="E175" s="42" t="s">
        <v>162</v>
      </c>
      <c r="F175" s="28" t="s">
        <v>705</v>
      </c>
      <c r="G175" s="28">
        <v>27.3</v>
      </c>
      <c r="H175" s="66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2.75" customHeight="1">
      <c r="A176" s="28" t="s">
        <v>753</v>
      </c>
      <c r="B176" s="28" t="s">
        <v>210</v>
      </c>
      <c r="C176" s="42" t="s">
        <v>754</v>
      </c>
      <c r="D176" s="42" t="s">
        <v>228</v>
      </c>
      <c r="E176" s="42" t="s">
        <v>162</v>
      </c>
      <c r="F176" s="28" t="s">
        <v>755</v>
      </c>
      <c r="G176" s="28">
        <v>20.0</v>
      </c>
      <c r="H176" s="66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2.75" customHeight="1">
      <c r="A177" s="28" t="s">
        <v>601</v>
      </c>
      <c r="B177" s="28" t="s">
        <v>165</v>
      </c>
      <c r="C177" s="42" t="s">
        <v>756</v>
      </c>
      <c r="D177" s="42" t="s">
        <v>251</v>
      </c>
      <c r="E177" s="42" t="s">
        <v>757</v>
      </c>
      <c r="F177" s="28" t="s">
        <v>758</v>
      </c>
      <c r="G177" s="28">
        <v>26.3</v>
      </c>
      <c r="H177" s="66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2.75" customHeight="1">
      <c r="A178" s="28" t="s">
        <v>729</v>
      </c>
      <c r="B178" s="28" t="s">
        <v>219</v>
      </c>
      <c r="C178" s="42" t="s">
        <v>759</v>
      </c>
      <c r="D178" s="42" t="s">
        <v>633</v>
      </c>
      <c r="E178" s="42" t="s">
        <v>760</v>
      </c>
      <c r="F178" s="28" t="s">
        <v>761</v>
      </c>
      <c r="G178" s="28">
        <v>33.0</v>
      </c>
      <c r="H178" s="66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2.75" customHeight="1">
      <c r="A179" s="28" t="s">
        <v>762</v>
      </c>
      <c r="B179" s="28" t="s">
        <v>219</v>
      </c>
      <c r="C179" s="42" t="s">
        <v>763</v>
      </c>
      <c r="D179" s="42" t="s">
        <v>181</v>
      </c>
      <c r="E179" s="42" t="s">
        <v>764</v>
      </c>
      <c r="F179" s="28" t="s">
        <v>485</v>
      </c>
      <c r="G179" s="28">
        <v>28.4</v>
      </c>
      <c r="H179" s="66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2.75" customHeight="1">
      <c r="A180" s="28" t="s">
        <v>765</v>
      </c>
      <c r="B180" s="28" t="s">
        <v>159</v>
      </c>
      <c r="C180" s="42" t="s">
        <v>766</v>
      </c>
      <c r="D180" s="42" t="s">
        <v>198</v>
      </c>
      <c r="E180" s="42" t="s">
        <v>162</v>
      </c>
      <c r="F180" s="28" t="s">
        <v>767</v>
      </c>
      <c r="G180" s="28">
        <v>26.9</v>
      </c>
      <c r="H180" s="66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2.75" customHeight="1">
      <c r="A181" s="28" t="s">
        <v>196</v>
      </c>
      <c r="B181" s="28" t="s">
        <v>159</v>
      </c>
      <c r="C181" s="42" t="s">
        <v>768</v>
      </c>
      <c r="D181" s="42" t="s">
        <v>495</v>
      </c>
      <c r="E181" s="42" t="s">
        <v>769</v>
      </c>
      <c r="F181" s="28" t="s">
        <v>770</v>
      </c>
      <c r="G181" s="28">
        <v>26.0</v>
      </c>
      <c r="H181" s="66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2.75" customHeight="1">
      <c r="A182" s="28" t="s">
        <v>583</v>
      </c>
      <c r="B182" s="28" t="s">
        <v>159</v>
      </c>
      <c r="C182" s="42" t="s">
        <v>771</v>
      </c>
      <c r="D182" s="42" t="s">
        <v>454</v>
      </c>
      <c r="E182" s="42" t="s">
        <v>162</v>
      </c>
      <c r="F182" s="28" t="s">
        <v>772</v>
      </c>
      <c r="G182" s="28">
        <v>22.2</v>
      </c>
      <c r="H182" s="66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2.75" customHeight="1">
      <c r="A183" s="28" t="s">
        <v>773</v>
      </c>
      <c r="B183" s="28" t="s">
        <v>219</v>
      </c>
      <c r="C183" s="42" t="s">
        <v>771</v>
      </c>
      <c r="D183" s="42" t="s">
        <v>774</v>
      </c>
      <c r="E183" s="42" t="s">
        <v>162</v>
      </c>
      <c r="F183" s="28" t="s">
        <v>775</v>
      </c>
      <c r="G183" s="28">
        <v>27.9</v>
      </c>
      <c r="H183" s="66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2.75" customHeight="1">
      <c r="A184" s="28" t="s">
        <v>776</v>
      </c>
      <c r="B184" s="28" t="s">
        <v>210</v>
      </c>
      <c r="C184" s="42" t="s">
        <v>777</v>
      </c>
      <c r="D184" s="42" t="s">
        <v>778</v>
      </c>
      <c r="E184" s="42" t="s">
        <v>162</v>
      </c>
      <c r="F184" s="28" t="s">
        <v>779</v>
      </c>
      <c r="G184" s="28">
        <v>18.4</v>
      </c>
      <c r="H184" s="66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2.75" customHeight="1">
      <c r="A185" s="28" t="s">
        <v>780</v>
      </c>
      <c r="B185" s="28" t="s">
        <v>165</v>
      </c>
      <c r="C185" s="42" t="s">
        <v>781</v>
      </c>
      <c r="D185" s="42" t="s">
        <v>354</v>
      </c>
      <c r="E185" s="42" t="s">
        <v>162</v>
      </c>
      <c r="F185" s="28" t="s">
        <v>782</v>
      </c>
      <c r="G185" s="28">
        <v>28.8</v>
      </c>
      <c r="H185" s="66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2.75" customHeight="1">
      <c r="A186" s="28" t="s">
        <v>783</v>
      </c>
      <c r="B186" s="28" t="s">
        <v>165</v>
      </c>
      <c r="C186" s="42" t="s">
        <v>781</v>
      </c>
      <c r="D186" s="42" t="s">
        <v>586</v>
      </c>
      <c r="E186" s="42" t="s">
        <v>162</v>
      </c>
      <c r="F186" s="28" t="s">
        <v>556</v>
      </c>
      <c r="G186" s="28">
        <v>25.6</v>
      </c>
      <c r="H186" s="66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2.75" customHeight="1">
      <c r="A187" s="28" t="s">
        <v>179</v>
      </c>
      <c r="B187" s="28" t="s">
        <v>165</v>
      </c>
      <c r="C187" s="42" t="s">
        <v>784</v>
      </c>
      <c r="D187" s="42" t="s">
        <v>785</v>
      </c>
      <c r="E187" s="42" t="s">
        <v>322</v>
      </c>
      <c r="F187" s="28" t="s">
        <v>786</v>
      </c>
      <c r="G187" s="28">
        <v>31.6</v>
      </c>
      <c r="H187" s="66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2.75" customHeight="1">
      <c r="A188" s="28" t="s">
        <v>787</v>
      </c>
      <c r="B188" s="28" t="s">
        <v>165</v>
      </c>
      <c r="C188" s="42" t="s">
        <v>788</v>
      </c>
      <c r="D188" s="42" t="s">
        <v>435</v>
      </c>
      <c r="E188" s="42" t="s">
        <v>162</v>
      </c>
      <c r="F188" s="28" t="s">
        <v>789</v>
      </c>
      <c r="G188" s="28">
        <v>17.3</v>
      </c>
      <c r="H188" s="66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2.75" customHeight="1">
      <c r="A189" s="28" t="s">
        <v>790</v>
      </c>
      <c r="B189" s="28" t="s">
        <v>165</v>
      </c>
      <c r="C189" s="42" t="s">
        <v>791</v>
      </c>
      <c r="D189" s="42" t="s">
        <v>792</v>
      </c>
      <c r="E189" s="42" t="s">
        <v>156</v>
      </c>
      <c r="F189" s="28" t="s">
        <v>793</v>
      </c>
      <c r="G189" s="28">
        <v>26.9</v>
      </c>
      <c r="H189" s="66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2.75" customHeight="1">
      <c r="A190" s="28" t="s">
        <v>794</v>
      </c>
      <c r="B190" s="28" t="s">
        <v>210</v>
      </c>
      <c r="C190" s="42" t="s">
        <v>795</v>
      </c>
      <c r="D190" s="42" t="s">
        <v>796</v>
      </c>
      <c r="E190" s="42" t="s">
        <v>162</v>
      </c>
      <c r="F190" s="28" t="s">
        <v>797</v>
      </c>
      <c r="G190" s="28">
        <v>33.6</v>
      </c>
      <c r="H190" s="66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2.75" customHeight="1">
      <c r="A191" s="28" t="s">
        <v>734</v>
      </c>
      <c r="B191" s="28" t="s">
        <v>219</v>
      </c>
      <c r="C191" s="42" t="s">
        <v>798</v>
      </c>
      <c r="D191" s="42" t="s">
        <v>799</v>
      </c>
      <c r="E191" s="42" t="s">
        <v>162</v>
      </c>
      <c r="F191" s="28" t="s">
        <v>800</v>
      </c>
      <c r="G191" s="28">
        <v>26.5</v>
      </c>
      <c r="H191" s="66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2.75" customHeight="1">
      <c r="A192" s="28" t="s">
        <v>333</v>
      </c>
      <c r="B192" s="28" t="s">
        <v>153</v>
      </c>
      <c r="C192" s="42" t="s">
        <v>801</v>
      </c>
      <c r="D192" s="42" t="s">
        <v>228</v>
      </c>
      <c r="E192" s="42" t="s">
        <v>277</v>
      </c>
      <c r="F192" s="28" t="s">
        <v>802</v>
      </c>
      <c r="G192" s="28">
        <v>19.8</v>
      </c>
      <c r="H192" s="66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2.75" customHeight="1">
      <c r="A193" s="28" t="s">
        <v>803</v>
      </c>
      <c r="B193" s="28" t="s">
        <v>165</v>
      </c>
      <c r="C193" s="42" t="s">
        <v>804</v>
      </c>
      <c r="D193" s="42" t="s">
        <v>586</v>
      </c>
      <c r="E193" s="42" t="s">
        <v>255</v>
      </c>
      <c r="F193" s="28" t="s">
        <v>805</v>
      </c>
      <c r="G193" s="28">
        <v>26.0</v>
      </c>
      <c r="H193" s="66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2.75" customHeight="1">
      <c r="A194" s="28" t="s">
        <v>806</v>
      </c>
      <c r="B194" s="28" t="s">
        <v>165</v>
      </c>
      <c r="C194" s="42" t="s">
        <v>804</v>
      </c>
      <c r="D194" s="42" t="s">
        <v>251</v>
      </c>
      <c r="E194" s="42" t="s">
        <v>255</v>
      </c>
      <c r="F194" s="28" t="s">
        <v>807</v>
      </c>
      <c r="G194" s="28">
        <v>24.9</v>
      </c>
      <c r="H194" s="66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2.75" customHeight="1">
      <c r="A195" s="28" t="s">
        <v>808</v>
      </c>
      <c r="B195" s="28" t="s">
        <v>165</v>
      </c>
      <c r="C195" s="42" t="s">
        <v>809</v>
      </c>
      <c r="D195" s="42" t="s">
        <v>447</v>
      </c>
      <c r="E195" s="42" t="s">
        <v>162</v>
      </c>
      <c r="F195" s="28" t="s">
        <v>810</v>
      </c>
      <c r="G195" s="28">
        <v>29.5</v>
      </c>
      <c r="H195" s="66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2.75" customHeight="1">
      <c r="A196" s="28" t="s">
        <v>811</v>
      </c>
      <c r="B196" s="28" t="s">
        <v>210</v>
      </c>
      <c r="C196" s="42" t="s">
        <v>812</v>
      </c>
      <c r="D196" s="42" t="s">
        <v>813</v>
      </c>
      <c r="E196" s="42" t="s">
        <v>420</v>
      </c>
      <c r="F196" s="28" t="s">
        <v>814</v>
      </c>
      <c r="G196" s="28">
        <v>22.9</v>
      </c>
      <c r="H196" s="66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2.75" customHeight="1">
      <c r="A197" s="28" t="s">
        <v>815</v>
      </c>
      <c r="B197" s="28" t="s">
        <v>165</v>
      </c>
      <c r="C197" s="42" t="s">
        <v>816</v>
      </c>
      <c r="D197" s="42" t="s">
        <v>251</v>
      </c>
      <c r="E197" s="42" t="s">
        <v>817</v>
      </c>
      <c r="F197" s="28" t="s">
        <v>818</v>
      </c>
      <c r="G197" s="28">
        <v>22.2</v>
      </c>
      <c r="H197" s="66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2.75" customHeight="1">
      <c r="A198" s="28" t="s">
        <v>819</v>
      </c>
      <c r="B198" s="28" t="s">
        <v>165</v>
      </c>
      <c r="C198" s="42" t="s">
        <v>816</v>
      </c>
      <c r="D198" s="42" t="s">
        <v>633</v>
      </c>
      <c r="E198" s="42" t="s">
        <v>420</v>
      </c>
      <c r="F198" s="28" t="s">
        <v>820</v>
      </c>
      <c r="G198" s="28">
        <v>22.5</v>
      </c>
      <c r="H198" s="66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2.75" customHeight="1">
      <c r="A199" s="28" t="s">
        <v>821</v>
      </c>
      <c r="B199" s="28" t="s">
        <v>210</v>
      </c>
      <c r="C199" s="42" t="s">
        <v>822</v>
      </c>
      <c r="D199" s="42" t="s">
        <v>823</v>
      </c>
      <c r="E199" s="42" t="s">
        <v>162</v>
      </c>
      <c r="F199" s="28" t="s">
        <v>824</v>
      </c>
      <c r="G199" s="28">
        <v>19.2</v>
      </c>
      <c r="H199" s="66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2.75" customHeight="1">
      <c r="A200" s="28" t="s">
        <v>825</v>
      </c>
      <c r="B200" s="28" t="s">
        <v>165</v>
      </c>
      <c r="C200" s="42" t="s">
        <v>826</v>
      </c>
      <c r="D200" s="42" t="s">
        <v>435</v>
      </c>
      <c r="E200" s="42" t="s">
        <v>162</v>
      </c>
      <c r="F200" s="28" t="s">
        <v>827</v>
      </c>
      <c r="G200" s="28">
        <v>22.0</v>
      </c>
      <c r="H200" s="66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2.75" customHeight="1">
      <c r="A201" s="28" t="s">
        <v>828</v>
      </c>
      <c r="B201" s="28" t="s">
        <v>165</v>
      </c>
      <c r="C201" s="42" t="s">
        <v>829</v>
      </c>
      <c r="D201" s="42" t="s">
        <v>161</v>
      </c>
      <c r="E201" s="42" t="s">
        <v>255</v>
      </c>
      <c r="F201" s="28" t="s">
        <v>830</v>
      </c>
      <c r="G201" s="28">
        <v>30.6</v>
      </c>
      <c r="H201" s="66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2.75" customHeight="1">
      <c r="A202" s="28" t="s">
        <v>636</v>
      </c>
      <c r="B202" s="28" t="s">
        <v>159</v>
      </c>
      <c r="C202" s="42" t="s">
        <v>831</v>
      </c>
      <c r="D202" s="42" t="s">
        <v>832</v>
      </c>
      <c r="E202" s="42" t="s">
        <v>833</v>
      </c>
      <c r="F202" s="28" t="s">
        <v>834</v>
      </c>
      <c r="G202" s="28">
        <v>28.2</v>
      </c>
      <c r="H202" s="66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2.75" customHeight="1">
      <c r="A203" s="28" t="s">
        <v>835</v>
      </c>
      <c r="B203" s="28" t="s">
        <v>165</v>
      </c>
      <c r="C203" s="42" t="s">
        <v>836</v>
      </c>
      <c r="D203" s="42" t="s">
        <v>837</v>
      </c>
      <c r="E203" s="42" t="s">
        <v>838</v>
      </c>
      <c r="F203" s="28" t="s">
        <v>839</v>
      </c>
      <c r="G203" s="28">
        <v>29.4</v>
      </c>
      <c r="H203" s="66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2.75" customHeight="1">
      <c r="A204" s="28" t="s">
        <v>265</v>
      </c>
      <c r="B204" s="28" t="s">
        <v>554</v>
      </c>
      <c r="C204" s="42" t="s">
        <v>840</v>
      </c>
      <c r="D204" s="42" t="s">
        <v>841</v>
      </c>
      <c r="E204" s="42" t="s">
        <v>162</v>
      </c>
      <c r="F204" s="28" t="s">
        <v>842</v>
      </c>
      <c r="G204" s="28">
        <v>23.9</v>
      </c>
      <c r="H204" s="66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2.75" customHeight="1">
      <c r="A205" s="28" t="s">
        <v>843</v>
      </c>
      <c r="B205" s="28" t="s">
        <v>159</v>
      </c>
      <c r="C205" s="42" t="s">
        <v>844</v>
      </c>
      <c r="D205" s="42" t="s">
        <v>240</v>
      </c>
      <c r="E205" s="42" t="s">
        <v>845</v>
      </c>
      <c r="F205" s="28" t="s">
        <v>846</v>
      </c>
      <c r="G205" s="28">
        <v>28.0</v>
      </c>
      <c r="H205" s="66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2.75" customHeight="1">
      <c r="A206" s="28" t="s">
        <v>847</v>
      </c>
      <c r="B206" s="28" t="s">
        <v>159</v>
      </c>
      <c r="C206" s="42" t="s">
        <v>848</v>
      </c>
      <c r="D206" s="42" t="s">
        <v>522</v>
      </c>
      <c r="E206" s="42" t="s">
        <v>162</v>
      </c>
      <c r="F206" s="28" t="s">
        <v>849</v>
      </c>
      <c r="G206" s="28">
        <v>29.3</v>
      </c>
      <c r="H206" s="66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2.75" customHeight="1">
      <c r="A207" s="28" t="s">
        <v>449</v>
      </c>
      <c r="B207" s="28" t="s">
        <v>165</v>
      </c>
      <c r="C207" s="42" t="s">
        <v>850</v>
      </c>
      <c r="D207" s="42" t="s">
        <v>851</v>
      </c>
      <c r="E207" s="42" t="s">
        <v>852</v>
      </c>
      <c r="F207" s="28" t="s">
        <v>853</v>
      </c>
      <c r="G207" s="28">
        <v>23.6</v>
      </c>
      <c r="H207" s="66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2.75" customHeight="1">
      <c r="A208" s="28" t="s">
        <v>854</v>
      </c>
      <c r="B208" s="28" t="s">
        <v>165</v>
      </c>
      <c r="C208" s="42" t="s">
        <v>855</v>
      </c>
      <c r="D208" s="42" t="s">
        <v>691</v>
      </c>
      <c r="E208" s="42" t="s">
        <v>653</v>
      </c>
      <c r="F208" s="28" t="s">
        <v>856</v>
      </c>
      <c r="G208" s="28">
        <v>24.5</v>
      </c>
      <c r="H208" s="66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2.75" customHeight="1">
      <c r="A209" s="28" t="s">
        <v>857</v>
      </c>
      <c r="B209" s="28" t="s">
        <v>165</v>
      </c>
      <c r="C209" s="42" t="s">
        <v>858</v>
      </c>
      <c r="D209" s="42" t="s">
        <v>459</v>
      </c>
      <c r="E209" s="42" t="s">
        <v>316</v>
      </c>
      <c r="F209" s="28" t="s">
        <v>859</v>
      </c>
      <c r="G209" s="28">
        <v>36.2</v>
      </c>
      <c r="H209" s="66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2.75" customHeight="1">
      <c r="A210" s="28" t="s">
        <v>860</v>
      </c>
      <c r="B210" s="28" t="s">
        <v>487</v>
      </c>
      <c r="C210" s="42" t="s">
        <v>861</v>
      </c>
      <c r="D210" s="42" t="s">
        <v>633</v>
      </c>
      <c r="E210" s="42" t="s">
        <v>862</v>
      </c>
      <c r="F210" s="28" t="s">
        <v>863</v>
      </c>
      <c r="G210" s="28">
        <v>42.7</v>
      </c>
      <c r="H210" s="66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2.75" customHeight="1">
      <c r="A211" s="28" t="s">
        <v>864</v>
      </c>
      <c r="B211" s="28" t="s">
        <v>165</v>
      </c>
      <c r="C211" s="42" t="s">
        <v>861</v>
      </c>
      <c r="D211" s="42" t="s">
        <v>586</v>
      </c>
      <c r="E211" s="42" t="s">
        <v>862</v>
      </c>
      <c r="F211" s="28" t="s">
        <v>865</v>
      </c>
      <c r="G211" s="28">
        <v>26.4</v>
      </c>
      <c r="H211" s="66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2.75" customHeight="1">
      <c r="A212" s="28" t="s">
        <v>382</v>
      </c>
      <c r="B212" s="28" t="s">
        <v>210</v>
      </c>
      <c r="C212" s="42" t="s">
        <v>866</v>
      </c>
      <c r="D212" s="42" t="s">
        <v>867</v>
      </c>
      <c r="E212" s="42" t="s">
        <v>156</v>
      </c>
      <c r="F212" s="28" t="s">
        <v>868</v>
      </c>
      <c r="G212" s="28">
        <v>27.7</v>
      </c>
      <c r="H212" s="66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2.75" customHeight="1">
      <c r="A213" s="28" t="s">
        <v>869</v>
      </c>
      <c r="B213" s="28" t="s">
        <v>159</v>
      </c>
      <c r="C213" s="42" t="s">
        <v>870</v>
      </c>
      <c r="D213" s="42" t="s">
        <v>516</v>
      </c>
      <c r="E213" s="42" t="s">
        <v>769</v>
      </c>
      <c r="F213" s="28" t="s">
        <v>355</v>
      </c>
      <c r="G213" s="28">
        <v>29.9</v>
      </c>
      <c r="H213" s="66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2.75" customHeight="1">
      <c r="A214" s="28" t="s">
        <v>871</v>
      </c>
      <c r="B214" s="28" t="s">
        <v>210</v>
      </c>
      <c r="C214" s="42" t="s">
        <v>872</v>
      </c>
      <c r="D214" s="42" t="s">
        <v>873</v>
      </c>
      <c r="E214" s="42" t="s">
        <v>388</v>
      </c>
      <c r="F214" s="28" t="s">
        <v>874</v>
      </c>
      <c r="G214" s="28">
        <v>14.8</v>
      </c>
      <c r="H214" s="66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2.75" customHeight="1">
      <c r="A215" s="28" t="s">
        <v>875</v>
      </c>
      <c r="B215" s="28" t="s">
        <v>876</v>
      </c>
      <c r="C215" s="42" t="s">
        <v>877</v>
      </c>
      <c r="D215" s="42" t="s">
        <v>878</v>
      </c>
      <c r="E215" s="42" t="s">
        <v>650</v>
      </c>
      <c r="F215" s="28" t="s">
        <v>879</v>
      </c>
      <c r="G215" s="28">
        <v>24.6</v>
      </c>
      <c r="H215" s="66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2.75" customHeight="1">
      <c r="A216" s="28" t="s">
        <v>880</v>
      </c>
      <c r="B216" s="28" t="s">
        <v>165</v>
      </c>
      <c r="C216" s="42" t="s">
        <v>881</v>
      </c>
      <c r="D216" s="42" t="s">
        <v>633</v>
      </c>
      <c r="E216" s="42" t="s">
        <v>653</v>
      </c>
      <c r="F216" s="28" t="s">
        <v>882</v>
      </c>
      <c r="G216" s="28">
        <v>31.2</v>
      </c>
      <c r="H216" s="66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2.75" customHeight="1">
      <c r="A217" s="28" t="s">
        <v>883</v>
      </c>
      <c r="B217" s="28" t="s">
        <v>884</v>
      </c>
      <c r="C217" s="42" t="s">
        <v>885</v>
      </c>
      <c r="D217" s="42" t="s">
        <v>886</v>
      </c>
      <c r="E217" s="42" t="s">
        <v>887</v>
      </c>
      <c r="F217" s="28" t="s">
        <v>888</v>
      </c>
      <c r="G217" s="28">
        <v>42.4</v>
      </c>
      <c r="H217" s="66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2.75" customHeight="1">
      <c r="A218" s="28" t="s">
        <v>889</v>
      </c>
      <c r="B218" s="28" t="s">
        <v>165</v>
      </c>
      <c r="C218" s="42" t="s">
        <v>890</v>
      </c>
      <c r="D218" s="42" t="s">
        <v>799</v>
      </c>
      <c r="E218" s="42" t="s">
        <v>559</v>
      </c>
      <c r="F218" s="28" t="s">
        <v>891</v>
      </c>
      <c r="G218" s="28">
        <v>19.4</v>
      </c>
      <c r="H218" s="66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2.75" customHeight="1">
      <c r="A219" s="28" t="s">
        <v>773</v>
      </c>
      <c r="B219" s="28" t="s">
        <v>215</v>
      </c>
      <c r="C219" s="42" t="s">
        <v>892</v>
      </c>
      <c r="D219" s="42" t="s">
        <v>893</v>
      </c>
      <c r="E219" s="42" t="s">
        <v>894</v>
      </c>
      <c r="F219" s="28" t="s">
        <v>895</v>
      </c>
      <c r="G219" s="28">
        <v>30.8</v>
      </c>
      <c r="H219" s="66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2.75" customHeight="1">
      <c r="A220" s="28" t="s">
        <v>896</v>
      </c>
      <c r="B220" s="28" t="s">
        <v>497</v>
      </c>
      <c r="C220" s="42" t="s">
        <v>897</v>
      </c>
      <c r="D220" s="42" t="s">
        <v>190</v>
      </c>
      <c r="E220" s="42" t="s">
        <v>722</v>
      </c>
      <c r="F220" s="28" t="s">
        <v>898</v>
      </c>
      <c r="G220" s="28">
        <v>25.4</v>
      </c>
      <c r="H220" s="66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2.75" customHeight="1">
      <c r="A221" s="28" t="s">
        <v>896</v>
      </c>
      <c r="B221" s="28" t="s">
        <v>554</v>
      </c>
      <c r="C221" s="42" t="s">
        <v>897</v>
      </c>
      <c r="D221" s="42" t="s">
        <v>899</v>
      </c>
      <c r="E221" s="42" t="s">
        <v>722</v>
      </c>
      <c r="F221" s="28" t="s">
        <v>900</v>
      </c>
      <c r="G221" s="28">
        <v>27.7</v>
      </c>
      <c r="H221" s="66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2.75" customHeight="1">
      <c r="A222" s="28" t="s">
        <v>901</v>
      </c>
      <c r="B222" s="28" t="s">
        <v>210</v>
      </c>
      <c r="C222" s="42" t="s">
        <v>897</v>
      </c>
      <c r="D222" s="42" t="s">
        <v>902</v>
      </c>
      <c r="E222" s="42" t="s">
        <v>722</v>
      </c>
      <c r="F222" s="28" t="s">
        <v>903</v>
      </c>
      <c r="G222" s="28">
        <v>21.6</v>
      </c>
      <c r="H222" s="66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2.75" customHeight="1">
      <c r="A223" s="28" t="s">
        <v>382</v>
      </c>
      <c r="B223" s="28" t="s">
        <v>210</v>
      </c>
      <c r="C223" s="42" t="s">
        <v>904</v>
      </c>
      <c r="D223" s="42" t="s">
        <v>905</v>
      </c>
      <c r="E223" s="42" t="s">
        <v>722</v>
      </c>
      <c r="F223" s="28" t="s">
        <v>906</v>
      </c>
      <c r="G223" s="28">
        <v>21.8</v>
      </c>
      <c r="H223" s="66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2.75" customHeight="1">
      <c r="A224" s="28" t="s">
        <v>907</v>
      </c>
      <c r="B224" s="28" t="s">
        <v>159</v>
      </c>
      <c r="C224" s="42" t="s">
        <v>908</v>
      </c>
      <c r="D224" s="42" t="s">
        <v>586</v>
      </c>
      <c r="E224" s="42" t="s">
        <v>322</v>
      </c>
      <c r="F224" s="28" t="s">
        <v>909</v>
      </c>
      <c r="G224" s="28">
        <v>36.2</v>
      </c>
      <c r="H224" s="66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2.75" customHeight="1">
      <c r="A225" s="28" t="s">
        <v>843</v>
      </c>
      <c r="B225" s="28" t="s">
        <v>554</v>
      </c>
      <c r="C225" s="42" t="s">
        <v>908</v>
      </c>
      <c r="D225" s="42" t="s">
        <v>586</v>
      </c>
      <c r="E225" s="42" t="s">
        <v>460</v>
      </c>
      <c r="F225" s="28" t="s">
        <v>910</v>
      </c>
      <c r="G225" s="28">
        <v>27.1</v>
      </c>
      <c r="H225" s="66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2.75" customHeight="1">
      <c r="A226" s="28" t="s">
        <v>911</v>
      </c>
      <c r="B226" s="28" t="s">
        <v>153</v>
      </c>
      <c r="C226" s="42" t="s">
        <v>912</v>
      </c>
      <c r="D226" s="42" t="s">
        <v>913</v>
      </c>
      <c r="E226" s="42" t="s">
        <v>162</v>
      </c>
      <c r="F226" s="28" t="s">
        <v>914</v>
      </c>
      <c r="G226" s="28">
        <v>17.0</v>
      </c>
      <c r="H226" s="66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2.75" customHeight="1">
      <c r="A227" s="28" t="s">
        <v>915</v>
      </c>
      <c r="B227" s="28" t="s">
        <v>165</v>
      </c>
      <c r="C227" s="42" t="s">
        <v>916</v>
      </c>
      <c r="D227" s="42" t="s">
        <v>917</v>
      </c>
      <c r="E227" s="42" t="s">
        <v>162</v>
      </c>
      <c r="F227" s="28" t="s">
        <v>918</v>
      </c>
      <c r="G227" s="28">
        <v>23.9</v>
      </c>
      <c r="H227" s="66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2.75" customHeight="1">
      <c r="A228" s="28" t="s">
        <v>919</v>
      </c>
      <c r="B228" s="28" t="s">
        <v>210</v>
      </c>
      <c r="C228" s="42" t="s">
        <v>920</v>
      </c>
      <c r="D228" s="42" t="s">
        <v>921</v>
      </c>
      <c r="E228" s="42" t="s">
        <v>162</v>
      </c>
      <c r="F228" s="28" t="s">
        <v>922</v>
      </c>
      <c r="G228" s="28">
        <v>20.8</v>
      </c>
      <c r="H228" s="66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2.75" customHeight="1">
      <c r="A229" s="28" t="s">
        <v>923</v>
      </c>
      <c r="B229" s="28" t="s">
        <v>210</v>
      </c>
      <c r="C229" s="42" t="s">
        <v>920</v>
      </c>
      <c r="D229" s="42" t="s">
        <v>796</v>
      </c>
      <c r="E229" s="42" t="s">
        <v>162</v>
      </c>
      <c r="F229" s="28" t="s">
        <v>924</v>
      </c>
      <c r="G229" s="28">
        <v>21.2</v>
      </c>
      <c r="H229" s="66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2.75" customHeight="1">
      <c r="A230" s="28" t="s">
        <v>925</v>
      </c>
      <c r="B230" s="28" t="s">
        <v>210</v>
      </c>
      <c r="C230" s="42" t="s">
        <v>920</v>
      </c>
      <c r="D230" s="42" t="s">
        <v>813</v>
      </c>
      <c r="E230" s="42" t="s">
        <v>926</v>
      </c>
      <c r="F230" s="28" t="s">
        <v>927</v>
      </c>
      <c r="G230" s="28">
        <v>18.9</v>
      </c>
      <c r="H230" s="66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2.75" customHeight="1">
      <c r="A231" s="28" t="s">
        <v>928</v>
      </c>
      <c r="B231" s="28" t="s">
        <v>210</v>
      </c>
      <c r="C231" s="42" t="s">
        <v>920</v>
      </c>
      <c r="D231" s="42" t="s">
        <v>326</v>
      </c>
      <c r="E231" s="42" t="s">
        <v>926</v>
      </c>
      <c r="F231" s="28" t="s">
        <v>929</v>
      </c>
      <c r="G231" s="28">
        <v>19.1</v>
      </c>
      <c r="H231" s="66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2.75" customHeight="1">
      <c r="A232" s="28" t="s">
        <v>919</v>
      </c>
      <c r="B232" s="28" t="s">
        <v>165</v>
      </c>
      <c r="C232" s="42" t="s">
        <v>930</v>
      </c>
      <c r="D232" s="42" t="s">
        <v>558</v>
      </c>
      <c r="E232" s="42" t="s">
        <v>162</v>
      </c>
      <c r="F232" s="28" t="s">
        <v>931</v>
      </c>
      <c r="G232" s="28">
        <v>19.0</v>
      </c>
      <c r="H232" s="66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2.75" customHeight="1">
      <c r="A233" s="28" t="s">
        <v>919</v>
      </c>
      <c r="B233" s="28" t="s">
        <v>165</v>
      </c>
      <c r="C233" s="42" t="s">
        <v>930</v>
      </c>
      <c r="D233" s="42" t="s">
        <v>240</v>
      </c>
      <c r="E233" s="42" t="s">
        <v>162</v>
      </c>
      <c r="F233" s="28" t="s">
        <v>922</v>
      </c>
      <c r="G233" s="28">
        <v>20.8</v>
      </c>
      <c r="H233" s="66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2.75" customHeight="1">
      <c r="A234" s="28" t="s">
        <v>919</v>
      </c>
      <c r="B234" s="28" t="s">
        <v>165</v>
      </c>
      <c r="C234" s="42" t="s">
        <v>930</v>
      </c>
      <c r="D234" s="42" t="s">
        <v>932</v>
      </c>
      <c r="E234" s="42" t="s">
        <v>162</v>
      </c>
      <c r="F234" s="28" t="s">
        <v>933</v>
      </c>
      <c r="G234" s="28">
        <v>21.2</v>
      </c>
      <c r="H234" s="66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2.75" customHeight="1">
      <c r="A235" s="28" t="s">
        <v>923</v>
      </c>
      <c r="B235" s="28" t="s">
        <v>165</v>
      </c>
      <c r="C235" s="42" t="s">
        <v>930</v>
      </c>
      <c r="D235" s="42" t="s">
        <v>198</v>
      </c>
      <c r="E235" s="42" t="s">
        <v>162</v>
      </c>
      <c r="F235" s="28" t="s">
        <v>934</v>
      </c>
      <c r="G235" s="28">
        <v>22.7</v>
      </c>
      <c r="H235" s="66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2.75" customHeight="1">
      <c r="A236" s="28" t="s">
        <v>551</v>
      </c>
      <c r="B236" s="28" t="s">
        <v>159</v>
      </c>
      <c r="C236" s="42" t="s">
        <v>930</v>
      </c>
      <c r="D236" s="42" t="s">
        <v>198</v>
      </c>
      <c r="E236" s="42" t="s">
        <v>162</v>
      </c>
      <c r="F236" s="28" t="s">
        <v>935</v>
      </c>
      <c r="G236" s="28">
        <v>27.3</v>
      </c>
      <c r="H236" s="66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2.75" customHeight="1">
      <c r="A237" s="28" t="s">
        <v>936</v>
      </c>
      <c r="B237" s="28" t="s">
        <v>165</v>
      </c>
      <c r="C237" s="42" t="s">
        <v>930</v>
      </c>
      <c r="D237" s="42" t="s">
        <v>286</v>
      </c>
      <c r="E237" s="42" t="s">
        <v>926</v>
      </c>
      <c r="F237" s="28" t="s">
        <v>937</v>
      </c>
      <c r="G237" s="28">
        <v>19.0</v>
      </c>
      <c r="H237" s="66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2.75" customHeight="1">
      <c r="A238" s="28" t="s">
        <v>480</v>
      </c>
      <c r="B238" s="28" t="s">
        <v>165</v>
      </c>
      <c r="C238" s="42" t="s">
        <v>938</v>
      </c>
      <c r="D238" s="42" t="s">
        <v>939</v>
      </c>
      <c r="E238" s="42" t="s">
        <v>940</v>
      </c>
      <c r="F238" s="28" t="s">
        <v>941</v>
      </c>
      <c r="G238" s="28">
        <v>36.3</v>
      </c>
      <c r="H238" s="66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2.75" customHeight="1">
      <c r="A239" s="28" t="s">
        <v>942</v>
      </c>
      <c r="B239" s="28" t="s">
        <v>165</v>
      </c>
      <c r="C239" s="42" t="s">
        <v>943</v>
      </c>
      <c r="D239" s="42" t="s">
        <v>401</v>
      </c>
      <c r="E239" s="42" t="s">
        <v>650</v>
      </c>
      <c r="F239" s="28" t="s">
        <v>944</v>
      </c>
      <c r="G239" s="28">
        <v>23.2</v>
      </c>
      <c r="H239" s="66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2.75" customHeight="1">
      <c r="A240" s="28" t="s">
        <v>152</v>
      </c>
      <c r="B240" s="28" t="s">
        <v>497</v>
      </c>
      <c r="C240" s="42" t="s">
        <v>945</v>
      </c>
      <c r="D240" s="42" t="s">
        <v>946</v>
      </c>
      <c r="E240" s="42" t="s">
        <v>156</v>
      </c>
      <c r="F240" s="28" t="s">
        <v>947</v>
      </c>
      <c r="G240" s="28">
        <v>17.8</v>
      </c>
      <c r="H240" s="66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2.75" customHeight="1">
      <c r="A241" s="28" t="s">
        <v>152</v>
      </c>
      <c r="B241" s="28" t="s">
        <v>219</v>
      </c>
      <c r="C241" s="42" t="s">
        <v>945</v>
      </c>
      <c r="D241" s="42" t="s">
        <v>642</v>
      </c>
      <c r="E241" s="42" t="s">
        <v>156</v>
      </c>
      <c r="F241" s="28" t="s">
        <v>948</v>
      </c>
      <c r="G241" s="28">
        <v>17.7</v>
      </c>
      <c r="H241" s="66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2.75" customHeight="1">
      <c r="A242" s="28" t="s">
        <v>433</v>
      </c>
      <c r="B242" s="28" t="s">
        <v>602</v>
      </c>
      <c r="C242" s="42" t="s">
        <v>949</v>
      </c>
      <c r="D242" s="42" t="s">
        <v>837</v>
      </c>
      <c r="E242" s="42" t="s">
        <v>559</v>
      </c>
      <c r="F242" s="28" t="s">
        <v>950</v>
      </c>
      <c r="G242" s="28">
        <v>33.8</v>
      </c>
      <c r="H242" s="66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2.75" customHeight="1">
      <c r="A243" s="28" t="s">
        <v>951</v>
      </c>
      <c r="B243" s="28" t="s">
        <v>165</v>
      </c>
      <c r="C243" s="42" t="s">
        <v>952</v>
      </c>
      <c r="D243" s="42" t="s">
        <v>240</v>
      </c>
      <c r="E243" s="42" t="s">
        <v>162</v>
      </c>
      <c r="F243" s="28" t="s">
        <v>953</v>
      </c>
      <c r="G243" s="28">
        <v>31.2</v>
      </c>
      <c r="H243" s="66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2.75" customHeight="1">
      <c r="A244" s="28" t="s">
        <v>734</v>
      </c>
      <c r="B244" s="28" t="s">
        <v>159</v>
      </c>
      <c r="C244" s="42" t="s">
        <v>954</v>
      </c>
      <c r="D244" s="42" t="s">
        <v>955</v>
      </c>
      <c r="E244" s="42" t="s">
        <v>956</v>
      </c>
      <c r="F244" s="28" t="s">
        <v>957</v>
      </c>
      <c r="G244" s="28">
        <v>26.9</v>
      </c>
      <c r="H244" s="66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2.75" customHeight="1">
      <c r="A245" s="28" t="s">
        <v>729</v>
      </c>
      <c r="B245" s="28" t="s">
        <v>159</v>
      </c>
      <c r="C245" s="42" t="s">
        <v>958</v>
      </c>
      <c r="D245" s="42" t="s">
        <v>435</v>
      </c>
      <c r="E245" s="42" t="s">
        <v>156</v>
      </c>
      <c r="F245" s="28" t="s">
        <v>959</v>
      </c>
      <c r="G245" s="28">
        <v>25.3</v>
      </c>
      <c r="H245" s="66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2.75" customHeight="1">
      <c r="A246" s="28" t="s">
        <v>960</v>
      </c>
      <c r="B246" s="28" t="s">
        <v>219</v>
      </c>
      <c r="C246" s="42" t="s">
        <v>961</v>
      </c>
      <c r="D246" s="42" t="s">
        <v>518</v>
      </c>
      <c r="E246" s="42" t="s">
        <v>162</v>
      </c>
      <c r="F246" s="28" t="s">
        <v>962</v>
      </c>
      <c r="G246" s="28">
        <v>18.9</v>
      </c>
      <c r="H246" s="66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2.75" customHeight="1">
      <c r="A247" s="28" t="s">
        <v>963</v>
      </c>
      <c r="B247" s="28" t="s">
        <v>210</v>
      </c>
      <c r="C247" s="42" t="s">
        <v>964</v>
      </c>
      <c r="D247" s="42" t="s">
        <v>965</v>
      </c>
      <c r="E247" s="42" t="s">
        <v>162</v>
      </c>
      <c r="F247" s="28" t="s">
        <v>966</v>
      </c>
      <c r="G247" s="28">
        <v>23.9</v>
      </c>
      <c r="H247" s="66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2.75" customHeight="1">
      <c r="A248" s="28" t="s">
        <v>253</v>
      </c>
      <c r="B248" s="28" t="s">
        <v>210</v>
      </c>
      <c r="C248" s="42" t="s">
        <v>967</v>
      </c>
      <c r="D248" s="42" t="s">
        <v>326</v>
      </c>
      <c r="E248" s="42" t="s">
        <v>162</v>
      </c>
      <c r="F248" s="28" t="s">
        <v>968</v>
      </c>
      <c r="G248" s="28">
        <v>19.3</v>
      </c>
      <c r="H248" s="66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2.75" customHeight="1">
      <c r="A249" s="28" t="s">
        <v>969</v>
      </c>
      <c r="B249" s="28" t="s">
        <v>673</v>
      </c>
      <c r="C249" s="42" t="s">
        <v>967</v>
      </c>
      <c r="D249" s="42" t="s">
        <v>796</v>
      </c>
      <c r="E249" s="42" t="s">
        <v>307</v>
      </c>
      <c r="F249" s="28" t="s">
        <v>970</v>
      </c>
      <c r="G249" s="28">
        <v>25.9</v>
      </c>
      <c r="H249" s="66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2.75" customHeight="1">
      <c r="A250" s="28" t="s">
        <v>573</v>
      </c>
      <c r="B250" s="28" t="s">
        <v>165</v>
      </c>
      <c r="C250" s="42" t="s">
        <v>971</v>
      </c>
      <c r="D250" s="42" t="s">
        <v>251</v>
      </c>
      <c r="E250" s="42" t="s">
        <v>972</v>
      </c>
      <c r="F250" s="28" t="s">
        <v>973</v>
      </c>
      <c r="G250" s="28">
        <v>29.9</v>
      </c>
      <c r="H250" s="66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2.75" customHeight="1">
      <c r="A251" s="28" t="s">
        <v>196</v>
      </c>
      <c r="B251" s="28" t="s">
        <v>165</v>
      </c>
      <c r="C251" s="42" t="s">
        <v>971</v>
      </c>
      <c r="D251" s="42" t="s">
        <v>642</v>
      </c>
      <c r="E251" s="42" t="s">
        <v>974</v>
      </c>
      <c r="F251" s="28" t="s">
        <v>975</v>
      </c>
      <c r="G251" s="28">
        <v>33.6</v>
      </c>
      <c r="H251" s="66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2.75" customHeight="1">
      <c r="A252" s="28" t="s">
        <v>585</v>
      </c>
      <c r="B252" s="28" t="s">
        <v>215</v>
      </c>
      <c r="C252" s="42" t="s">
        <v>971</v>
      </c>
      <c r="D252" s="42" t="s">
        <v>976</v>
      </c>
      <c r="E252" s="42" t="s">
        <v>162</v>
      </c>
      <c r="F252" s="28" t="s">
        <v>977</v>
      </c>
      <c r="G252" s="28">
        <v>20.2</v>
      </c>
      <c r="H252" s="66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2.75" customHeight="1">
      <c r="A253" s="28" t="s">
        <v>412</v>
      </c>
      <c r="B253" s="28" t="s">
        <v>219</v>
      </c>
      <c r="C253" s="42" t="s">
        <v>971</v>
      </c>
      <c r="D253" s="42" t="s">
        <v>522</v>
      </c>
      <c r="E253" s="42" t="s">
        <v>162</v>
      </c>
      <c r="F253" s="28" t="s">
        <v>978</v>
      </c>
      <c r="G253" s="28">
        <v>28.4</v>
      </c>
      <c r="H253" s="66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2.75" customHeight="1">
      <c r="A254" s="28" t="s">
        <v>979</v>
      </c>
      <c r="B254" s="28" t="s">
        <v>165</v>
      </c>
      <c r="C254" s="42" t="s">
        <v>971</v>
      </c>
      <c r="D254" s="42" t="s">
        <v>447</v>
      </c>
      <c r="E254" s="42" t="s">
        <v>162</v>
      </c>
      <c r="F254" s="28" t="s">
        <v>980</v>
      </c>
      <c r="G254" s="28">
        <v>32.6</v>
      </c>
      <c r="H254" s="66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2.75" customHeight="1">
      <c r="A255" s="28" t="s">
        <v>573</v>
      </c>
      <c r="B255" s="28" t="s">
        <v>165</v>
      </c>
      <c r="C255" s="42" t="s">
        <v>981</v>
      </c>
      <c r="D255" s="42" t="s">
        <v>558</v>
      </c>
      <c r="E255" s="42" t="s">
        <v>156</v>
      </c>
      <c r="F255" s="28" t="s">
        <v>982</v>
      </c>
      <c r="G255" s="28">
        <v>23.1</v>
      </c>
      <c r="H255" s="66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2.75" customHeight="1">
      <c r="A256" s="28" t="s">
        <v>442</v>
      </c>
      <c r="B256" s="28" t="s">
        <v>165</v>
      </c>
      <c r="C256" s="42" t="s">
        <v>983</v>
      </c>
      <c r="D256" s="42" t="s">
        <v>240</v>
      </c>
      <c r="E256" s="42" t="s">
        <v>156</v>
      </c>
      <c r="F256" s="28" t="s">
        <v>984</v>
      </c>
      <c r="G256" s="28">
        <v>22.8</v>
      </c>
      <c r="H256" s="66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2.75" customHeight="1">
      <c r="A257" s="28" t="s">
        <v>985</v>
      </c>
      <c r="B257" s="28" t="s">
        <v>165</v>
      </c>
      <c r="C257" s="42" t="s">
        <v>986</v>
      </c>
      <c r="D257" s="42" t="s">
        <v>633</v>
      </c>
      <c r="E257" s="42" t="s">
        <v>987</v>
      </c>
      <c r="F257" s="28" t="s">
        <v>988</v>
      </c>
      <c r="G257" s="28">
        <v>30.2</v>
      </c>
      <c r="H257" s="66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2.75" customHeight="1">
      <c r="A258" s="28" t="s">
        <v>179</v>
      </c>
      <c r="B258" s="28" t="s">
        <v>165</v>
      </c>
      <c r="C258" s="42" t="s">
        <v>989</v>
      </c>
      <c r="D258" s="42" t="s">
        <v>447</v>
      </c>
      <c r="E258" s="42" t="s">
        <v>715</v>
      </c>
      <c r="F258" s="28" t="s">
        <v>990</v>
      </c>
      <c r="G258" s="28">
        <v>20.6</v>
      </c>
      <c r="H258" s="66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2.75" customHeight="1">
      <c r="A259" s="28" t="s">
        <v>566</v>
      </c>
      <c r="B259" s="28" t="s">
        <v>219</v>
      </c>
      <c r="C259" s="42" t="s">
        <v>991</v>
      </c>
      <c r="D259" s="42" t="s">
        <v>171</v>
      </c>
      <c r="E259" s="42" t="s">
        <v>162</v>
      </c>
      <c r="F259" s="28" t="s">
        <v>992</v>
      </c>
      <c r="G259" s="28">
        <v>26.3</v>
      </c>
      <c r="H259" s="66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2.75" customHeight="1">
      <c r="A260" s="28" t="s">
        <v>993</v>
      </c>
      <c r="B260" s="28" t="s">
        <v>210</v>
      </c>
      <c r="C260" s="42" t="s">
        <v>994</v>
      </c>
      <c r="D260" s="42" t="s">
        <v>995</v>
      </c>
      <c r="E260" s="42" t="s">
        <v>156</v>
      </c>
      <c r="F260" s="28" t="s">
        <v>996</v>
      </c>
      <c r="G260" s="28">
        <v>19.0</v>
      </c>
      <c r="H260" s="66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2.75" customHeight="1">
      <c r="A261" s="28" t="s">
        <v>997</v>
      </c>
      <c r="B261" s="28" t="s">
        <v>210</v>
      </c>
      <c r="C261" s="42" t="s">
        <v>998</v>
      </c>
      <c r="D261" s="42" t="s">
        <v>999</v>
      </c>
      <c r="E261" s="42" t="s">
        <v>162</v>
      </c>
      <c r="F261" s="28" t="s">
        <v>1000</v>
      </c>
      <c r="G261" s="28">
        <v>19.9</v>
      </c>
      <c r="H261" s="66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2.75" customHeight="1">
      <c r="A262" s="28" t="s">
        <v>1001</v>
      </c>
      <c r="B262" s="28" t="s">
        <v>165</v>
      </c>
      <c r="C262" s="42" t="s">
        <v>1002</v>
      </c>
      <c r="D262" s="42" t="s">
        <v>1003</v>
      </c>
      <c r="E262" s="42" t="s">
        <v>162</v>
      </c>
      <c r="F262" s="28" t="s">
        <v>1004</v>
      </c>
      <c r="G262" s="28">
        <v>20.3</v>
      </c>
      <c r="H262" s="66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2.75" customHeight="1">
      <c r="A263" s="28" t="s">
        <v>231</v>
      </c>
      <c r="B263" s="28" t="s">
        <v>165</v>
      </c>
      <c r="C263" s="42" t="s">
        <v>1005</v>
      </c>
      <c r="D263" s="42" t="s">
        <v>270</v>
      </c>
      <c r="E263" s="42" t="s">
        <v>1006</v>
      </c>
      <c r="F263" s="28" t="s">
        <v>1007</v>
      </c>
      <c r="G263" s="28">
        <v>25.9</v>
      </c>
      <c r="H263" s="66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2.75" customHeight="1">
      <c r="A264" s="28" t="s">
        <v>390</v>
      </c>
      <c r="B264" s="28" t="s">
        <v>159</v>
      </c>
      <c r="C264" s="42" t="s">
        <v>1008</v>
      </c>
      <c r="D264" s="42" t="s">
        <v>401</v>
      </c>
      <c r="E264" s="42" t="s">
        <v>162</v>
      </c>
      <c r="F264" s="28" t="s">
        <v>1009</v>
      </c>
      <c r="G264" s="28">
        <v>25.9</v>
      </c>
      <c r="H264" s="66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2.75" customHeight="1">
      <c r="A265" s="28" t="s">
        <v>1010</v>
      </c>
      <c r="B265" s="28" t="s">
        <v>165</v>
      </c>
      <c r="C265" s="42" t="s">
        <v>1011</v>
      </c>
      <c r="D265" s="42" t="s">
        <v>1012</v>
      </c>
      <c r="E265" s="42" t="s">
        <v>564</v>
      </c>
      <c r="F265" s="28" t="s">
        <v>1013</v>
      </c>
      <c r="G265" s="28">
        <v>28.8</v>
      </c>
      <c r="H265" s="66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2.75" customHeight="1">
      <c r="A266" s="28" t="s">
        <v>672</v>
      </c>
      <c r="B266" s="28" t="s">
        <v>153</v>
      </c>
      <c r="C266" s="42" t="s">
        <v>1014</v>
      </c>
      <c r="D266" s="42" t="s">
        <v>630</v>
      </c>
      <c r="E266" s="42" t="s">
        <v>162</v>
      </c>
      <c r="F266" s="28" t="s">
        <v>1015</v>
      </c>
      <c r="G266" s="28">
        <v>19.3</v>
      </c>
      <c r="H266" s="66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2.75" customHeight="1">
      <c r="A267" s="28" t="s">
        <v>1016</v>
      </c>
      <c r="B267" s="28" t="s">
        <v>210</v>
      </c>
      <c r="C267" s="42" t="s">
        <v>1017</v>
      </c>
      <c r="D267" s="42" t="s">
        <v>1018</v>
      </c>
      <c r="E267" s="42" t="s">
        <v>1019</v>
      </c>
      <c r="F267" s="28" t="s">
        <v>1020</v>
      </c>
      <c r="G267" s="28">
        <v>24.3</v>
      </c>
      <c r="H267" s="66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2.75" customHeight="1">
      <c r="A268" s="28" t="s">
        <v>158</v>
      </c>
      <c r="B268" s="28" t="s">
        <v>219</v>
      </c>
      <c r="C268" s="42" t="s">
        <v>1021</v>
      </c>
      <c r="D268" s="42" t="s">
        <v>354</v>
      </c>
      <c r="E268" s="42" t="s">
        <v>1019</v>
      </c>
      <c r="F268" s="28" t="s">
        <v>1022</v>
      </c>
      <c r="G268" s="28">
        <v>32.5</v>
      </c>
      <c r="H268" s="66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2.75" customHeight="1">
      <c r="A269" s="28" t="s">
        <v>667</v>
      </c>
      <c r="B269" s="28" t="s">
        <v>153</v>
      </c>
      <c r="C269" s="42" t="s">
        <v>1023</v>
      </c>
      <c r="D269" s="42" t="s">
        <v>1024</v>
      </c>
      <c r="E269" s="42" t="s">
        <v>255</v>
      </c>
      <c r="F269" s="28" t="s">
        <v>1025</v>
      </c>
      <c r="G269" s="28">
        <v>17.3</v>
      </c>
      <c r="H269" s="66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2.75" customHeight="1">
      <c r="A270" s="28" t="s">
        <v>382</v>
      </c>
      <c r="B270" s="28" t="s">
        <v>210</v>
      </c>
      <c r="C270" s="42" t="s">
        <v>1026</v>
      </c>
      <c r="D270" s="42" t="s">
        <v>1027</v>
      </c>
      <c r="E270" s="42" t="s">
        <v>1028</v>
      </c>
      <c r="F270" s="28" t="s">
        <v>1029</v>
      </c>
      <c r="G270" s="28">
        <v>20.7</v>
      </c>
      <c r="H270" s="66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2.75" customHeight="1">
      <c r="A271" s="28" t="s">
        <v>583</v>
      </c>
      <c r="B271" s="28" t="s">
        <v>219</v>
      </c>
      <c r="C271" s="42" t="s">
        <v>1030</v>
      </c>
      <c r="D271" s="42" t="s">
        <v>435</v>
      </c>
      <c r="E271" s="42" t="s">
        <v>162</v>
      </c>
      <c r="F271" s="28" t="s">
        <v>1031</v>
      </c>
      <c r="G271" s="28">
        <v>27.8</v>
      </c>
      <c r="H271" s="66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2.75" customHeight="1">
      <c r="A272" s="28" t="s">
        <v>1032</v>
      </c>
      <c r="B272" s="28" t="s">
        <v>463</v>
      </c>
      <c r="C272" s="42" t="s">
        <v>832</v>
      </c>
      <c r="D272" s="42" t="s">
        <v>224</v>
      </c>
      <c r="E272" s="42" t="s">
        <v>307</v>
      </c>
      <c r="F272" s="28" t="s">
        <v>1033</v>
      </c>
      <c r="G272" s="28">
        <v>39.9</v>
      </c>
      <c r="H272" s="66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2.75" customHeight="1">
      <c r="A273" s="28" t="s">
        <v>960</v>
      </c>
      <c r="B273" s="28" t="s">
        <v>497</v>
      </c>
      <c r="C273" s="42" t="s">
        <v>1034</v>
      </c>
      <c r="D273" s="42" t="s">
        <v>240</v>
      </c>
      <c r="E273" s="42" t="s">
        <v>1035</v>
      </c>
      <c r="F273" s="28" t="s">
        <v>448</v>
      </c>
      <c r="G273" s="28">
        <v>30.0</v>
      </c>
      <c r="H273" s="66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2.75" customHeight="1">
      <c r="A274" s="28" t="s">
        <v>1036</v>
      </c>
      <c r="B274" s="28" t="s">
        <v>497</v>
      </c>
      <c r="C274" s="42" t="s">
        <v>1034</v>
      </c>
      <c r="D274" s="42" t="s">
        <v>240</v>
      </c>
      <c r="E274" s="42" t="s">
        <v>1035</v>
      </c>
      <c r="F274" s="28" t="s">
        <v>1037</v>
      </c>
      <c r="G274" s="28">
        <v>27.4</v>
      </c>
      <c r="H274" s="66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2.75" customHeight="1">
      <c r="A275" s="28" t="s">
        <v>1038</v>
      </c>
      <c r="B275" s="28" t="s">
        <v>165</v>
      </c>
      <c r="C275" s="42" t="s">
        <v>1039</v>
      </c>
      <c r="D275" s="42" t="s">
        <v>198</v>
      </c>
      <c r="E275" s="42" t="s">
        <v>650</v>
      </c>
      <c r="F275" s="28" t="s">
        <v>1040</v>
      </c>
      <c r="G275" s="28">
        <v>28.3</v>
      </c>
      <c r="H275" s="66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2.75" customHeight="1">
      <c r="A276" s="28" t="s">
        <v>253</v>
      </c>
      <c r="B276" s="28" t="s">
        <v>165</v>
      </c>
      <c r="C276" s="42" t="s">
        <v>1041</v>
      </c>
      <c r="D276" s="42" t="s">
        <v>955</v>
      </c>
      <c r="E276" s="42" t="s">
        <v>162</v>
      </c>
      <c r="F276" s="28" t="s">
        <v>1042</v>
      </c>
      <c r="G276" s="28">
        <v>29.4</v>
      </c>
      <c r="H276" s="66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2.75" customHeight="1">
      <c r="A277" s="28" t="s">
        <v>573</v>
      </c>
      <c r="B277" s="28" t="s">
        <v>165</v>
      </c>
      <c r="C277" s="42" t="s">
        <v>1043</v>
      </c>
      <c r="D277" s="42" t="s">
        <v>1044</v>
      </c>
      <c r="E277" s="42" t="s">
        <v>156</v>
      </c>
      <c r="F277" s="28" t="s">
        <v>1045</v>
      </c>
      <c r="G277" s="28">
        <v>25.8</v>
      </c>
      <c r="H277" s="66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2.75" customHeight="1">
      <c r="A278" s="28" t="s">
        <v>1046</v>
      </c>
      <c r="B278" s="28" t="s">
        <v>210</v>
      </c>
      <c r="C278" s="42" t="s">
        <v>1047</v>
      </c>
      <c r="D278" s="42" t="s">
        <v>1048</v>
      </c>
      <c r="E278" s="42" t="s">
        <v>653</v>
      </c>
      <c r="F278" s="28" t="s">
        <v>1049</v>
      </c>
      <c r="G278" s="28">
        <v>24.0</v>
      </c>
      <c r="H278" s="66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2.75" customHeight="1">
      <c r="A279" s="28" t="s">
        <v>1050</v>
      </c>
      <c r="B279" s="28" t="s">
        <v>165</v>
      </c>
      <c r="C279" s="42" t="s">
        <v>1051</v>
      </c>
      <c r="D279" s="42" t="s">
        <v>832</v>
      </c>
      <c r="E279" s="42" t="s">
        <v>653</v>
      </c>
      <c r="F279" s="28" t="s">
        <v>1052</v>
      </c>
      <c r="G279" s="28">
        <v>21.7</v>
      </c>
      <c r="H279" s="66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2.75" customHeight="1">
      <c r="A280" s="28" t="s">
        <v>1053</v>
      </c>
      <c r="B280" s="28" t="s">
        <v>165</v>
      </c>
      <c r="C280" s="42" t="s">
        <v>1054</v>
      </c>
      <c r="D280" s="42" t="s">
        <v>321</v>
      </c>
      <c r="E280" s="42" t="s">
        <v>156</v>
      </c>
      <c r="F280" s="28" t="s">
        <v>1055</v>
      </c>
      <c r="G280" s="28">
        <v>28.4</v>
      </c>
      <c r="H280" s="66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2.75" customHeight="1">
      <c r="A281" s="28" t="s">
        <v>1056</v>
      </c>
      <c r="B281" s="28" t="s">
        <v>210</v>
      </c>
      <c r="C281" s="42" t="s">
        <v>1057</v>
      </c>
      <c r="D281" s="42" t="s">
        <v>1058</v>
      </c>
      <c r="E281" s="42" t="s">
        <v>156</v>
      </c>
      <c r="F281" s="28" t="s">
        <v>1059</v>
      </c>
      <c r="G281" s="28">
        <v>22.7</v>
      </c>
      <c r="H281" s="66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2.75" customHeight="1">
      <c r="A282" s="28" t="s">
        <v>847</v>
      </c>
      <c r="B282" s="28" t="s">
        <v>159</v>
      </c>
      <c r="C282" s="42" t="s">
        <v>1060</v>
      </c>
      <c r="D282" s="42" t="s">
        <v>939</v>
      </c>
      <c r="E282" s="42" t="s">
        <v>162</v>
      </c>
      <c r="F282" s="28" t="s">
        <v>1061</v>
      </c>
      <c r="G282" s="28">
        <v>29.2</v>
      </c>
      <c r="H282" s="66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2.75" customHeight="1">
      <c r="A283" s="28" t="s">
        <v>382</v>
      </c>
      <c r="B283" s="28" t="s">
        <v>210</v>
      </c>
      <c r="C283" s="42" t="s">
        <v>1062</v>
      </c>
      <c r="D283" s="42" t="s">
        <v>1063</v>
      </c>
      <c r="E283" s="42" t="s">
        <v>1064</v>
      </c>
      <c r="F283" s="28" t="s">
        <v>1065</v>
      </c>
      <c r="G283" s="28">
        <v>20.8</v>
      </c>
      <c r="H283" s="66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2.75" customHeight="1">
      <c r="A284" s="28" t="s">
        <v>503</v>
      </c>
      <c r="B284" s="28" t="s">
        <v>159</v>
      </c>
      <c r="C284" s="42" t="s">
        <v>1066</v>
      </c>
      <c r="D284" s="42" t="s">
        <v>1067</v>
      </c>
      <c r="E284" s="42" t="s">
        <v>295</v>
      </c>
      <c r="F284" s="28" t="s">
        <v>1068</v>
      </c>
      <c r="G284" s="28">
        <v>32.3</v>
      </c>
      <c r="H284" s="66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2.75" customHeight="1">
      <c r="A285" s="28" t="s">
        <v>1069</v>
      </c>
      <c r="B285" s="28" t="s">
        <v>165</v>
      </c>
      <c r="C285" s="42" t="s">
        <v>1070</v>
      </c>
      <c r="D285" s="42" t="s">
        <v>586</v>
      </c>
      <c r="E285" s="42" t="s">
        <v>1071</v>
      </c>
      <c r="F285" s="28" t="s">
        <v>1072</v>
      </c>
      <c r="G285" s="28">
        <v>28.3</v>
      </c>
      <c r="H285" s="66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2.75" customHeight="1">
      <c r="A286" s="28" t="s">
        <v>1073</v>
      </c>
      <c r="B286" s="28" t="s">
        <v>210</v>
      </c>
      <c r="C286" s="42" t="s">
        <v>1074</v>
      </c>
      <c r="D286" s="42" t="s">
        <v>905</v>
      </c>
      <c r="E286" s="42" t="s">
        <v>650</v>
      </c>
      <c r="F286" s="28" t="s">
        <v>1075</v>
      </c>
      <c r="G286" s="28">
        <v>19.5</v>
      </c>
      <c r="H286" s="66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2.75" customHeight="1">
      <c r="A287" s="28" t="s">
        <v>1076</v>
      </c>
      <c r="B287" s="28" t="s">
        <v>165</v>
      </c>
      <c r="C287" s="42" t="s">
        <v>1077</v>
      </c>
      <c r="D287" s="42" t="s">
        <v>401</v>
      </c>
      <c r="E287" s="42" t="s">
        <v>653</v>
      </c>
      <c r="F287" s="28" t="s">
        <v>1078</v>
      </c>
      <c r="G287" s="28">
        <v>24.9</v>
      </c>
      <c r="H287" s="66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2.75" customHeight="1">
      <c r="A288" s="28" t="s">
        <v>1079</v>
      </c>
      <c r="B288" s="28" t="s">
        <v>210</v>
      </c>
      <c r="C288" s="42" t="s">
        <v>1080</v>
      </c>
      <c r="D288" s="42" t="s">
        <v>311</v>
      </c>
      <c r="E288" s="42" t="s">
        <v>715</v>
      </c>
      <c r="F288" s="28" t="s">
        <v>1081</v>
      </c>
      <c r="G288" s="28">
        <v>19.2</v>
      </c>
      <c r="H288" s="66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2.75" customHeight="1">
      <c r="A289" s="28" t="s">
        <v>1082</v>
      </c>
      <c r="B289" s="28" t="s">
        <v>165</v>
      </c>
      <c r="C289" s="42" t="s">
        <v>1083</v>
      </c>
      <c r="D289" s="42" t="s">
        <v>1084</v>
      </c>
      <c r="E289" s="42" t="s">
        <v>715</v>
      </c>
      <c r="F289" s="28" t="s">
        <v>1085</v>
      </c>
      <c r="G289" s="28">
        <v>27.4</v>
      </c>
      <c r="H289" s="66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2.75" customHeight="1">
      <c r="A290" s="28" t="s">
        <v>1086</v>
      </c>
      <c r="B290" s="28" t="s">
        <v>165</v>
      </c>
      <c r="C290" s="42" t="s">
        <v>1083</v>
      </c>
      <c r="D290" s="42" t="s">
        <v>459</v>
      </c>
      <c r="E290" s="42" t="s">
        <v>715</v>
      </c>
      <c r="F290" s="28" t="s">
        <v>1087</v>
      </c>
      <c r="G290" s="28">
        <v>23.5</v>
      </c>
      <c r="H290" s="66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2.75" customHeight="1">
      <c r="A291" s="28" t="s">
        <v>614</v>
      </c>
      <c r="B291" s="28" t="s">
        <v>165</v>
      </c>
      <c r="C291" s="42" t="s">
        <v>1088</v>
      </c>
      <c r="D291" s="42" t="s">
        <v>240</v>
      </c>
      <c r="E291" s="42" t="s">
        <v>162</v>
      </c>
      <c r="F291" s="28" t="s">
        <v>1089</v>
      </c>
      <c r="G291" s="28">
        <v>26.6</v>
      </c>
      <c r="H291" s="66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2.75" customHeight="1">
      <c r="A292" s="28" t="s">
        <v>1090</v>
      </c>
      <c r="B292" s="28" t="s">
        <v>165</v>
      </c>
      <c r="C292" s="42" t="s">
        <v>1091</v>
      </c>
      <c r="D292" s="42" t="s">
        <v>1092</v>
      </c>
      <c r="E292" s="42" t="s">
        <v>650</v>
      </c>
      <c r="F292" s="28" t="s">
        <v>1093</v>
      </c>
      <c r="G292" s="28">
        <v>27.2</v>
      </c>
      <c r="H292" s="66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2.75" customHeight="1">
      <c r="A293" s="28" t="s">
        <v>1094</v>
      </c>
      <c r="B293" s="28" t="s">
        <v>210</v>
      </c>
      <c r="C293" s="42" t="s">
        <v>1095</v>
      </c>
      <c r="D293" s="42" t="s">
        <v>1096</v>
      </c>
      <c r="E293" s="42" t="s">
        <v>653</v>
      </c>
      <c r="F293" s="28" t="s">
        <v>1097</v>
      </c>
      <c r="G293" s="28">
        <v>19.9</v>
      </c>
      <c r="H293" s="66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2.75" customHeight="1">
      <c r="A294" s="28" t="s">
        <v>1098</v>
      </c>
      <c r="B294" s="28" t="s">
        <v>673</v>
      </c>
      <c r="C294" s="42" t="s">
        <v>1099</v>
      </c>
      <c r="D294" s="42" t="s">
        <v>1100</v>
      </c>
      <c r="E294" s="42" t="s">
        <v>670</v>
      </c>
      <c r="F294" s="28" t="s">
        <v>1101</v>
      </c>
      <c r="G294" s="28">
        <v>26.6</v>
      </c>
      <c r="H294" s="66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2.75" customHeight="1">
      <c r="A295" s="28" t="s">
        <v>284</v>
      </c>
      <c r="B295" s="28" t="s">
        <v>159</v>
      </c>
      <c r="C295" s="42" t="s">
        <v>1102</v>
      </c>
      <c r="D295" s="42" t="s">
        <v>161</v>
      </c>
      <c r="E295" s="42" t="s">
        <v>162</v>
      </c>
      <c r="F295" s="28" t="s">
        <v>1103</v>
      </c>
      <c r="G295" s="28">
        <v>28.4</v>
      </c>
      <c r="H295" s="66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2.75" customHeight="1">
      <c r="A296" s="28" t="s">
        <v>1104</v>
      </c>
      <c r="B296" s="28" t="s">
        <v>165</v>
      </c>
      <c r="C296" s="42" t="s">
        <v>1105</v>
      </c>
      <c r="D296" s="42" t="s">
        <v>190</v>
      </c>
      <c r="E296" s="42" t="s">
        <v>972</v>
      </c>
      <c r="F296" s="28" t="s">
        <v>1106</v>
      </c>
      <c r="G296" s="28">
        <v>31.8</v>
      </c>
      <c r="H296" s="66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2.75" customHeight="1">
      <c r="A297" s="28" t="s">
        <v>1107</v>
      </c>
      <c r="B297" s="28" t="s">
        <v>165</v>
      </c>
      <c r="C297" s="42" t="s">
        <v>1105</v>
      </c>
      <c r="D297" s="42" t="s">
        <v>240</v>
      </c>
      <c r="E297" s="42" t="s">
        <v>972</v>
      </c>
      <c r="F297" s="28" t="s">
        <v>1108</v>
      </c>
      <c r="G297" s="28">
        <v>22.0</v>
      </c>
      <c r="H297" s="66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2.75" customHeight="1">
      <c r="A298" s="28" t="s">
        <v>1109</v>
      </c>
      <c r="B298" s="28" t="s">
        <v>165</v>
      </c>
      <c r="C298" s="42" t="s">
        <v>1110</v>
      </c>
      <c r="D298" s="42" t="s">
        <v>273</v>
      </c>
      <c r="E298" s="42" t="s">
        <v>727</v>
      </c>
      <c r="F298" s="28" t="s">
        <v>1111</v>
      </c>
      <c r="G298" s="28">
        <v>25.4</v>
      </c>
      <c r="H298" s="66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2.75" customHeight="1">
      <c r="A299" s="28" t="s">
        <v>503</v>
      </c>
      <c r="B299" s="28" t="s">
        <v>219</v>
      </c>
      <c r="C299" s="42" t="s">
        <v>1112</v>
      </c>
      <c r="D299" s="42" t="s">
        <v>1113</v>
      </c>
      <c r="E299" s="42" t="s">
        <v>1114</v>
      </c>
      <c r="F299" s="28" t="s">
        <v>1115</v>
      </c>
      <c r="G299" s="28">
        <v>26.9</v>
      </c>
      <c r="H299" s="66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2.75" customHeight="1">
      <c r="A300" s="28" t="s">
        <v>1116</v>
      </c>
      <c r="B300" s="28" t="s">
        <v>314</v>
      </c>
      <c r="C300" s="42" t="s">
        <v>1117</v>
      </c>
      <c r="D300" s="42" t="s">
        <v>141</v>
      </c>
      <c r="E300" s="42" t="s">
        <v>1118</v>
      </c>
      <c r="F300" s="28" t="s">
        <v>1119</v>
      </c>
      <c r="G300" s="28">
        <v>43.3</v>
      </c>
      <c r="H300" s="66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2.75" customHeight="1">
      <c r="A301" s="28" t="s">
        <v>667</v>
      </c>
      <c r="B301" s="28" t="s">
        <v>159</v>
      </c>
      <c r="C301" s="42" t="s">
        <v>1120</v>
      </c>
      <c r="D301" s="42" t="s">
        <v>224</v>
      </c>
      <c r="E301" s="42" t="s">
        <v>374</v>
      </c>
      <c r="F301" s="28" t="s">
        <v>1121</v>
      </c>
      <c r="G301" s="28">
        <v>32.8</v>
      </c>
      <c r="H301" s="66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2.75" customHeight="1">
      <c r="A302" s="28" t="s">
        <v>1122</v>
      </c>
      <c r="B302" s="28" t="s">
        <v>210</v>
      </c>
      <c r="C302" s="42" t="s">
        <v>1123</v>
      </c>
      <c r="D302" s="42" t="s">
        <v>1124</v>
      </c>
      <c r="E302" s="42" t="s">
        <v>162</v>
      </c>
      <c r="F302" s="28" t="s">
        <v>900</v>
      </c>
      <c r="G302" s="28">
        <v>26.9</v>
      </c>
      <c r="H302" s="66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2.75" customHeight="1">
      <c r="A303" s="28" t="s">
        <v>1125</v>
      </c>
      <c r="B303" s="28" t="s">
        <v>165</v>
      </c>
      <c r="C303" s="42" t="s">
        <v>1126</v>
      </c>
      <c r="D303" s="42" t="s">
        <v>1127</v>
      </c>
      <c r="E303" s="42" t="s">
        <v>162</v>
      </c>
      <c r="F303" s="28" t="s">
        <v>274</v>
      </c>
      <c r="G303" s="28">
        <v>27.0</v>
      </c>
      <c r="H303" s="66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2.75" customHeight="1">
      <c r="A304" s="28" t="s">
        <v>1128</v>
      </c>
      <c r="B304" s="28" t="s">
        <v>487</v>
      </c>
      <c r="C304" s="42" t="s">
        <v>1129</v>
      </c>
      <c r="D304" s="42" t="s">
        <v>1130</v>
      </c>
      <c r="E304" s="42" t="s">
        <v>1131</v>
      </c>
      <c r="F304" s="28" t="s">
        <v>1132</v>
      </c>
      <c r="G304" s="28">
        <v>43.3</v>
      </c>
      <c r="H304" s="66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2.75" customHeight="1">
      <c r="A305" s="28" t="s">
        <v>1133</v>
      </c>
      <c r="B305" s="28" t="s">
        <v>165</v>
      </c>
      <c r="C305" s="42" t="s">
        <v>1134</v>
      </c>
      <c r="D305" s="42" t="s">
        <v>1135</v>
      </c>
      <c r="E305" s="42" t="s">
        <v>1136</v>
      </c>
      <c r="F305" s="28" t="s">
        <v>1137</v>
      </c>
      <c r="G305" s="28">
        <v>31.9</v>
      </c>
      <c r="H305" s="66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2.75" customHeight="1">
      <c r="A306" s="28" t="s">
        <v>1036</v>
      </c>
      <c r="B306" s="28" t="s">
        <v>554</v>
      </c>
      <c r="C306" s="42" t="s">
        <v>1138</v>
      </c>
      <c r="D306" s="42" t="s">
        <v>1139</v>
      </c>
      <c r="E306" s="42" t="s">
        <v>162</v>
      </c>
      <c r="F306" s="28" t="s">
        <v>1140</v>
      </c>
      <c r="G306" s="28">
        <v>18.0</v>
      </c>
      <c r="H306" s="66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2.75" customHeight="1">
      <c r="A307" s="28" t="s">
        <v>907</v>
      </c>
      <c r="B307" s="28" t="s">
        <v>159</v>
      </c>
      <c r="C307" s="42" t="s">
        <v>1141</v>
      </c>
      <c r="D307" s="42" t="s">
        <v>1142</v>
      </c>
      <c r="E307" s="42" t="s">
        <v>511</v>
      </c>
      <c r="F307" s="28" t="s">
        <v>1143</v>
      </c>
      <c r="G307" s="28">
        <v>35.4</v>
      </c>
      <c r="H307" s="66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2.75" customHeight="1">
      <c r="A308" s="28" t="s">
        <v>762</v>
      </c>
      <c r="B308" s="28" t="s">
        <v>219</v>
      </c>
      <c r="C308" s="42" t="s">
        <v>1144</v>
      </c>
      <c r="D308" s="42" t="s">
        <v>1145</v>
      </c>
      <c r="E308" s="42" t="s">
        <v>420</v>
      </c>
      <c r="F308" s="28" t="s">
        <v>520</v>
      </c>
      <c r="G308" s="28">
        <v>27.0</v>
      </c>
      <c r="H308" s="66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2.75" customHeight="1">
      <c r="A309" s="28" t="s">
        <v>969</v>
      </c>
      <c r="B309" s="28" t="s">
        <v>262</v>
      </c>
      <c r="C309" s="42" t="s">
        <v>1146</v>
      </c>
      <c r="D309" s="42" t="s">
        <v>516</v>
      </c>
      <c r="E309" s="42" t="s">
        <v>1147</v>
      </c>
      <c r="F309" s="28" t="s">
        <v>1148</v>
      </c>
      <c r="G309" s="28">
        <v>27.3</v>
      </c>
      <c r="H309" s="66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2.75" customHeight="1">
      <c r="A310" s="28" t="s">
        <v>1149</v>
      </c>
      <c r="B310" s="28" t="s">
        <v>210</v>
      </c>
      <c r="C310" s="42" t="s">
        <v>1150</v>
      </c>
      <c r="D310" s="42" t="s">
        <v>1058</v>
      </c>
      <c r="E310" s="42" t="s">
        <v>162</v>
      </c>
      <c r="F310" s="28" t="s">
        <v>1151</v>
      </c>
      <c r="G310" s="28">
        <v>21.7</v>
      </c>
      <c r="H310" s="66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2.75" customHeight="1">
      <c r="A311" s="28" t="s">
        <v>969</v>
      </c>
      <c r="B311" s="28" t="s">
        <v>219</v>
      </c>
      <c r="C311" s="42" t="s">
        <v>1152</v>
      </c>
      <c r="D311" s="42" t="s">
        <v>1153</v>
      </c>
      <c r="E311" s="42" t="s">
        <v>1154</v>
      </c>
      <c r="F311" s="28" t="s">
        <v>978</v>
      </c>
      <c r="G311" s="28">
        <v>28.4</v>
      </c>
      <c r="H311" s="66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2.75" customHeight="1">
      <c r="A312" s="28" t="s">
        <v>1155</v>
      </c>
      <c r="B312" s="28" t="s">
        <v>165</v>
      </c>
      <c r="C312" s="42" t="s">
        <v>1152</v>
      </c>
      <c r="D312" s="42" t="s">
        <v>1156</v>
      </c>
      <c r="E312" s="42" t="s">
        <v>1154</v>
      </c>
      <c r="F312" s="28" t="s">
        <v>1157</v>
      </c>
      <c r="G312" s="28">
        <v>33.0</v>
      </c>
      <c r="H312" s="66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2.75" customHeight="1">
      <c r="A313" s="28" t="s">
        <v>540</v>
      </c>
      <c r="B313" s="28" t="s">
        <v>210</v>
      </c>
      <c r="C313" s="42" t="s">
        <v>1158</v>
      </c>
      <c r="D313" s="42" t="s">
        <v>311</v>
      </c>
      <c r="E313" s="42" t="s">
        <v>1159</v>
      </c>
      <c r="F313" s="28" t="s">
        <v>1160</v>
      </c>
      <c r="G313" s="28">
        <v>22.3</v>
      </c>
      <c r="H313" s="66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2.75" customHeight="1">
      <c r="A314" s="28" t="s">
        <v>1161</v>
      </c>
      <c r="B314" s="28" t="s">
        <v>210</v>
      </c>
      <c r="C314" s="42" t="s">
        <v>1158</v>
      </c>
      <c r="D314" s="42" t="s">
        <v>921</v>
      </c>
      <c r="E314" s="42" t="s">
        <v>162</v>
      </c>
      <c r="F314" s="28" t="s">
        <v>1162</v>
      </c>
      <c r="G314" s="28">
        <v>14.9</v>
      </c>
      <c r="H314" s="66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2.75" customHeight="1">
      <c r="A315" s="28" t="s">
        <v>412</v>
      </c>
      <c r="B315" s="28" t="s">
        <v>159</v>
      </c>
      <c r="C315" s="42" t="s">
        <v>1163</v>
      </c>
      <c r="D315" s="42" t="s">
        <v>1164</v>
      </c>
      <c r="E315" s="42" t="s">
        <v>1165</v>
      </c>
      <c r="F315" s="28" t="s">
        <v>1166</v>
      </c>
      <c r="G315" s="28">
        <v>35.3</v>
      </c>
      <c r="H315" s="66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2.75" customHeight="1">
      <c r="A316" s="28" t="s">
        <v>790</v>
      </c>
      <c r="B316" s="28" t="s">
        <v>165</v>
      </c>
      <c r="C316" s="42" t="s">
        <v>1167</v>
      </c>
      <c r="D316" s="42" t="s">
        <v>837</v>
      </c>
      <c r="E316" s="42" t="s">
        <v>1168</v>
      </c>
      <c r="F316" s="28" t="s">
        <v>1169</v>
      </c>
      <c r="G316" s="28">
        <v>25.9</v>
      </c>
      <c r="H316" s="66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2.75" customHeight="1">
      <c r="A317" s="28" t="s">
        <v>1170</v>
      </c>
      <c r="B317" s="28" t="s">
        <v>165</v>
      </c>
      <c r="C317" s="42" t="s">
        <v>1167</v>
      </c>
      <c r="D317" s="42" t="s">
        <v>185</v>
      </c>
      <c r="E317" s="42" t="s">
        <v>1171</v>
      </c>
      <c r="F317" s="28" t="s">
        <v>1172</v>
      </c>
      <c r="G317" s="28">
        <v>30.8</v>
      </c>
      <c r="H317" s="66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2.75" customHeight="1">
      <c r="A318" s="28" t="s">
        <v>183</v>
      </c>
      <c r="B318" s="28" t="s">
        <v>159</v>
      </c>
      <c r="C318" s="42" t="s">
        <v>1173</v>
      </c>
      <c r="D318" s="42" t="s">
        <v>1174</v>
      </c>
      <c r="E318" s="42" t="s">
        <v>162</v>
      </c>
      <c r="F318" s="28" t="s">
        <v>1175</v>
      </c>
      <c r="G318" s="28">
        <v>29.2</v>
      </c>
      <c r="H318" s="66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2.75" customHeight="1">
      <c r="A319" s="28" t="s">
        <v>580</v>
      </c>
      <c r="B319" s="28" t="s">
        <v>602</v>
      </c>
      <c r="C319" s="42" t="s">
        <v>1176</v>
      </c>
      <c r="D319" s="42" t="s">
        <v>586</v>
      </c>
      <c r="E319" s="42" t="s">
        <v>1177</v>
      </c>
      <c r="F319" s="28" t="s">
        <v>1178</v>
      </c>
      <c r="G319" s="28">
        <v>29.4</v>
      </c>
      <c r="H319" s="66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2.75" customHeight="1">
      <c r="A320" s="28" t="s">
        <v>1179</v>
      </c>
      <c r="B320" s="28" t="s">
        <v>165</v>
      </c>
      <c r="C320" s="42" t="s">
        <v>1176</v>
      </c>
      <c r="D320" s="42" t="s">
        <v>407</v>
      </c>
      <c r="E320" s="42" t="s">
        <v>1177</v>
      </c>
      <c r="F320" s="28" t="s">
        <v>1180</v>
      </c>
      <c r="G320" s="28">
        <v>29.1</v>
      </c>
      <c r="H320" s="66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2.75" customHeight="1">
      <c r="A321" s="28" t="s">
        <v>1181</v>
      </c>
      <c r="B321" s="28" t="s">
        <v>165</v>
      </c>
      <c r="C321" s="42" t="s">
        <v>1176</v>
      </c>
      <c r="D321" s="42" t="s">
        <v>240</v>
      </c>
      <c r="E321" s="42" t="s">
        <v>1177</v>
      </c>
      <c r="F321" s="28" t="s">
        <v>337</v>
      </c>
      <c r="G321" s="28">
        <v>28.5</v>
      </c>
      <c r="H321" s="66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2.75" customHeight="1">
      <c r="A322" s="28" t="s">
        <v>412</v>
      </c>
      <c r="B322" s="28" t="s">
        <v>219</v>
      </c>
      <c r="C322" s="42" t="s">
        <v>1182</v>
      </c>
      <c r="D322" s="42" t="s">
        <v>955</v>
      </c>
      <c r="E322" s="42" t="s">
        <v>1183</v>
      </c>
      <c r="F322" s="28" t="s">
        <v>957</v>
      </c>
      <c r="G322" s="28">
        <v>26.9</v>
      </c>
      <c r="H322" s="66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2.75" customHeight="1">
      <c r="A323" s="28" t="s">
        <v>1184</v>
      </c>
      <c r="B323" s="28" t="s">
        <v>210</v>
      </c>
      <c r="C323" s="42" t="s">
        <v>1182</v>
      </c>
      <c r="D323" s="42" t="s">
        <v>1185</v>
      </c>
      <c r="E323" s="42" t="s">
        <v>162</v>
      </c>
      <c r="F323" s="28" t="s">
        <v>1186</v>
      </c>
      <c r="G323" s="28">
        <v>26.4</v>
      </c>
      <c r="H323" s="66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2.75" customHeight="1">
      <c r="A324" s="28" t="s">
        <v>476</v>
      </c>
      <c r="B324" s="28" t="s">
        <v>165</v>
      </c>
      <c r="C324" s="42" t="s">
        <v>1187</v>
      </c>
      <c r="D324" s="42" t="s">
        <v>495</v>
      </c>
      <c r="E324" s="42" t="s">
        <v>156</v>
      </c>
      <c r="F324" s="28" t="s">
        <v>1188</v>
      </c>
      <c r="G324" s="28">
        <v>27.4</v>
      </c>
      <c r="H324" s="66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2.75" customHeight="1">
      <c r="A325" s="28" t="s">
        <v>1189</v>
      </c>
      <c r="B325" s="28" t="s">
        <v>165</v>
      </c>
      <c r="C325" s="42" t="s">
        <v>1187</v>
      </c>
      <c r="D325" s="42" t="s">
        <v>141</v>
      </c>
      <c r="E325" s="42" t="s">
        <v>162</v>
      </c>
      <c r="F325" s="28" t="s">
        <v>1190</v>
      </c>
      <c r="G325" s="28">
        <v>30.8</v>
      </c>
      <c r="H325" s="66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2.75" customHeight="1">
      <c r="A326" s="28" t="s">
        <v>580</v>
      </c>
      <c r="B326" s="28" t="s">
        <v>153</v>
      </c>
      <c r="C326" s="42" t="s">
        <v>1191</v>
      </c>
      <c r="D326" s="42" t="s">
        <v>1192</v>
      </c>
      <c r="E326" s="42" t="s">
        <v>559</v>
      </c>
      <c r="F326" s="28" t="s">
        <v>1193</v>
      </c>
      <c r="G326" s="28">
        <v>30.8</v>
      </c>
      <c r="H326" s="66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2.75" customHeight="1">
      <c r="A327" s="28" t="s">
        <v>1194</v>
      </c>
      <c r="B327" s="28" t="s">
        <v>159</v>
      </c>
      <c r="C327" s="42" t="s">
        <v>1195</v>
      </c>
      <c r="D327" s="42" t="s">
        <v>946</v>
      </c>
      <c r="E327" s="42" t="s">
        <v>559</v>
      </c>
      <c r="F327" s="28" t="s">
        <v>1196</v>
      </c>
      <c r="G327" s="28">
        <v>28.6</v>
      </c>
      <c r="H327" s="66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2.75" customHeight="1">
      <c r="A328" s="28" t="s">
        <v>1197</v>
      </c>
      <c r="B328" s="28" t="s">
        <v>165</v>
      </c>
      <c r="C328" s="42" t="s">
        <v>1195</v>
      </c>
      <c r="D328" s="42" t="s">
        <v>240</v>
      </c>
      <c r="E328" s="42" t="s">
        <v>162</v>
      </c>
      <c r="F328" s="28" t="s">
        <v>1198</v>
      </c>
      <c r="G328" s="28">
        <v>30.0</v>
      </c>
      <c r="H328" s="66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2.75" customHeight="1">
      <c r="A329" s="28" t="s">
        <v>1199</v>
      </c>
      <c r="B329" s="28" t="s">
        <v>215</v>
      </c>
      <c r="C329" s="42" t="s">
        <v>1200</v>
      </c>
      <c r="D329" s="42" t="s">
        <v>1201</v>
      </c>
      <c r="E329" s="42" t="s">
        <v>1202</v>
      </c>
      <c r="F329" s="28" t="s">
        <v>1203</v>
      </c>
      <c r="G329" s="28">
        <v>35.3</v>
      </c>
      <c r="H329" s="66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2.75" customHeight="1">
      <c r="A330" s="28" t="s">
        <v>261</v>
      </c>
      <c r="B330" s="28" t="s">
        <v>497</v>
      </c>
      <c r="C330" s="42" t="s">
        <v>1200</v>
      </c>
      <c r="D330" s="42" t="s">
        <v>167</v>
      </c>
      <c r="E330" s="42" t="s">
        <v>1204</v>
      </c>
      <c r="F330" s="28" t="s">
        <v>1205</v>
      </c>
      <c r="G330" s="28">
        <v>28.5</v>
      </c>
      <c r="H330" s="66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2.75" customHeight="1">
      <c r="A331" s="28" t="s">
        <v>583</v>
      </c>
      <c r="B331" s="28" t="s">
        <v>219</v>
      </c>
      <c r="C331" s="42" t="s">
        <v>1206</v>
      </c>
      <c r="D331" s="42" t="s">
        <v>495</v>
      </c>
      <c r="E331" s="42" t="s">
        <v>162</v>
      </c>
      <c r="F331" s="28" t="s">
        <v>1207</v>
      </c>
      <c r="G331" s="28">
        <v>28.4</v>
      </c>
      <c r="H331" s="66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2.75" customHeight="1">
      <c r="A332" s="28" t="s">
        <v>1208</v>
      </c>
      <c r="B332" s="28" t="s">
        <v>165</v>
      </c>
      <c r="C332" s="42" t="s">
        <v>1209</v>
      </c>
      <c r="D332" s="42" t="s">
        <v>415</v>
      </c>
      <c r="E332" s="42" t="s">
        <v>162</v>
      </c>
      <c r="F332" s="28" t="s">
        <v>1210</v>
      </c>
      <c r="G332" s="28">
        <v>21.9</v>
      </c>
      <c r="H332" s="66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2.75" customHeight="1">
      <c r="A333" s="28" t="s">
        <v>425</v>
      </c>
      <c r="B333" s="28" t="s">
        <v>165</v>
      </c>
      <c r="C333" s="42" t="s">
        <v>1211</v>
      </c>
      <c r="D333" s="42" t="s">
        <v>243</v>
      </c>
      <c r="E333" s="42" t="s">
        <v>1212</v>
      </c>
      <c r="F333" s="28" t="s">
        <v>1213</v>
      </c>
      <c r="G333" s="28">
        <v>20.5</v>
      </c>
      <c r="H333" s="66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2.75" customHeight="1">
      <c r="A334" s="28" t="s">
        <v>425</v>
      </c>
      <c r="B334" s="28" t="s">
        <v>165</v>
      </c>
      <c r="C334" s="42" t="s">
        <v>1211</v>
      </c>
      <c r="D334" s="42" t="s">
        <v>1214</v>
      </c>
      <c r="E334" s="42" t="s">
        <v>1212</v>
      </c>
      <c r="F334" s="28" t="s">
        <v>1215</v>
      </c>
      <c r="G334" s="28">
        <v>20.5</v>
      </c>
      <c r="H334" s="66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2.75" customHeight="1">
      <c r="A335" s="28" t="s">
        <v>1216</v>
      </c>
      <c r="B335" s="28" t="s">
        <v>165</v>
      </c>
      <c r="C335" s="42" t="s">
        <v>1217</v>
      </c>
      <c r="D335" s="42" t="s">
        <v>1218</v>
      </c>
      <c r="E335" s="42" t="s">
        <v>1219</v>
      </c>
      <c r="F335" s="28" t="s">
        <v>1220</v>
      </c>
      <c r="G335" s="28">
        <v>28.5</v>
      </c>
      <c r="H335" s="66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2.75" customHeight="1">
      <c r="A336" s="28" t="s">
        <v>566</v>
      </c>
      <c r="B336" s="28" t="s">
        <v>159</v>
      </c>
      <c r="C336" s="42" t="s">
        <v>1221</v>
      </c>
      <c r="D336" s="42" t="s">
        <v>240</v>
      </c>
      <c r="E336" s="42" t="s">
        <v>1222</v>
      </c>
      <c r="F336" s="28" t="s">
        <v>1223</v>
      </c>
      <c r="G336" s="28">
        <v>25.3</v>
      </c>
      <c r="H336" s="66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2.75" customHeight="1">
      <c r="A337" s="28" t="s">
        <v>1224</v>
      </c>
      <c r="B337" s="28" t="s">
        <v>210</v>
      </c>
      <c r="C337" s="42" t="s">
        <v>1225</v>
      </c>
      <c r="D337" s="42" t="s">
        <v>1226</v>
      </c>
      <c r="E337" s="42" t="s">
        <v>162</v>
      </c>
      <c r="F337" s="28" t="s">
        <v>1227</v>
      </c>
      <c r="G337" s="28">
        <v>26.2</v>
      </c>
      <c r="H337" s="66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2.75" customHeight="1">
      <c r="A338" s="28" t="s">
        <v>1228</v>
      </c>
      <c r="B338" s="28" t="s">
        <v>165</v>
      </c>
      <c r="C338" s="42" t="s">
        <v>1229</v>
      </c>
      <c r="D338" s="42" t="s">
        <v>301</v>
      </c>
      <c r="E338" s="42" t="s">
        <v>162</v>
      </c>
      <c r="F338" s="28" t="s">
        <v>1230</v>
      </c>
      <c r="G338" s="28">
        <v>19.8</v>
      </c>
      <c r="H338" s="66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2.75" customHeight="1">
      <c r="A339" s="28" t="s">
        <v>372</v>
      </c>
      <c r="B339" s="28" t="s">
        <v>219</v>
      </c>
      <c r="C339" s="42" t="s">
        <v>1231</v>
      </c>
      <c r="D339" s="42" t="s">
        <v>286</v>
      </c>
      <c r="E339" s="42" t="s">
        <v>162</v>
      </c>
      <c r="F339" s="28" t="s">
        <v>1232</v>
      </c>
      <c r="G339" s="28">
        <v>30.5</v>
      </c>
      <c r="H339" s="66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2.75" customHeight="1">
      <c r="A340" s="28" t="s">
        <v>1233</v>
      </c>
      <c r="B340" s="28" t="s">
        <v>165</v>
      </c>
      <c r="C340" s="42" t="s">
        <v>1231</v>
      </c>
      <c r="D340" s="42" t="s">
        <v>459</v>
      </c>
      <c r="E340" s="42" t="s">
        <v>162</v>
      </c>
      <c r="F340" s="28" t="s">
        <v>1234</v>
      </c>
      <c r="G340" s="28">
        <v>19.9</v>
      </c>
      <c r="H340" s="66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2.75" customHeight="1">
      <c r="A341" s="28" t="s">
        <v>566</v>
      </c>
      <c r="B341" s="28" t="s">
        <v>219</v>
      </c>
      <c r="C341" s="42" t="s">
        <v>1235</v>
      </c>
      <c r="D341" s="42" t="s">
        <v>251</v>
      </c>
      <c r="E341" s="42" t="s">
        <v>156</v>
      </c>
      <c r="F341" s="28" t="s">
        <v>1236</v>
      </c>
      <c r="G341" s="28">
        <v>23.7</v>
      </c>
      <c r="H341" s="66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2.75" customHeight="1">
      <c r="A342" s="28" t="s">
        <v>1237</v>
      </c>
      <c r="B342" s="28" t="s">
        <v>487</v>
      </c>
      <c r="C342" s="42" t="s">
        <v>1238</v>
      </c>
      <c r="D342" s="42" t="s">
        <v>1239</v>
      </c>
      <c r="E342" s="42" t="s">
        <v>162</v>
      </c>
      <c r="F342" s="28" t="s">
        <v>1240</v>
      </c>
      <c r="G342" s="28">
        <v>43.1</v>
      </c>
      <c r="H342" s="66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2.75" customHeight="1">
      <c r="A343" s="28" t="s">
        <v>551</v>
      </c>
      <c r="B343" s="28" t="s">
        <v>159</v>
      </c>
      <c r="C343" s="42" t="s">
        <v>1241</v>
      </c>
      <c r="D343" s="42" t="s">
        <v>181</v>
      </c>
      <c r="E343" s="42" t="s">
        <v>650</v>
      </c>
      <c r="F343" s="28" t="s">
        <v>1242</v>
      </c>
      <c r="G343" s="28">
        <v>23.7</v>
      </c>
      <c r="H343" s="66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2.75" customHeight="1">
      <c r="A344" s="28" t="s">
        <v>734</v>
      </c>
      <c r="B344" s="28" t="s">
        <v>159</v>
      </c>
      <c r="C344" s="42" t="s">
        <v>1243</v>
      </c>
      <c r="D344" s="42" t="s">
        <v>161</v>
      </c>
      <c r="E344" s="42" t="s">
        <v>162</v>
      </c>
      <c r="F344" s="28" t="s">
        <v>1244</v>
      </c>
      <c r="G344" s="28">
        <v>27.1</v>
      </c>
      <c r="H344" s="66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2.75" customHeight="1">
      <c r="A345" s="28" t="s">
        <v>1245</v>
      </c>
      <c r="B345" s="28" t="s">
        <v>319</v>
      </c>
      <c r="C345" s="42" t="s">
        <v>1246</v>
      </c>
      <c r="D345" s="42" t="s">
        <v>1247</v>
      </c>
      <c r="E345" s="42" t="s">
        <v>460</v>
      </c>
      <c r="F345" s="28" t="s">
        <v>1248</v>
      </c>
      <c r="G345" s="28">
        <v>42.1</v>
      </c>
      <c r="H345" s="66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2.75" customHeight="1">
      <c r="A346" s="28" t="s">
        <v>1249</v>
      </c>
      <c r="B346" s="28" t="s">
        <v>165</v>
      </c>
      <c r="C346" s="42" t="s">
        <v>1250</v>
      </c>
      <c r="D346" s="42" t="s">
        <v>939</v>
      </c>
      <c r="E346" s="42" t="s">
        <v>172</v>
      </c>
      <c r="F346" s="28" t="s">
        <v>1251</v>
      </c>
      <c r="G346" s="28">
        <v>20.4</v>
      </c>
      <c r="H346" s="66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2.75" customHeight="1">
      <c r="A347" s="28" t="s">
        <v>1252</v>
      </c>
      <c r="B347" s="28" t="s">
        <v>210</v>
      </c>
      <c r="C347" s="42" t="s">
        <v>1253</v>
      </c>
      <c r="D347" s="42" t="s">
        <v>1254</v>
      </c>
      <c r="E347" s="42" t="s">
        <v>162</v>
      </c>
      <c r="F347" s="28" t="s">
        <v>1255</v>
      </c>
      <c r="G347" s="28">
        <v>20.4</v>
      </c>
      <c r="H347" s="66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2.75" customHeight="1">
      <c r="A348" s="28" t="s">
        <v>1256</v>
      </c>
      <c r="B348" s="28" t="s">
        <v>165</v>
      </c>
      <c r="C348" s="42" t="s">
        <v>1257</v>
      </c>
      <c r="D348" s="42" t="s">
        <v>240</v>
      </c>
      <c r="E348" s="42" t="s">
        <v>162</v>
      </c>
      <c r="F348" s="28" t="s">
        <v>1258</v>
      </c>
      <c r="G348" s="28">
        <v>31.5</v>
      </c>
      <c r="H348" s="66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2.75" customHeight="1">
      <c r="A349" s="28" t="s">
        <v>449</v>
      </c>
      <c r="B349" s="28" t="s">
        <v>210</v>
      </c>
      <c r="C349" s="42" t="s">
        <v>1259</v>
      </c>
      <c r="D349" s="42" t="s">
        <v>1260</v>
      </c>
      <c r="E349" s="42" t="s">
        <v>1261</v>
      </c>
      <c r="F349" s="28" t="s">
        <v>1262</v>
      </c>
      <c r="G349" s="28">
        <v>21.7</v>
      </c>
      <c r="H349" s="66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2.75" customHeight="1">
      <c r="A350" s="28" t="s">
        <v>449</v>
      </c>
      <c r="B350" s="28" t="s">
        <v>165</v>
      </c>
      <c r="C350" s="42" t="s">
        <v>1263</v>
      </c>
      <c r="D350" s="42" t="s">
        <v>1145</v>
      </c>
      <c r="E350" s="42" t="s">
        <v>1264</v>
      </c>
      <c r="F350" s="28" t="s">
        <v>1265</v>
      </c>
      <c r="G350" s="28">
        <v>27.0</v>
      </c>
      <c r="H350" s="66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2.75" customHeight="1">
      <c r="A351" s="28" t="s">
        <v>869</v>
      </c>
      <c r="B351" s="28" t="s">
        <v>497</v>
      </c>
      <c r="C351" s="42" t="s">
        <v>1266</v>
      </c>
      <c r="D351" s="42" t="s">
        <v>1267</v>
      </c>
      <c r="E351" s="42" t="s">
        <v>894</v>
      </c>
      <c r="F351" s="28" t="s">
        <v>1268</v>
      </c>
      <c r="G351" s="28">
        <v>18.7</v>
      </c>
      <c r="H351" s="66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2.75" customHeight="1">
      <c r="A352" s="28" t="s">
        <v>1269</v>
      </c>
      <c r="B352" s="28" t="s">
        <v>319</v>
      </c>
      <c r="C352" s="42" t="s">
        <v>1266</v>
      </c>
      <c r="D352" s="42" t="s">
        <v>447</v>
      </c>
      <c r="E352" s="42" t="s">
        <v>894</v>
      </c>
      <c r="F352" s="28" t="s">
        <v>1270</v>
      </c>
      <c r="G352" s="28">
        <v>38.7</v>
      </c>
      <c r="H352" s="66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2.75" customHeight="1">
      <c r="A353" s="28" t="s">
        <v>1107</v>
      </c>
      <c r="B353" s="28" t="s">
        <v>165</v>
      </c>
      <c r="C353" s="42" t="s">
        <v>1271</v>
      </c>
      <c r="D353" s="42" t="s">
        <v>1272</v>
      </c>
      <c r="E353" s="42" t="s">
        <v>277</v>
      </c>
      <c r="F353" s="28" t="s">
        <v>1273</v>
      </c>
      <c r="G353" s="28">
        <v>29.2</v>
      </c>
      <c r="H353" s="66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2.75" customHeight="1">
      <c r="A354" s="28" t="s">
        <v>1274</v>
      </c>
      <c r="B354" s="28" t="s">
        <v>165</v>
      </c>
      <c r="C354" s="42" t="s">
        <v>1275</v>
      </c>
      <c r="D354" s="42" t="s">
        <v>1276</v>
      </c>
      <c r="E354" s="42" t="s">
        <v>653</v>
      </c>
      <c r="F354" s="28" t="s">
        <v>1277</v>
      </c>
      <c r="G354" s="28">
        <v>27.1</v>
      </c>
      <c r="H354" s="66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2.75" customHeight="1">
      <c r="A355" s="28" t="s">
        <v>1278</v>
      </c>
      <c r="B355" s="28" t="s">
        <v>165</v>
      </c>
      <c r="C355" s="42" t="s">
        <v>1275</v>
      </c>
      <c r="D355" s="42" t="s">
        <v>1279</v>
      </c>
      <c r="E355" s="42" t="s">
        <v>653</v>
      </c>
      <c r="F355" s="28" t="s">
        <v>1280</v>
      </c>
      <c r="G355" s="28">
        <v>22.1</v>
      </c>
      <c r="H355" s="66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2.75" customHeight="1">
      <c r="A356" s="28" t="s">
        <v>1053</v>
      </c>
      <c r="B356" s="28" t="s">
        <v>210</v>
      </c>
      <c r="C356" s="42" t="s">
        <v>1281</v>
      </c>
      <c r="D356" s="42" t="s">
        <v>1282</v>
      </c>
      <c r="E356" s="42" t="s">
        <v>156</v>
      </c>
      <c r="F356" s="28" t="s">
        <v>1283</v>
      </c>
      <c r="G356" s="28">
        <v>21.1</v>
      </c>
      <c r="H356" s="66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2.75" customHeight="1">
      <c r="A357" s="28" t="s">
        <v>476</v>
      </c>
      <c r="B357" s="28" t="s">
        <v>165</v>
      </c>
      <c r="C357" s="42" t="s">
        <v>1284</v>
      </c>
      <c r="D357" s="42" t="s">
        <v>1285</v>
      </c>
      <c r="E357" s="42" t="s">
        <v>1019</v>
      </c>
      <c r="F357" s="28" t="s">
        <v>1286</v>
      </c>
      <c r="G357" s="28">
        <v>20.4</v>
      </c>
      <c r="H357" s="66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2.75" customHeight="1">
      <c r="A358" s="28" t="s">
        <v>729</v>
      </c>
      <c r="B358" s="28" t="s">
        <v>153</v>
      </c>
      <c r="C358" s="42" t="s">
        <v>1287</v>
      </c>
      <c r="D358" s="42" t="s">
        <v>1288</v>
      </c>
      <c r="E358" s="42" t="s">
        <v>732</v>
      </c>
      <c r="F358" s="28" t="s">
        <v>1289</v>
      </c>
      <c r="G358" s="28">
        <v>27.0</v>
      </c>
      <c r="H358" s="66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2.75" customHeight="1">
      <c r="A359" s="28" t="s">
        <v>1199</v>
      </c>
      <c r="B359" s="28" t="s">
        <v>159</v>
      </c>
      <c r="C359" s="42" t="s">
        <v>1290</v>
      </c>
      <c r="D359" s="42" t="s">
        <v>194</v>
      </c>
      <c r="E359" s="42" t="s">
        <v>650</v>
      </c>
      <c r="F359" s="28" t="s">
        <v>1291</v>
      </c>
      <c r="G359" s="28">
        <v>29.4</v>
      </c>
      <c r="H359" s="66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2.75" customHeight="1">
      <c r="A360" s="28" t="s">
        <v>1292</v>
      </c>
      <c r="B360" s="28" t="s">
        <v>314</v>
      </c>
      <c r="C360" s="42" t="s">
        <v>1293</v>
      </c>
      <c r="D360" s="42" t="s">
        <v>799</v>
      </c>
      <c r="E360" s="42" t="s">
        <v>887</v>
      </c>
      <c r="F360" s="28" t="s">
        <v>1294</v>
      </c>
      <c r="G360" s="28">
        <v>43.0</v>
      </c>
      <c r="H360" s="66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2.75" customHeight="1">
      <c r="A361" s="28" t="s">
        <v>284</v>
      </c>
      <c r="B361" s="28" t="s">
        <v>602</v>
      </c>
      <c r="C361" s="42" t="s">
        <v>1295</v>
      </c>
      <c r="D361" s="42" t="s">
        <v>270</v>
      </c>
      <c r="E361" s="42" t="s">
        <v>162</v>
      </c>
      <c r="F361" s="28" t="s">
        <v>1296</v>
      </c>
      <c r="G361" s="28">
        <v>27.2</v>
      </c>
      <c r="H361" s="66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2.75" customHeight="1">
      <c r="A362" s="28" t="s">
        <v>682</v>
      </c>
      <c r="B362" s="28" t="s">
        <v>159</v>
      </c>
      <c r="C362" s="42" t="s">
        <v>1297</v>
      </c>
      <c r="D362" s="42" t="s">
        <v>415</v>
      </c>
      <c r="E362" s="42" t="s">
        <v>162</v>
      </c>
      <c r="F362" s="28" t="s">
        <v>1298</v>
      </c>
      <c r="G362" s="28">
        <v>27.4</v>
      </c>
      <c r="H362" s="66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2.75" customHeight="1">
      <c r="A363" s="28" t="s">
        <v>1199</v>
      </c>
      <c r="B363" s="28" t="s">
        <v>153</v>
      </c>
      <c r="C363" s="42" t="s">
        <v>1299</v>
      </c>
      <c r="D363" s="42" t="s">
        <v>630</v>
      </c>
      <c r="E363" s="42" t="s">
        <v>1300</v>
      </c>
      <c r="F363" s="28" t="s">
        <v>1301</v>
      </c>
      <c r="G363" s="28">
        <v>29.3</v>
      </c>
      <c r="H363" s="66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2.75" customHeight="1">
      <c r="A364" s="28" t="s">
        <v>580</v>
      </c>
      <c r="B364" s="28" t="s">
        <v>159</v>
      </c>
      <c r="C364" s="42" t="s">
        <v>1302</v>
      </c>
      <c r="D364" s="42" t="s">
        <v>251</v>
      </c>
      <c r="E364" s="42" t="s">
        <v>1300</v>
      </c>
      <c r="F364" s="28" t="s">
        <v>1303</v>
      </c>
      <c r="G364" s="28">
        <v>32.6</v>
      </c>
      <c r="H364" s="66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2.75" customHeight="1">
      <c r="A365" s="28" t="s">
        <v>1304</v>
      </c>
      <c r="B365" s="28" t="s">
        <v>210</v>
      </c>
      <c r="C365" s="42" t="s">
        <v>1305</v>
      </c>
      <c r="D365" s="42" t="s">
        <v>395</v>
      </c>
      <c r="E365" s="42" t="s">
        <v>162</v>
      </c>
      <c r="F365" s="28" t="s">
        <v>1306</v>
      </c>
      <c r="G365" s="28">
        <v>17.7</v>
      </c>
      <c r="H365" s="66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2.75" customHeight="1">
      <c r="A366" s="28" t="s">
        <v>580</v>
      </c>
      <c r="B366" s="28" t="s">
        <v>159</v>
      </c>
      <c r="C366" s="42" t="s">
        <v>1307</v>
      </c>
      <c r="D366" s="42" t="s">
        <v>251</v>
      </c>
      <c r="E366" s="42" t="s">
        <v>408</v>
      </c>
      <c r="F366" s="28" t="s">
        <v>1308</v>
      </c>
      <c r="G366" s="28">
        <v>30.0</v>
      </c>
      <c r="H366" s="66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2.75" customHeight="1">
      <c r="A367" s="28" t="s">
        <v>1038</v>
      </c>
      <c r="B367" s="28" t="s">
        <v>165</v>
      </c>
      <c r="C367" s="42" t="s">
        <v>1309</v>
      </c>
      <c r="D367" s="42" t="s">
        <v>1279</v>
      </c>
      <c r="E367" s="42" t="s">
        <v>156</v>
      </c>
      <c r="F367" s="28" t="s">
        <v>1310</v>
      </c>
      <c r="G367" s="28">
        <v>25.5</v>
      </c>
      <c r="H367" s="66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2.75" customHeight="1">
      <c r="A368" s="28" t="s">
        <v>466</v>
      </c>
      <c r="B368" s="28" t="s">
        <v>159</v>
      </c>
      <c r="C368" s="42" t="s">
        <v>1309</v>
      </c>
      <c r="D368" s="42" t="s">
        <v>1145</v>
      </c>
      <c r="E368" s="42" t="s">
        <v>162</v>
      </c>
      <c r="F368" s="28" t="s">
        <v>978</v>
      </c>
      <c r="G368" s="28">
        <v>28.4</v>
      </c>
      <c r="H368" s="66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2.75" customHeight="1">
      <c r="A369" s="28" t="s">
        <v>636</v>
      </c>
      <c r="B369" s="28" t="s">
        <v>215</v>
      </c>
      <c r="C369" s="42" t="s">
        <v>1311</v>
      </c>
      <c r="D369" s="42" t="s">
        <v>459</v>
      </c>
      <c r="E369" s="42" t="s">
        <v>1312</v>
      </c>
      <c r="F369" s="28" t="s">
        <v>1313</v>
      </c>
      <c r="G369" s="28">
        <v>29.2</v>
      </c>
      <c r="H369" s="66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2.75" customHeight="1">
      <c r="A370" s="28" t="s">
        <v>636</v>
      </c>
      <c r="B370" s="28" t="s">
        <v>219</v>
      </c>
      <c r="C370" s="42" t="s">
        <v>1311</v>
      </c>
      <c r="D370" s="42" t="s">
        <v>1314</v>
      </c>
      <c r="E370" s="42" t="s">
        <v>1312</v>
      </c>
      <c r="F370" s="28" t="s">
        <v>1315</v>
      </c>
      <c r="G370" s="28">
        <v>20.8</v>
      </c>
      <c r="H370" s="66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2.75" customHeight="1">
      <c r="A371" s="28" t="s">
        <v>1316</v>
      </c>
      <c r="B371" s="28" t="s">
        <v>280</v>
      </c>
      <c r="C371" s="42" t="s">
        <v>1317</v>
      </c>
      <c r="D371" s="42" t="s">
        <v>240</v>
      </c>
      <c r="E371" s="42" t="s">
        <v>162</v>
      </c>
      <c r="F371" s="28" t="s">
        <v>1318</v>
      </c>
      <c r="G371" s="28">
        <v>31.8</v>
      </c>
      <c r="H371" s="66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2.75" customHeight="1">
      <c r="A372" s="28" t="s">
        <v>466</v>
      </c>
      <c r="B372" s="28" t="s">
        <v>165</v>
      </c>
      <c r="C372" s="42" t="s">
        <v>1319</v>
      </c>
      <c r="D372" s="42" t="s">
        <v>633</v>
      </c>
      <c r="E372" s="42" t="s">
        <v>162</v>
      </c>
      <c r="F372" s="28" t="s">
        <v>1320</v>
      </c>
      <c r="G372" s="28">
        <v>33.4</v>
      </c>
      <c r="H372" s="66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2.75" customHeight="1">
      <c r="A373" s="28" t="s">
        <v>503</v>
      </c>
      <c r="B373" s="28" t="s">
        <v>165</v>
      </c>
      <c r="C373" s="42" t="s">
        <v>1321</v>
      </c>
      <c r="D373" s="42" t="s">
        <v>1322</v>
      </c>
      <c r="E373" s="42" t="s">
        <v>559</v>
      </c>
      <c r="F373" s="28" t="s">
        <v>1323</v>
      </c>
      <c r="G373" s="28">
        <v>33.5</v>
      </c>
      <c r="H373" s="66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2.75" customHeight="1">
      <c r="A374" s="28" t="s">
        <v>1038</v>
      </c>
      <c r="B374" s="28" t="s">
        <v>165</v>
      </c>
      <c r="C374" s="42" t="s">
        <v>1324</v>
      </c>
      <c r="D374" s="42" t="s">
        <v>1127</v>
      </c>
      <c r="E374" s="42" t="s">
        <v>156</v>
      </c>
      <c r="F374" s="28" t="s">
        <v>1325</v>
      </c>
      <c r="G374" s="28">
        <v>26.8</v>
      </c>
      <c r="H374" s="66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2.75" customHeight="1">
      <c r="A375" s="28" t="s">
        <v>261</v>
      </c>
      <c r="B375" s="28" t="s">
        <v>262</v>
      </c>
      <c r="C375" s="42" t="s">
        <v>1326</v>
      </c>
      <c r="D375" s="42" t="s">
        <v>955</v>
      </c>
      <c r="E375" s="42" t="s">
        <v>1327</v>
      </c>
      <c r="F375" s="28" t="s">
        <v>1328</v>
      </c>
      <c r="G375" s="28">
        <v>27.9</v>
      </c>
      <c r="H375" s="66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2.75" customHeight="1">
      <c r="A376" s="28" t="s">
        <v>412</v>
      </c>
      <c r="B376" s="28" t="s">
        <v>215</v>
      </c>
      <c r="C376" s="42" t="s">
        <v>1329</v>
      </c>
      <c r="D376" s="42" t="s">
        <v>447</v>
      </c>
      <c r="E376" s="42" t="s">
        <v>162</v>
      </c>
      <c r="F376" s="28" t="s">
        <v>1330</v>
      </c>
      <c r="G376" s="28">
        <v>20.1</v>
      </c>
      <c r="H376" s="66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2.75" customHeight="1">
      <c r="A377" s="28" t="s">
        <v>218</v>
      </c>
      <c r="B377" s="28" t="s">
        <v>673</v>
      </c>
      <c r="C377" s="42" t="s">
        <v>1331</v>
      </c>
      <c r="D377" s="42" t="s">
        <v>1332</v>
      </c>
      <c r="E377" s="42" t="s">
        <v>1333</v>
      </c>
      <c r="F377" s="28" t="s">
        <v>507</v>
      </c>
      <c r="G377" s="28">
        <v>26.6</v>
      </c>
      <c r="H377" s="66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2.75" customHeight="1">
      <c r="A378" s="28" t="s">
        <v>1334</v>
      </c>
      <c r="B378" s="28" t="s">
        <v>210</v>
      </c>
      <c r="C378" s="42" t="s">
        <v>1335</v>
      </c>
      <c r="D378" s="42" t="s">
        <v>1063</v>
      </c>
      <c r="E378" s="42" t="s">
        <v>1336</v>
      </c>
      <c r="F378" s="28" t="s">
        <v>1337</v>
      </c>
      <c r="G378" s="28">
        <v>19.6</v>
      </c>
      <c r="H378" s="66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2.75" customHeight="1">
      <c r="A379" s="28" t="s">
        <v>1338</v>
      </c>
      <c r="B379" s="28" t="s">
        <v>165</v>
      </c>
      <c r="C379" s="42" t="s">
        <v>1339</v>
      </c>
      <c r="D379" s="42" t="s">
        <v>606</v>
      </c>
      <c r="E379" s="42" t="s">
        <v>1340</v>
      </c>
      <c r="F379" s="28" t="s">
        <v>1341</v>
      </c>
      <c r="G379" s="28">
        <v>29.6</v>
      </c>
      <c r="H379" s="66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2.75" customHeight="1">
      <c r="A380" s="28" t="s">
        <v>1056</v>
      </c>
      <c r="B380" s="28" t="s">
        <v>210</v>
      </c>
      <c r="C380" s="42" t="s">
        <v>1342</v>
      </c>
      <c r="D380" s="42" t="s">
        <v>1343</v>
      </c>
      <c r="E380" s="42" t="s">
        <v>277</v>
      </c>
      <c r="F380" s="28" t="s">
        <v>1344</v>
      </c>
      <c r="G380" s="28">
        <v>18.6</v>
      </c>
      <c r="H380" s="66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2.75" customHeight="1">
      <c r="A381" s="28" t="s">
        <v>1053</v>
      </c>
      <c r="B381" s="28" t="s">
        <v>210</v>
      </c>
      <c r="C381" s="42" t="s">
        <v>1342</v>
      </c>
      <c r="D381" s="42" t="s">
        <v>813</v>
      </c>
      <c r="E381" s="42" t="s">
        <v>156</v>
      </c>
      <c r="F381" s="28" t="s">
        <v>1345</v>
      </c>
      <c r="G381" s="28">
        <v>16.9</v>
      </c>
      <c r="H381" s="66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2.75" customHeight="1">
      <c r="A382" s="28" t="s">
        <v>1053</v>
      </c>
      <c r="B382" s="28" t="s">
        <v>210</v>
      </c>
      <c r="C382" s="42" t="s">
        <v>1342</v>
      </c>
      <c r="D382" s="42" t="s">
        <v>1346</v>
      </c>
      <c r="E382" s="42" t="s">
        <v>156</v>
      </c>
      <c r="F382" s="28" t="s">
        <v>1347</v>
      </c>
      <c r="G382" s="28">
        <v>17.5</v>
      </c>
      <c r="H382" s="66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2.75" customHeight="1">
      <c r="A383" s="28" t="s">
        <v>1053</v>
      </c>
      <c r="B383" s="28" t="s">
        <v>165</v>
      </c>
      <c r="C383" s="42" t="s">
        <v>1348</v>
      </c>
      <c r="D383" s="42" t="s">
        <v>240</v>
      </c>
      <c r="E383" s="42" t="s">
        <v>156</v>
      </c>
      <c r="F383" s="28" t="s">
        <v>1349</v>
      </c>
      <c r="G383" s="28">
        <v>16.8</v>
      </c>
      <c r="H383" s="66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2.75" customHeight="1">
      <c r="A384" s="28" t="s">
        <v>1350</v>
      </c>
      <c r="B384" s="28" t="s">
        <v>165</v>
      </c>
      <c r="C384" s="42" t="s">
        <v>1348</v>
      </c>
      <c r="D384" s="42" t="s">
        <v>171</v>
      </c>
      <c r="E384" s="42" t="s">
        <v>156</v>
      </c>
      <c r="F384" s="28" t="s">
        <v>1351</v>
      </c>
      <c r="G384" s="28">
        <v>17.6</v>
      </c>
      <c r="H384" s="66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2.75" customHeight="1">
      <c r="A385" s="28" t="s">
        <v>152</v>
      </c>
      <c r="B385" s="28" t="s">
        <v>219</v>
      </c>
      <c r="C385" s="42" t="s">
        <v>1348</v>
      </c>
      <c r="D385" s="42" t="s">
        <v>642</v>
      </c>
      <c r="E385" s="42" t="s">
        <v>277</v>
      </c>
      <c r="F385" s="28" t="s">
        <v>1352</v>
      </c>
      <c r="G385" s="28">
        <v>23.4</v>
      </c>
      <c r="H385" s="66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2.75" customHeight="1">
      <c r="A386" s="28" t="s">
        <v>1353</v>
      </c>
      <c r="B386" s="28" t="s">
        <v>487</v>
      </c>
      <c r="C386" s="42" t="s">
        <v>1354</v>
      </c>
      <c r="D386" s="42" t="s">
        <v>1355</v>
      </c>
      <c r="E386" s="42" t="s">
        <v>460</v>
      </c>
      <c r="F386" s="28" t="s">
        <v>1356</v>
      </c>
      <c r="G386" s="28">
        <v>43.3</v>
      </c>
      <c r="H386" s="66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2.75" customHeight="1">
      <c r="A387" s="28" t="s">
        <v>1357</v>
      </c>
      <c r="B387" s="28" t="s">
        <v>210</v>
      </c>
      <c r="C387" s="42" t="s">
        <v>1358</v>
      </c>
      <c r="D387" s="42" t="s">
        <v>1359</v>
      </c>
      <c r="E387" s="42" t="s">
        <v>162</v>
      </c>
      <c r="F387" s="28" t="s">
        <v>1360</v>
      </c>
      <c r="G387" s="28">
        <v>24.6</v>
      </c>
      <c r="H387" s="66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2.75" customHeight="1">
      <c r="A388" s="28" t="s">
        <v>762</v>
      </c>
      <c r="B388" s="28" t="s">
        <v>219</v>
      </c>
      <c r="C388" s="42" t="s">
        <v>1361</v>
      </c>
      <c r="D388" s="42" t="s">
        <v>1362</v>
      </c>
      <c r="E388" s="42" t="s">
        <v>162</v>
      </c>
      <c r="F388" s="28" t="s">
        <v>1296</v>
      </c>
      <c r="G388" s="28">
        <v>27.2</v>
      </c>
      <c r="H388" s="66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2.75" customHeight="1">
      <c r="A389" s="28" t="s">
        <v>523</v>
      </c>
      <c r="B389" s="28" t="s">
        <v>219</v>
      </c>
      <c r="C389" s="42" t="s">
        <v>1361</v>
      </c>
      <c r="D389" s="42" t="s">
        <v>407</v>
      </c>
      <c r="E389" s="42" t="s">
        <v>162</v>
      </c>
      <c r="F389" s="28" t="s">
        <v>1363</v>
      </c>
      <c r="G389" s="28">
        <v>23.8</v>
      </c>
      <c r="H389" s="66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2.75" customHeight="1">
      <c r="A390" s="28" t="s">
        <v>1364</v>
      </c>
      <c r="B390" s="28" t="s">
        <v>210</v>
      </c>
      <c r="C390" s="42" t="s">
        <v>1365</v>
      </c>
      <c r="D390" s="42" t="s">
        <v>1366</v>
      </c>
      <c r="E390" s="42" t="s">
        <v>362</v>
      </c>
      <c r="F390" s="28" t="s">
        <v>1367</v>
      </c>
      <c r="G390" s="28">
        <v>22.8</v>
      </c>
      <c r="H390" s="66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2.75" customHeight="1">
      <c r="A391" s="28" t="s">
        <v>1368</v>
      </c>
      <c r="B391" s="28" t="s">
        <v>165</v>
      </c>
      <c r="C391" s="42" t="s">
        <v>1369</v>
      </c>
      <c r="D391" s="42" t="s">
        <v>171</v>
      </c>
      <c r="E391" s="42" t="s">
        <v>362</v>
      </c>
      <c r="F391" s="28" t="s">
        <v>1370</v>
      </c>
      <c r="G391" s="28">
        <v>22.4</v>
      </c>
      <c r="H391" s="66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2.75" customHeight="1">
      <c r="A392" s="28" t="s">
        <v>1371</v>
      </c>
      <c r="B392" s="28" t="s">
        <v>165</v>
      </c>
      <c r="C392" s="42" t="s">
        <v>1372</v>
      </c>
      <c r="D392" s="42" t="s">
        <v>203</v>
      </c>
      <c r="E392" s="42" t="s">
        <v>162</v>
      </c>
      <c r="F392" s="28" t="s">
        <v>1373</v>
      </c>
      <c r="G392" s="28">
        <v>22.1</v>
      </c>
      <c r="H392" s="66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2.75" customHeight="1">
      <c r="A393" s="28" t="s">
        <v>1374</v>
      </c>
      <c r="B393" s="28" t="s">
        <v>319</v>
      </c>
      <c r="C393" s="42" t="s">
        <v>1375</v>
      </c>
      <c r="D393" s="42" t="s">
        <v>401</v>
      </c>
      <c r="E393" s="42" t="s">
        <v>316</v>
      </c>
      <c r="F393" s="28" t="s">
        <v>1376</v>
      </c>
      <c r="G393" s="28">
        <v>43.3</v>
      </c>
      <c r="H393" s="66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2.75" customHeight="1">
      <c r="A394" s="28" t="s">
        <v>677</v>
      </c>
      <c r="B394" s="28" t="s">
        <v>159</v>
      </c>
      <c r="C394" s="42" t="s">
        <v>1377</v>
      </c>
      <c r="D394" s="42" t="s">
        <v>447</v>
      </c>
      <c r="E394" s="42" t="s">
        <v>162</v>
      </c>
      <c r="F394" s="28" t="s">
        <v>1378</v>
      </c>
      <c r="G394" s="28">
        <v>19.4</v>
      </c>
      <c r="H394" s="66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2.75" customHeight="1">
      <c r="A395" s="28" t="s">
        <v>324</v>
      </c>
      <c r="B395" s="28" t="s">
        <v>165</v>
      </c>
      <c r="C395" s="42" t="s">
        <v>1379</v>
      </c>
      <c r="D395" s="42" t="s">
        <v>741</v>
      </c>
      <c r="E395" s="42" t="s">
        <v>156</v>
      </c>
      <c r="F395" s="28" t="s">
        <v>1380</v>
      </c>
      <c r="G395" s="28">
        <v>31.1</v>
      </c>
      <c r="H395" s="66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2.75" customHeight="1">
      <c r="A396" s="28" t="s">
        <v>1381</v>
      </c>
      <c r="B396" s="28" t="s">
        <v>210</v>
      </c>
      <c r="C396" s="42" t="s">
        <v>1382</v>
      </c>
      <c r="D396" s="42" t="s">
        <v>1383</v>
      </c>
      <c r="E396" s="42" t="s">
        <v>650</v>
      </c>
      <c r="F396" s="28" t="s">
        <v>1384</v>
      </c>
      <c r="G396" s="28">
        <v>17.9</v>
      </c>
      <c r="H396" s="66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2.75" customHeight="1">
      <c r="A397" s="28" t="s">
        <v>765</v>
      </c>
      <c r="B397" s="28" t="s">
        <v>165</v>
      </c>
      <c r="C397" s="42" t="s">
        <v>1385</v>
      </c>
      <c r="D397" s="42" t="s">
        <v>837</v>
      </c>
      <c r="E397" s="42" t="s">
        <v>1386</v>
      </c>
      <c r="F397" s="28" t="s">
        <v>1387</v>
      </c>
      <c r="G397" s="28">
        <v>34.1</v>
      </c>
      <c r="H397" s="66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2.75" customHeight="1">
      <c r="A398" s="28" t="s">
        <v>1388</v>
      </c>
      <c r="B398" s="28" t="s">
        <v>210</v>
      </c>
      <c r="C398" s="42" t="s">
        <v>1389</v>
      </c>
      <c r="D398" s="42" t="s">
        <v>1390</v>
      </c>
      <c r="E398" s="42" t="s">
        <v>1391</v>
      </c>
      <c r="F398" s="28" t="s">
        <v>1392</v>
      </c>
      <c r="G398" s="28">
        <v>16.1</v>
      </c>
      <c r="H398" s="66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2.75" customHeight="1">
      <c r="A399" s="28" t="s">
        <v>748</v>
      </c>
      <c r="B399" s="28" t="s">
        <v>159</v>
      </c>
      <c r="C399" s="42" t="s">
        <v>1393</v>
      </c>
      <c r="D399" s="42" t="s">
        <v>198</v>
      </c>
      <c r="E399" s="42" t="s">
        <v>162</v>
      </c>
      <c r="F399" s="28" t="s">
        <v>1394</v>
      </c>
      <c r="G399" s="28">
        <v>21.6</v>
      </c>
      <c r="H399" s="66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2.75" customHeight="1">
      <c r="A400" s="28" t="s">
        <v>1395</v>
      </c>
      <c r="B400" s="28" t="s">
        <v>165</v>
      </c>
      <c r="C400" s="42" t="s">
        <v>1396</v>
      </c>
      <c r="D400" s="42" t="s">
        <v>216</v>
      </c>
      <c r="E400" s="42" t="s">
        <v>653</v>
      </c>
      <c r="F400" s="28" t="s">
        <v>1397</v>
      </c>
      <c r="G400" s="28">
        <v>29.8</v>
      </c>
      <c r="H400" s="66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2.75" customHeight="1">
      <c r="A401" s="28" t="s">
        <v>1398</v>
      </c>
      <c r="B401" s="28" t="s">
        <v>165</v>
      </c>
      <c r="C401" s="42" t="s">
        <v>1399</v>
      </c>
      <c r="D401" s="42" t="s">
        <v>832</v>
      </c>
      <c r="E401" s="42" t="s">
        <v>156</v>
      </c>
      <c r="F401" s="28" t="s">
        <v>996</v>
      </c>
      <c r="G401" s="28">
        <v>19.0</v>
      </c>
      <c r="H401" s="66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2.75" customHeight="1">
      <c r="A402" s="28" t="s">
        <v>179</v>
      </c>
      <c r="B402" s="28" t="s">
        <v>165</v>
      </c>
      <c r="C402" s="42" t="s">
        <v>1400</v>
      </c>
      <c r="D402" s="42" t="s">
        <v>1401</v>
      </c>
      <c r="E402" s="42" t="s">
        <v>162</v>
      </c>
      <c r="F402" s="28" t="s">
        <v>1402</v>
      </c>
      <c r="G402" s="28">
        <v>30.0</v>
      </c>
      <c r="H402" s="66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2.75" customHeight="1">
      <c r="A403" s="28" t="s">
        <v>158</v>
      </c>
      <c r="B403" s="28" t="s">
        <v>159</v>
      </c>
      <c r="C403" s="42" t="s">
        <v>1403</v>
      </c>
      <c r="D403" s="42" t="s">
        <v>198</v>
      </c>
      <c r="E403" s="42" t="s">
        <v>162</v>
      </c>
      <c r="F403" s="28" t="s">
        <v>1404</v>
      </c>
      <c r="G403" s="28">
        <v>25.4</v>
      </c>
      <c r="H403" s="66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2.75" customHeight="1">
      <c r="A404" s="28" t="s">
        <v>1405</v>
      </c>
      <c r="B404" s="28" t="s">
        <v>165</v>
      </c>
      <c r="C404" s="42" t="s">
        <v>1406</v>
      </c>
      <c r="D404" s="42" t="s">
        <v>917</v>
      </c>
      <c r="E404" s="42" t="s">
        <v>650</v>
      </c>
      <c r="F404" s="28" t="s">
        <v>1407</v>
      </c>
      <c r="G404" s="28">
        <v>31.4</v>
      </c>
      <c r="H404" s="66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2.75" customHeight="1">
      <c r="A405" s="28" t="s">
        <v>577</v>
      </c>
      <c r="B405" s="28" t="s">
        <v>262</v>
      </c>
      <c r="C405" s="42" t="s">
        <v>1408</v>
      </c>
      <c r="D405" s="42" t="s">
        <v>488</v>
      </c>
      <c r="E405" s="42" t="s">
        <v>1165</v>
      </c>
      <c r="F405" s="28" t="s">
        <v>1409</v>
      </c>
      <c r="G405" s="28">
        <v>31.1</v>
      </c>
      <c r="H405" s="66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2.75" customHeight="1">
      <c r="A406" s="28" t="s">
        <v>589</v>
      </c>
      <c r="B406" s="28" t="s">
        <v>159</v>
      </c>
      <c r="C406" s="42" t="s">
        <v>1410</v>
      </c>
      <c r="D406" s="42" t="s">
        <v>1411</v>
      </c>
      <c r="E406" s="42" t="s">
        <v>1412</v>
      </c>
      <c r="F406" s="28" t="s">
        <v>1413</v>
      </c>
      <c r="G406" s="28">
        <v>28.8</v>
      </c>
      <c r="H406" s="66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2.75" customHeight="1">
      <c r="A407" s="28" t="s">
        <v>790</v>
      </c>
      <c r="B407" s="28" t="s">
        <v>165</v>
      </c>
      <c r="C407" s="42" t="s">
        <v>1414</v>
      </c>
      <c r="D407" s="42" t="s">
        <v>415</v>
      </c>
      <c r="E407" s="42" t="s">
        <v>277</v>
      </c>
      <c r="F407" s="28" t="s">
        <v>1415</v>
      </c>
      <c r="G407" s="28">
        <v>21.0</v>
      </c>
      <c r="H407" s="66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2.75" customHeight="1">
      <c r="A408" s="28" t="s">
        <v>196</v>
      </c>
      <c r="B408" s="28" t="s">
        <v>153</v>
      </c>
      <c r="C408" s="42" t="s">
        <v>1416</v>
      </c>
      <c r="D408" s="42" t="s">
        <v>361</v>
      </c>
      <c r="E408" s="42" t="s">
        <v>199</v>
      </c>
      <c r="F408" s="28" t="s">
        <v>659</v>
      </c>
      <c r="G408" s="28">
        <v>14.9</v>
      </c>
      <c r="H408" s="66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2.75" customHeight="1">
      <c r="A409" s="28" t="s">
        <v>577</v>
      </c>
      <c r="B409" s="28" t="s">
        <v>159</v>
      </c>
      <c r="C409" s="42" t="s">
        <v>1417</v>
      </c>
      <c r="D409" s="42" t="s">
        <v>243</v>
      </c>
      <c r="E409" s="42" t="s">
        <v>460</v>
      </c>
      <c r="F409" s="28" t="s">
        <v>1418</v>
      </c>
      <c r="G409" s="28">
        <v>32.0</v>
      </c>
      <c r="H409" s="66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2.75" customHeight="1">
      <c r="A410" s="28" t="s">
        <v>896</v>
      </c>
      <c r="B410" s="28" t="s">
        <v>262</v>
      </c>
      <c r="C410" s="42" t="s">
        <v>1419</v>
      </c>
      <c r="D410" s="42" t="s">
        <v>633</v>
      </c>
      <c r="E410" s="42" t="s">
        <v>722</v>
      </c>
      <c r="F410" s="28" t="s">
        <v>1420</v>
      </c>
      <c r="G410" s="28">
        <v>21.0</v>
      </c>
      <c r="H410" s="66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2.75" customHeight="1">
      <c r="A411" s="28" t="s">
        <v>585</v>
      </c>
      <c r="B411" s="28" t="s">
        <v>602</v>
      </c>
      <c r="C411" s="42" t="s">
        <v>1421</v>
      </c>
      <c r="D411" s="42" t="s">
        <v>1422</v>
      </c>
      <c r="E411" s="42" t="s">
        <v>1154</v>
      </c>
      <c r="F411" s="28" t="s">
        <v>1423</v>
      </c>
      <c r="G411" s="28">
        <v>28.8</v>
      </c>
      <c r="H411" s="66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2.75" customHeight="1">
      <c r="A412" s="28" t="s">
        <v>1424</v>
      </c>
      <c r="B412" s="28" t="s">
        <v>165</v>
      </c>
      <c r="C412" s="42" t="s">
        <v>1425</v>
      </c>
      <c r="D412" s="42" t="s">
        <v>1426</v>
      </c>
      <c r="E412" s="42" t="s">
        <v>1427</v>
      </c>
      <c r="F412" s="28" t="s">
        <v>1428</v>
      </c>
      <c r="G412" s="28">
        <v>34.0</v>
      </c>
      <c r="H412" s="66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2.75" customHeight="1">
      <c r="A413" s="28" t="s">
        <v>748</v>
      </c>
      <c r="B413" s="28" t="s">
        <v>497</v>
      </c>
      <c r="C413" s="42" t="s">
        <v>1429</v>
      </c>
      <c r="D413" s="42" t="s">
        <v>731</v>
      </c>
      <c r="E413" s="42" t="s">
        <v>277</v>
      </c>
      <c r="F413" s="28" t="s">
        <v>1430</v>
      </c>
      <c r="G413" s="28">
        <v>31.5</v>
      </c>
      <c r="H413" s="66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2.75" customHeight="1">
      <c r="A414" s="28" t="s">
        <v>1056</v>
      </c>
      <c r="B414" s="28" t="s">
        <v>165</v>
      </c>
      <c r="C414" s="42" t="s">
        <v>1431</v>
      </c>
      <c r="D414" s="42" t="s">
        <v>799</v>
      </c>
      <c r="E414" s="42" t="s">
        <v>1432</v>
      </c>
      <c r="F414" s="28" t="s">
        <v>1433</v>
      </c>
      <c r="G414" s="28">
        <v>25.0</v>
      </c>
      <c r="H414" s="66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2.75" customHeight="1">
      <c r="A415" s="28" t="s">
        <v>1434</v>
      </c>
      <c r="B415" s="28" t="s">
        <v>165</v>
      </c>
      <c r="C415" s="42" t="s">
        <v>1435</v>
      </c>
      <c r="D415" s="42" t="s">
        <v>306</v>
      </c>
      <c r="E415" s="42" t="s">
        <v>1436</v>
      </c>
      <c r="F415" s="28" t="s">
        <v>1437</v>
      </c>
      <c r="G415" s="28">
        <v>28.1</v>
      </c>
      <c r="H415" s="66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2.75" customHeight="1">
      <c r="A416" s="28" t="s">
        <v>1438</v>
      </c>
      <c r="B416" s="28" t="s">
        <v>210</v>
      </c>
      <c r="C416" s="42" t="s">
        <v>1439</v>
      </c>
      <c r="D416" s="42" t="s">
        <v>1440</v>
      </c>
      <c r="E416" s="42" t="s">
        <v>162</v>
      </c>
      <c r="F416" s="28" t="s">
        <v>1441</v>
      </c>
      <c r="G416" s="28">
        <v>22.2</v>
      </c>
      <c r="H416" s="66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2.75" customHeight="1">
      <c r="A417" s="28" t="s">
        <v>896</v>
      </c>
      <c r="B417" s="28" t="s">
        <v>165</v>
      </c>
      <c r="C417" s="42" t="s">
        <v>1442</v>
      </c>
      <c r="D417" s="42" t="s">
        <v>240</v>
      </c>
      <c r="E417" s="42" t="s">
        <v>162</v>
      </c>
      <c r="F417" s="28" t="s">
        <v>1443</v>
      </c>
      <c r="G417" s="28">
        <v>22.2</v>
      </c>
      <c r="H417" s="66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2.75" customHeight="1">
      <c r="A418" s="28" t="s">
        <v>1444</v>
      </c>
      <c r="B418" s="28" t="s">
        <v>165</v>
      </c>
      <c r="C418" s="42" t="s">
        <v>1445</v>
      </c>
      <c r="D418" s="42" t="s">
        <v>216</v>
      </c>
      <c r="E418" s="42" t="s">
        <v>715</v>
      </c>
      <c r="F418" s="28" t="s">
        <v>1446</v>
      </c>
      <c r="G418" s="28">
        <v>23.1</v>
      </c>
      <c r="H418" s="66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2.75" customHeight="1">
      <c r="A419" s="28" t="s">
        <v>1447</v>
      </c>
      <c r="B419" s="28" t="s">
        <v>165</v>
      </c>
      <c r="C419" s="42" t="s">
        <v>1445</v>
      </c>
      <c r="D419" s="42" t="s">
        <v>251</v>
      </c>
      <c r="E419" s="42" t="s">
        <v>715</v>
      </c>
      <c r="F419" s="28" t="s">
        <v>1448</v>
      </c>
      <c r="G419" s="28">
        <v>28.7</v>
      </c>
      <c r="H419" s="66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2.75" customHeight="1">
      <c r="A420" s="28" t="s">
        <v>969</v>
      </c>
      <c r="B420" s="28" t="s">
        <v>262</v>
      </c>
      <c r="C420" s="42" t="s">
        <v>1449</v>
      </c>
      <c r="D420" s="42" t="s">
        <v>633</v>
      </c>
      <c r="E420" s="42" t="s">
        <v>307</v>
      </c>
      <c r="F420" s="28" t="s">
        <v>1450</v>
      </c>
      <c r="G420" s="28">
        <v>25.2</v>
      </c>
      <c r="H420" s="66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2.75" customHeight="1">
      <c r="A421" s="28" t="s">
        <v>1451</v>
      </c>
      <c r="B421" s="28" t="s">
        <v>165</v>
      </c>
      <c r="C421" s="42" t="s">
        <v>1449</v>
      </c>
      <c r="D421" s="42" t="s">
        <v>447</v>
      </c>
      <c r="E421" s="42" t="s">
        <v>653</v>
      </c>
      <c r="F421" s="28" t="s">
        <v>1452</v>
      </c>
      <c r="G421" s="28">
        <v>27.8</v>
      </c>
      <c r="H421" s="66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2.75" customHeight="1">
      <c r="A422" s="28" t="s">
        <v>1453</v>
      </c>
      <c r="B422" s="28" t="s">
        <v>165</v>
      </c>
      <c r="C422" s="42" t="s">
        <v>1454</v>
      </c>
      <c r="D422" s="42" t="s">
        <v>447</v>
      </c>
      <c r="E422" s="42" t="s">
        <v>653</v>
      </c>
      <c r="F422" s="28" t="s">
        <v>1455</v>
      </c>
      <c r="G422" s="28">
        <v>24.6</v>
      </c>
      <c r="H422" s="66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2.75" customHeight="1">
      <c r="A423" s="28" t="s">
        <v>1456</v>
      </c>
      <c r="B423" s="28" t="s">
        <v>165</v>
      </c>
      <c r="C423" s="42" t="s">
        <v>1454</v>
      </c>
      <c r="D423" s="42" t="s">
        <v>270</v>
      </c>
      <c r="E423" s="42" t="s">
        <v>653</v>
      </c>
      <c r="F423" s="28" t="s">
        <v>1457</v>
      </c>
      <c r="G423" s="28">
        <v>23.8</v>
      </c>
      <c r="H423" s="66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2.75" customHeight="1">
      <c r="A424" s="28" t="s">
        <v>1458</v>
      </c>
      <c r="B424" s="28" t="s">
        <v>210</v>
      </c>
      <c r="C424" s="42" t="s">
        <v>1459</v>
      </c>
      <c r="D424" s="42" t="s">
        <v>1460</v>
      </c>
      <c r="E424" s="42" t="s">
        <v>653</v>
      </c>
      <c r="F424" s="28" t="s">
        <v>1461</v>
      </c>
      <c r="G424" s="28">
        <v>25.3</v>
      </c>
      <c r="H424" s="66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2.75" customHeight="1">
      <c r="A425" s="28" t="s">
        <v>476</v>
      </c>
      <c r="B425" s="28" t="s">
        <v>165</v>
      </c>
      <c r="C425" s="42" t="s">
        <v>1462</v>
      </c>
      <c r="D425" s="42" t="s">
        <v>431</v>
      </c>
      <c r="E425" s="42" t="s">
        <v>162</v>
      </c>
      <c r="F425" s="28" t="s">
        <v>1463</v>
      </c>
      <c r="G425" s="28">
        <v>30.5</v>
      </c>
      <c r="H425" s="66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2.75" customHeight="1">
      <c r="A426" s="28" t="s">
        <v>1464</v>
      </c>
      <c r="B426" s="28" t="s">
        <v>210</v>
      </c>
      <c r="C426" s="42" t="s">
        <v>1465</v>
      </c>
      <c r="D426" s="42" t="s">
        <v>1466</v>
      </c>
      <c r="E426" s="42" t="s">
        <v>191</v>
      </c>
      <c r="F426" s="28" t="s">
        <v>1467</v>
      </c>
      <c r="G426" s="28">
        <v>19.7</v>
      </c>
      <c r="H426" s="66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2.75" customHeight="1">
      <c r="A427" s="28" t="s">
        <v>790</v>
      </c>
      <c r="B427" s="28" t="s">
        <v>165</v>
      </c>
      <c r="C427" s="42" t="s">
        <v>1468</v>
      </c>
      <c r="D427" s="42" t="s">
        <v>251</v>
      </c>
      <c r="E427" s="42" t="s">
        <v>1432</v>
      </c>
      <c r="F427" s="28" t="s">
        <v>1469</v>
      </c>
      <c r="G427" s="28">
        <v>30.9</v>
      </c>
      <c r="H427" s="66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2.75" customHeight="1">
      <c r="A428" s="28" t="s">
        <v>333</v>
      </c>
      <c r="B428" s="28" t="s">
        <v>215</v>
      </c>
      <c r="C428" s="42" t="s">
        <v>1470</v>
      </c>
      <c r="D428" s="42" t="s">
        <v>558</v>
      </c>
      <c r="E428" s="42" t="s">
        <v>1471</v>
      </c>
      <c r="F428" s="28" t="s">
        <v>1472</v>
      </c>
      <c r="G428" s="28">
        <v>20.6</v>
      </c>
      <c r="H428" s="66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2.75" customHeight="1">
      <c r="A429" s="28" t="s">
        <v>1053</v>
      </c>
      <c r="B429" s="28" t="s">
        <v>210</v>
      </c>
      <c r="C429" s="42" t="s">
        <v>1473</v>
      </c>
      <c r="D429" s="42" t="s">
        <v>1474</v>
      </c>
      <c r="E429" s="42" t="s">
        <v>156</v>
      </c>
      <c r="F429" s="28" t="s">
        <v>1475</v>
      </c>
      <c r="G429" s="28">
        <v>24.7</v>
      </c>
      <c r="H429" s="66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2.75" customHeight="1">
      <c r="A430" s="28" t="s">
        <v>206</v>
      </c>
      <c r="B430" s="28" t="s">
        <v>165</v>
      </c>
      <c r="C430" s="42" t="s">
        <v>1476</v>
      </c>
      <c r="D430" s="42" t="s">
        <v>1477</v>
      </c>
      <c r="E430" s="42" t="s">
        <v>1478</v>
      </c>
      <c r="F430" s="28" t="s">
        <v>1479</v>
      </c>
      <c r="G430" s="28">
        <v>28.0</v>
      </c>
      <c r="H430" s="66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2.75" customHeight="1">
      <c r="A431" s="28" t="s">
        <v>573</v>
      </c>
      <c r="B431" s="28" t="s">
        <v>165</v>
      </c>
      <c r="C431" s="42" t="s">
        <v>1480</v>
      </c>
      <c r="D431" s="42" t="s">
        <v>505</v>
      </c>
      <c r="E431" s="42" t="s">
        <v>156</v>
      </c>
      <c r="F431" s="28" t="s">
        <v>1481</v>
      </c>
      <c r="G431" s="28">
        <v>23.7</v>
      </c>
      <c r="H431" s="66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2.75" customHeight="1">
      <c r="A432" s="28" t="s">
        <v>238</v>
      </c>
      <c r="B432" s="28" t="s">
        <v>165</v>
      </c>
      <c r="C432" s="42" t="s">
        <v>1482</v>
      </c>
      <c r="D432" s="42" t="s">
        <v>194</v>
      </c>
      <c r="E432" s="42" t="s">
        <v>156</v>
      </c>
      <c r="F432" s="28" t="s">
        <v>1483</v>
      </c>
      <c r="G432" s="28">
        <v>19.1</v>
      </c>
      <c r="H432" s="66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2.75" customHeight="1">
      <c r="A433" s="28" t="s">
        <v>1350</v>
      </c>
      <c r="B433" s="28" t="s">
        <v>165</v>
      </c>
      <c r="C433" s="42" t="s">
        <v>1482</v>
      </c>
      <c r="D433" s="42" t="s">
        <v>1003</v>
      </c>
      <c r="E433" s="42" t="s">
        <v>156</v>
      </c>
      <c r="F433" s="28" t="s">
        <v>1484</v>
      </c>
      <c r="G433" s="28">
        <v>19.1</v>
      </c>
      <c r="H433" s="66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2.75" customHeight="1">
      <c r="A434" s="28" t="s">
        <v>1485</v>
      </c>
      <c r="B434" s="28" t="s">
        <v>165</v>
      </c>
      <c r="C434" s="42" t="s">
        <v>1486</v>
      </c>
      <c r="D434" s="42" t="s">
        <v>1153</v>
      </c>
      <c r="E434" s="42" t="s">
        <v>1487</v>
      </c>
      <c r="F434" s="28" t="s">
        <v>1488</v>
      </c>
      <c r="G434" s="28">
        <v>27.8</v>
      </c>
      <c r="H434" s="66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2.75" customHeight="1">
      <c r="A435" s="28" t="s">
        <v>1489</v>
      </c>
      <c r="B435" s="28" t="s">
        <v>876</v>
      </c>
      <c r="C435" s="42" t="s">
        <v>1490</v>
      </c>
      <c r="D435" s="42" t="s">
        <v>630</v>
      </c>
      <c r="E435" s="42" t="s">
        <v>1491</v>
      </c>
      <c r="F435" s="28" t="s">
        <v>1492</v>
      </c>
      <c r="G435" s="28">
        <v>36.8</v>
      </c>
      <c r="H435" s="66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2.75" customHeight="1">
      <c r="A436" s="28" t="s">
        <v>1493</v>
      </c>
      <c r="B436" s="28" t="s">
        <v>319</v>
      </c>
      <c r="C436" s="42" t="s">
        <v>1494</v>
      </c>
      <c r="D436" s="42" t="s">
        <v>1495</v>
      </c>
      <c r="E436" s="42" t="s">
        <v>1412</v>
      </c>
      <c r="F436" s="28" t="s">
        <v>1496</v>
      </c>
      <c r="G436" s="28">
        <v>43.2</v>
      </c>
      <c r="H436" s="66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2.75" customHeight="1">
      <c r="A437" s="28" t="s">
        <v>1497</v>
      </c>
      <c r="B437" s="28" t="s">
        <v>210</v>
      </c>
      <c r="C437" s="42" t="s">
        <v>1498</v>
      </c>
      <c r="D437" s="42" t="s">
        <v>1499</v>
      </c>
      <c r="E437" s="42" t="s">
        <v>388</v>
      </c>
      <c r="F437" s="28" t="s">
        <v>1500</v>
      </c>
      <c r="G437" s="28">
        <v>20.0</v>
      </c>
      <c r="H437" s="66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2.75" customHeight="1">
      <c r="A438" s="28" t="s">
        <v>765</v>
      </c>
      <c r="B438" s="28" t="s">
        <v>262</v>
      </c>
      <c r="C438" s="42" t="s">
        <v>1501</v>
      </c>
      <c r="D438" s="42" t="s">
        <v>1276</v>
      </c>
      <c r="E438" s="42" t="s">
        <v>1502</v>
      </c>
      <c r="F438" s="28" t="s">
        <v>1503</v>
      </c>
      <c r="G438" s="28">
        <v>26.3</v>
      </c>
      <c r="H438" s="66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2.75" customHeight="1">
      <c r="A439" s="28" t="s">
        <v>466</v>
      </c>
      <c r="B439" s="28" t="s">
        <v>159</v>
      </c>
      <c r="C439" s="42" t="s">
        <v>1504</v>
      </c>
      <c r="D439" s="42" t="s">
        <v>1218</v>
      </c>
      <c r="E439" s="42" t="s">
        <v>1300</v>
      </c>
      <c r="F439" s="28" t="s">
        <v>1505</v>
      </c>
      <c r="G439" s="28">
        <v>31.2</v>
      </c>
      <c r="H439" s="66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2.75" customHeight="1">
      <c r="A440" s="28" t="s">
        <v>257</v>
      </c>
      <c r="B440" s="28" t="s">
        <v>165</v>
      </c>
      <c r="C440" s="42" t="s">
        <v>1506</v>
      </c>
      <c r="D440" s="42" t="s">
        <v>259</v>
      </c>
      <c r="E440" s="42" t="s">
        <v>156</v>
      </c>
      <c r="F440" s="28" t="s">
        <v>1507</v>
      </c>
      <c r="G440" s="28">
        <v>22.8</v>
      </c>
      <c r="H440" s="66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2.75" customHeight="1">
      <c r="A441" s="28" t="s">
        <v>1508</v>
      </c>
      <c r="B441" s="28" t="s">
        <v>165</v>
      </c>
      <c r="C441" s="42" t="s">
        <v>1509</v>
      </c>
      <c r="D441" s="42" t="s">
        <v>447</v>
      </c>
      <c r="E441" s="42" t="s">
        <v>162</v>
      </c>
      <c r="F441" s="28" t="s">
        <v>1223</v>
      </c>
      <c r="G441" s="28">
        <v>24.6</v>
      </c>
      <c r="H441" s="66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2.75" customHeight="1">
      <c r="A442" s="28" t="s">
        <v>1510</v>
      </c>
      <c r="B442" s="28" t="s">
        <v>457</v>
      </c>
      <c r="C442" s="42" t="s">
        <v>1511</v>
      </c>
      <c r="D442" s="42" t="s">
        <v>1512</v>
      </c>
      <c r="E442" s="42" t="s">
        <v>1513</v>
      </c>
      <c r="F442" s="28" t="s">
        <v>1514</v>
      </c>
      <c r="G442" s="28">
        <v>43.4</v>
      </c>
      <c r="H442" s="66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2.75" customHeight="1">
      <c r="A443" s="28" t="s">
        <v>682</v>
      </c>
      <c r="B443" s="28" t="s">
        <v>159</v>
      </c>
      <c r="C443" s="42" t="s">
        <v>1515</v>
      </c>
      <c r="D443" s="42" t="s">
        <v>837</v>
      </c>
      <c r="E443" s="42" t="s">
        <v>162</v>
      </c>
      <c r="F443" s="28" t="s">
        <v>1516</v>
      </c>
      <c r="G443" s="28">
        <v>29.1</v>
      </c>
      <c r="H443" s="66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2.75" customHeight="1">
      <c r="A444" s="28" t="s">
        <v>577</v>
      </c>
      <c r="B444" s="28" t="s">
        <v>159</v>
      </c>
      <c r="C444" s="42" t="s">
        <v>1517</v>
      </c>
      <c r="D444" s="42" t="s">
        <v>240</v>
      </c>
      <c r="E444" s="42" t="s">
        <v>1518</v>
      </c>
      <c r="F444" s="28" t="s">
        <v>1519</v>
      </c>
      <c r="G444" s="28">
        <v>32.4</v>
      </c>
      <c r="H444" s="66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2.75" customHeight="1">
      <c r="A445" s="28" t="s">
        <v>614</v>
      </c>
      <c r="B445" s="28" t="s">
        <v>165</v>
      </c>
      <c r="C445" s="42" t="s">
        <v>1520</v>
      </c>
      <c r="D445" s="42" t="s">
        <v>141</v>
      </c>
      <c r="E445" s="42" t="s">
        <v>156</v>
      </c>
      <c r="F445" s="28" t="s">
        <v>1521</v>
      </c>
      <c r="G445" s="28">
        <v>20.8</v>
      </c>
      <c r="H445" s="66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2.75" customHeight="1">
      <c r="A446" s="28" t="s">
        <v>614</v>
      </c>
      <c r="B446" s="28" t="s">
        <v>165</v>
      </c>
      <c r="C446" s="42" t="s">
        <v>1520</v>
      </c>
      <c r="D446" s="42" t="s">
        <v>447</v>
      </c>
      <c r="E446" s="42" t="s">
        <v>156</v>
      </c>
      <c r="F446" s="28" t="s">
        <v>1522</v>
      </c>
      <c r="G446" s="28">
        <v>23.4</v>
      </c>
      <c r="H446" s="66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2.75" customHeight="1">
      <c r="A447" s="28" t="s">
        <v>1098</v>
      </c>
      <c r="B447" s="28" t="s">
        <v>165</v>
      </c>
      <c r="C447" s="42" t="s">
        <v>1523</v>
      </c>
      <c r="D447" s="42" t="s">
        <v>251</v>
      </c>
      <c r="E447" s="42" t="s">
        <v>1524</v>
      </c>
      <c r="F447" s="28" t="s">
        <v>1525</v>
      </c>
      <c r="G447" s="28">
        <v>35.0</v>
      </c>
      <c r="H447" s="66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2.75" customHeight="1">
      <c r="A448" s="28" t="s">
        <v>1526</v>
      </c>
      <c r="B448" s="28" t="s">
        <v>210</v>
      </c>
      <c r="C448" s="42" t="s">
        <v>1527</v>
      </c>
      <c r="D448" s="42" t="s">
        <v>1528</v>
      </c>
      <c r="E448" s="42" t="s">
        <v>722</v>
      </c>
      <c r="F448" s="28" t="s">
        <v>1529</v>
      </c>
      <c r="G448" s="28">
        <v>20.2</v>
      </c>
      <c r="H448" s="66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2.75" customHeight="1">
      <c r="A449" s="28" t="s">
        <v>896</v>
      </c>
      <c r="B449" s="28" t="s">
        <v>153</v>
      </c>
      <c r="C449" s="42" t="s">
        <v>1530</v>
      </c>
      <c r="D449" s="42" t="s">
        <v>395</v>
      </c>
      <c r="E449" s="42" t="s">
        <v>162</v>
      </c>
      <c r="F449" s="28" t="s">
        <v>1531</v>
      </c>
      <c r="G449" s="28">
        <v>21.7</v>
      </c>
      <c r="H449" s="66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2.75" customHeight="1">
      <c r="A450" s="28" t="s">
        <v>765</v>
      </c>
      <c r="B450" s="28" t="s">
        <v>153</v>
      </c>
      <c r="C450" s="42" t="s">
        <v>1532</v>
      </c>
      <c r="D450" s="42" t="s">
        <v>1027</v>
      </c>
      <c r="E450" s="42" t="s">
        <v>1518</v>
      </c>
      <c r="F450" s="28" t="s">
        <v>1533</v>
      </c>
      <c r="G450" s="28">
        <v>24.6</v>
      </c>
      <c r="H450" s="66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2.75" customHeight="1">
      <c r="A451" s="28" t="s">
        <v>1199</v>
      </c>
      <c r="B451" s="28" t="s">
        <v>159</v>
      </c>
      <c r="C451" s="42" t="s">
        <v>1534</v>
      </c>
      <c r="D451" s="42" t="s">
        <v>401</v>
      </c>
      <c r="E451" s="42" t="s">
        <v>1535</v>
      </c>
      <c r="F451" s="28" t="s">
        <v>1536</v>
      </c>
      <c r="G451" s="28">
        <v>31.3</v>
      </c>
      <c r="H451" s="66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2.75" customHeight="1">
      <c r="A452" s="28" t="s">
        <v>1537</v>
      </c>
      <c r="B452" s="28" t="s">
        <v>165</v>
      </c>
      <c r="C452" s="42" t="s">
        <v>1534</v>
      </c>
      <c r="D452" s="42" t="s">
        <v>837</v>
      </c>
      <c r="E452" s="42" t="s">
        <v>162</v>
      </c>
      <c r="F452" s="28" t="s">
        <v>1538</v>
      </c>
      <c r="G452" s="28">
        <v>28.9</v>
      </c>
      <c r="H452" s="66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2.75" customHeight="1">
      <c r="A453" s="28" t="s">
        <v>1539</v>
      </c>
      <c r="B453" s="28" t="s">
        <v>165</v>
      </c>
      <c r="C453" s="42" t="s">
        <v>1540</v>
      </c>
      <c r="D453" s="42" t="s">
        <v>384</v>
      </c>
      <c r="E453" s="42" t="s">
        <v>191</v>
      </c>
      <c r="F453" s="28" t="s">
        <v>1541</v>
      </c>
      <c r="G453" s="28">
        <v>28.4</v>
      </c>
      <c r="H453" s="66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2.75" customHeight="1">
      <c r="A454" s="28" t="s">
        <v>1542</v>
      </c>
      <c r="B454" s="28" t="s">
        <v>165</v>
      </c>
      <c r="C454" s="42" t="s">
        <v>1543</v>
      </c>
      <c r="D454" s="42" t="s">
        <v>702</v>
      </c>
      <c r="E454" s="42" t="s">
        <v>1544</v>
      </c>
      <c r="F454" s="28" t="s">
        <v>1545</v>
      </c>
      <c r="G454" s="28">
        <v>17.1</v>
      </c>
      <c r="H454" s="66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2.75" customHeight="1">
      <c r="A455" s="28" t="s">
        <v>1546</v>
      </c>
      <c r="B455" s="28" t="s">
        <v>165</v>
      </c>
      <c r="C455" s="42" t="s">
        <v>1547</v>
      </c>
      <c r="D455" s="42" t="s">
        <v>240</v>
      </c>
      <c r="E455" s="42" t="s">
        <v>1548</v>
      </c>
      <c r="F455" s="28" t="s">
        <v>1549</v>
      </c>
      <c r="G455" s="28">
        <v>29.3</v>
      </c>
      <c r="H455" s="66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2.75" customHeight="1">
      <c r="A456" s="28" t="s">
        <v>1350</v>
      </c>
      <c r="B456" s="28" t="s">
        <v>165</v>
      </c>
      <c r="C456" s="42" t="s">
        <v>1550</v>
      </c>
      <c r="D456" s="42" t="s">
        <v>240</v>
      </c>
      <c r="E456" s="42" t="s">
        <v>564</v>
      </c>
      <c r="F456" s="28" t="s">
        <v>1551</v>
      </c>
      <c r="G456" s="28">
        <v>24.0</v>
      </c>
      <c r="H456" s="66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2.75" customHeight="1">
      <c r="A457" s="28" t="s">
        <v>1552</v>
      </c>
      <c r="B457" s="28" t="s">
        <v>165</v>
      </c>
      <c r="C457" s="42" t="s">
        <v>1553</v>
      </c>
      <c r="D457" s="42" t="s">
        <v>240</v>
      </c>
      <c r="E457" s="42" t="s">
        <v>1554</v>
      </c>
      <c r="F457" s="28" t="s">
        <v>1555</v>
      </c>
      <c r="G457" s="28">
        <v>27.4</v>
      </c>
      <c r="H457" s="66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2.75" customHeight="1">
      <c r="A458" s="28" t="s">
        <v>577</v>
      </c>
      <c r="B458" s="28" t="s">
        <v>219</v>
      </c>
      <c r="C458" s="42" t="s">
        <v>1556</v>
      </c>
      <c r="D458" s="42" t="s">
        <v>306</v>
      </c>
      <c r="E458" s="42" t="s">
        <v>307</v>
      </c>
      <c r="F458" s="28" t="s">
        <v>1557</v>
      </c>
      <c r="G458" s="28">
        <v>32.7</v>
      </c>
      <c r="H458" s="66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2.75" customHeight="1">
      <c r="A459" s="28" t="s">
        <v>1558</v>
      </c>
      <c r="B459" s="28" t="s">
        <v>165</v>
      </c>
      <c r="C459" s="42" t="s">
        <v>1559</v>
      </c>
      <c r="D459" s="42" t="s">
        <v>939</v>
      </c>
      <c r="E459" s="42" t="s">
        <v>172</v>
      </c>
      <c r="F459" s="28" t="s">
        <v>1560</v>
      </c>
      <c r="G459" s="28">
        <v>20.3</v>
      </c>
      <c r="H459" s="66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2.75" customHeight="1">
      <c r="A460" s="28" t="s">
        <v>1561</v>
      </c>
      <c r="B460" s="28" t="s">
        <v>210</v>
      </c>
      <c r="C460" s="42" t="s">
        <v>1562</v>
      </c>
      <c r="D460" s="42" t="s">
        <v>349</v>
      </c>
      <c r="E460" s="42" t="s">
        <v>650</v>
      </c>
      <c r="F460" s="28" t="s">
        <v>1563</v>
      </c>
      <c r="G460" s="28">
        <v>30.5</v>
      </c>
      <c r="H460" s="66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2.75" customHeight="1">
      <c r="A461" s="28" t="s">
        <v>1564</v>
      </c>
      <c r="B461" s="28" t="s">
        <v>210</v>
      </c>
      <c r="C461" s="42" t="s">
        <v>1565</v>
      </c>
      <c r="D461" s="42" t="s">
        <v>155</v>
      </c>
      <c r="E461" s="42" t="s">
        <v>1566</v>
      </c>
      <c r="F461" s="28" t="s">
        <v>1567</v>
      </c>
      <c r="G461" s="28">
        <v>29.6</v>
      </c>
      <c r="H461" s="66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2.75" customHeight="1">
      <c r="A462" s="28" t="s">
        <v>1568</v>
      </c>
      <c r="B462" s="28" t="s">
        <v>165</v>
      </c>
      <c r="C462" s="42" t="s">
        <v>1569</v>
      </c>
      <c r="D462" s="42" t="s">
        <v>171</v>
      </c>
      <c r="E462" s="42" t="s">
        <v>172</v>
      </c>
      <c r="F462" s="28" t="s">
        <v>1570</v>
      </c>
      <c r="G462" s="28">
        <v>20.8</v>
      </c>
      <c r="H462" s="66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2.75" customHeight="1">
      <c r="A463" s="28" t="s">
        <v>677</v>
      </c>
      <c r="B463" s="28" t="s">
        <v>159</v>
      </c>
      <c r="C463" s="42" t="s">
        <v>1571</v>
      </c>
      <c r="D463" s="42" t="s">
        <v>606</v>
      </c>
      <c r="E463" s="42" t="s">
        <v>1572</v>
      </c>
      <c r="F463" s="28" t="s">
        <v>830</v>
      </c>
      <c r="G463" s="28">
        <v>31.5</v>
      </c>
      <c r="H463" s="66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2.75" customHeight="1">
      <c r="A464" s="28" t="s">
        <v>1573</v>
      </c>
      <c r="B464" s="28" t="s">
        <v>165</v>
      </c>
      <c r="C464" s="42" t="s">
        <v>1574</v>
      </c>
      <c r="D464" s="42" t="s">
        <v>917</v>
      </c>
      <c r="E464" s="42" t="s">
        <v>1575</v>
      </c>
      <c r="F464" s="28" t="s">
        <v>1576</v>
      </c>
      <c r="G464" s="28">
        <v>30.8</v>
      </c>
      <c r="H464" s="66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2.75" customHeight="1">
      <c r="A465" s="28" t="s">
        <v>1577</v>
      </c>
      <c r="B465" s="28" t="s">
        <v>210</v>
      </c>
      <c r="C465" s="42" t="s">
        <v>1578</v>
      </c>
      <c r="D465" s="42" t="s">
        <v>1579</v>
      </c>
      <c r="E465" s="42" t="s">
        <v>388</v>
      </c>
      <c r="F465" s="28" t="s">
        <v>1580</v>
      </c>
      <c r="G465" s="28">
        <v>27.3</v>
      </c>
      <c r="H465" s="66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2.75" customHeight="1">
      <c r="A466" s="28" t="s">
        <v>1581</v>
      </c>
      <c r="B466" s="28" t="s">
        <v>165</v>
      </c>
      <c r="C466" s="42" t="s">
        <v>1582</v>
      </c>
      <c r="D466" s="42" t="s">
        <v>1583</v>
      </c>
      <c r="E466" s="42" t="s">
        <v>388</v>
      </c>
      <c r="F466" s="28" t="s">
        <v>1584</v>
      </c>
      <c r="G466" s="28">
        <v>24.4</v>
      </c>
      <c r="H466" s="66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2.75" customHeight="1">
      <c r="A467" s="28" t="s">
        <v>869</v>
      </c>
      <c r="B467" s="28" t="s">
        <v>165</v>
      </c>
      <c r="C467" s="42" t="s">
        <v>1585</v>
      </c>
      <c r="D467" s="42" t="s">
        <v>1153</v>
      </c>
      <c r="E467" s="42" t="s">
        <v>162</v>
      </c>
      <c r="F467" s="28" t="s">
        <v>1586</v>
      </c>
      <c r="G467" s="28">
        <v>32.7</v>
      </c>
      <c r="H467" s="66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2.75" customHeight="1">
      <c r="A468" s="28" t="s">
        <v>1587</v>
      </c>
      <c r="B468" s="28" t="s">
        <v>210</v>
      </c>
      <c r="C468" s="42" t="s">
        <v>1588</v>
      </c>
      <c r="D468" s="42" t="s">
        <v>1589</v>
      </c>
      <c r="E468" s="42" t="s">
        <v>162</v>
      </c>
      <c r="F468" s="28" t="s">
        <v>1590</v>
      </c>
      <c r="G468" s="28">
        <v>23.5</v>
      </c>
      <c r="H468" s="66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2.75" customHeight="1">
      <c r="A469" s="28" t="s">
        <v>1591</v>
      </c>
      <c r="B469" s="28" t="s">
        <v>165</v>
      </c>
      <c r="C469" s="42" t="s">
        <v>1592</v>
      </c>
      <c r="D469" s="42" t="s">
        <v>516</v>
      </c>
      <c r="E469" s="42" t="s">
        <v>1593</v>
      </c>
      <c r="F469" s="28" t="s">
        <v>1594</v>
      </c>
      <c r="G469" s="28">
        <v>28.6</v>
      </c>
      <c r="H469" s="66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2.75" customHeight="1">
      <c r="A470" s="28" t="s">
        <v>1595</v>
      </c>
      <c r="B470" s="28" t="s">
        <v>165</v>
      </c>
      <c r="C470" s="42" t="s">
        <v>1592</v>
      </c>
      <c r="D470" s="42" t="s">
        <v>286</v>
      </c>
      <c r="E470" s="42" t="s">
        <v>162</v>
      </c>
      <c r="F470" s="28" t="s">
        <v>1596</v>
      </c>
      <c r="G470" s="28">
        <v>20.6</v>
      </c>
      <c r="H470" s="66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2.75" customHeight="1">
      <c r="A471" s="28" t="s">
        <v>960</v>
      </c>
      <c r="B471" s="28" t="s">
        <v>159</v>
      </c>
      <c r="C471" s="42" t="s">
        <v>1597</v>
      </c>
      <c r="D471" s="42" t="s">
        <v>522</v>
      </c>
      <c r="E471" s="42" t="s">
        <v>511</v>
      </c>
      <c r="F471" s="28" t="s">
        <v>1598</v>
      </c>
      <c r="G471" s="28">
        <v>36.5</v>
      </c>
      <c r="H471" s="66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2.75" customHeight="1">
      <c r="A472" s="28" t="s">
        <v>1599</v>
      </c>
      <c r="B472" s="28" t="s">
        <v>210</v>
      </c>
      <c r="C472" s="42" t="s">
        <v>1600</v>
      </c>
      <c r="D472" s="42" t="s">
        <v>1601</v>
      </c>
      <c r="E472" s="42" t="s">
        <v>1602</v>
      </c>
      <c r="F472" s="28" t="s">
        <v>1603</v>
      </c>
      <c r="G472" s="28">
        <v>28.4</v>
      </c>
      <c r="H472" s="66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2.75" customHeight="1">
      <c r="A473" s="28" t="s">
        <v>196</v>
      </c>
      <c r="B473" s="28" t="s">
        <v>602</v>
      </c>
      <c r="C473" s="42" t="s">
        <v>1604</v>
      </c>
      <c r="D473" s="42" t="s">
        <v>687</v>
      </c>
      <c r="E473" s="42" t="s">
        <v>199</v>
      </c>
      <c r="F473" s="28" t="s">
        <v>1605</v>
      </c>
      <c r="G473" s="28">
        <v>27.1</v>
      </c>
      <c r="H473" s="66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2.75" customHeight="1">
      <c r="A474" s="28" t="s">
        <v>196</v>
      </c>
      <c r="B474" s="28" t="s">
        <v>219</v>
      </c>
      <c r="C474" s="42" t="s">
        <v>1604</v>
      </c>
      <c r="D474" s="42" t="s">
        <v>1153</v>
      </c>
      <c r="E474" s="42" t="s">
        <v>199</v>
      </c>
      <c r="F474" s="28" t="s">
        <v>1606</v>
      </c>
      <c r="G474" s="28">
        <v>26.4</v>
      </c>
      <c r="H474" s="66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2.75" customHeight="1">
      <c r="A475" s="28" t="s">
        <v>1607</v>
      </c>
      <c r="B475" s="28" t="s">
        <v>210</v>
      </c>
      <c r="C475" s="42" t="s">
        <v>1608</v>
      </c>
      <c r="D475" s="42" t="s">
        <v>1609</v>
      </c>
      <c r="E475" s="42" t="s">
        <v>559</v>
      </c>
      <c r="F475" s="28" t="s">
        <v>1610</v>
      </c>
      <c r="G475" s="28">
        <v>25.3</v>
      </c>
      <c r="H475" s="66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2.75" customHeight="1">
      <c r="A476" s="28" t="s">
        <v>1611</v>
      </c>
      <c r="B476" s="28" t="s">
        <v>165</v>
      </c>
      <c r="C476" s="42" t="s">
        <v>1612</v>
      </c>
      <c r="D476" s="42" t="s">
        <v>1613</v>
      </c>
      <c r="E476" s="42" t="s">
        <v>559</v>
      </c>
      <c r="F476" s="28" t="s">
        <v>1614</v>
      </c>
      <c r="G476" s="28">
        <v>27.3</v>
      </c>
      <c r="H476" s="66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2.75" customHeight="1">
      <c r="A477" s="28" t="s">
        <v>1615</v>
      </c>
      <c r="B477" s="28" t="s">
        <v>210</v>
      </c>
      <c r="C477" s="42" t="s">
        <v>1616</v>
      </c>
      <c r="D477" s="42" t="s">
        <v>1617</v>
      </c>
      <c r="E477" s="42" t="s">
        <v>1019</v>
      </c>
      <c r="F477" s="28" t="s">
        <v>1618</v>
      </c>
      <c r="G477" s="28">
        <v>20.8</v>
      </c>
      <c r="H477" s="66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2.75" customHeight="1">
      <c r="A478" s="28" t="s">
        <v>1619</v>
      </c>
      <c r="B478" s="28" t="s">
        <v>487</v>
      </c>
      <c r="C478" s="42" t="s">
        <v>1620</v>
      </c>
      <c r="D478" s="42" t="s">
        <v>1621</v>
      </c>
      <c r="E478" s="42" t="s">
        <v>1019</v>
      </c>
      <c r="F478" s="28" t="s">
        <v>1622</v>
      </c>
      <c r="G478" s="28">
        <v>41.7</v>
      </c>
      <c r="H478" s="66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2.75" customHeight="1">
      <c r="A479" s="28" t="s">
        <v>1623</v>
      </c>
      <c r="B479" s="28" t="s">
        <v>165</v>
      </c>
      <c r="C479" s="42" t="s">
        <v>1624</v>
      </c>
      <c r="D479" s="42" t="s">
        <v>185</v>
      </c>
      <c r="E479" s="42" t="s">
        <v>650</v>
      </c>
      <c r="F479" s="28" t="s">
        <v>1625</v>
      </c>
      <c r="G479" s="28">
        <v>26.5</v>
      </c>
      <c r="H479" s="66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2.75" customHeight="1">
      <c r="A480" s="28" t="s">
        <v>843</v>
      </c>
      <c r="B480" s="28" t="s">
        <v>153</v>
      </c>
      <c r="C480" s="42" t="s">
        <v>1626</v>
      </c>
      <c r="D480" s="42" t="s">
        <v>1063</v>
      </c>
      <c r="E480" s="42" t="s">
        <v>1627</v>
      </c>
      <c r="F480" s="28" t="s">
        <v>1628</v>
      </c>
      <c r="G480" s="28">
        <v>19.3</v>
      </c>
      <c r="H480" s="66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2.75" customHeight="1">
      <c r="A481" s="28" t="s">
        <v>1629</v>
      </c>
      <c r="B481" s="28" t="s">
        <v>210</v>
      </c>
      <c r="C481" s="42" t="s">
        <v>1630</v>
      </c>
      <c r="D481" s="42" t="s">
        <v>1631</v>
      </c>
      <c r="E481" s="42" t="s">
        <v>559</v>
      </c>
      <c r="F481" s="28" t="s">
        <v>1632</v>
      </c>
      <c r="G481" s="28">
        <v>24.2</v>
      </c>
      <c r="H481" s="66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2.75" customHeight="1">
      <c r="A482" s="28" t="s">
        <v>573</v>
      </c>
      <c r="B482" s="28" t="s">
        <v>210</v>
      </c>
      <c r="C482" s="42" t="s">
        <v>1633</v>
      </c>
      <c r="D482" s="42" t="s">
        <v>796</v>
      </c>
      <c r="E482" s="42" t="s">
        <v>1634</v>
      </c>
      <c r="F482" s="28" t="s">
        <v>1635</v>
      </c>
      <c r="G482" s="28">
        <v>23.1</v>
      </c>
      <c r="H482" s="66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2.75" customHeight="1">
      <c r="A483" s="28" t="s">
        <v>672</v>
      </c>
      <c r="B483" s="28" t="s">
        <v>673</v>
      </c>
      <c r="C483" s="42" t="s">
        <v>1633</v>
      </c>
      <c r="D483" s="42" t="s">
        <v>1636</v>
      </c>
      <c r="E483" s="42" t="s">
        <v>594</v>
      </c>
      <c r="F483" s="28" t="s">
        <v>1637</v>
      </c>
      <c r="G483" s="28">
        <v>18.3</v>
      </c>
      <c r="H483" s="66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2.75" customHeight="1">
      <c r="A484" s="28" t="s">
        <v>231</v>
      </c>
      <c r="B484" s="28" t="s">
        <v>165</v>
      </c>
      <c r="C484" s="42" t="s">
        <v>1638</v>
      </c>
      <c r="D484" s="42" t="s">
        <v>1276</v>
      </c>
      <c r="E484" s="42" t="s">
        <v>156</v>
      </c>
      <c r="F484" s="28" t="s">
        <v>1639</v>
      </c>
      <c r="G484" s="28">
        <v>16.5</v>
      </c>
      <c r="H484" s="66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2.75" customHeight="1">
      <c r="A485" s="28" t="s">
        <v>231</v>
      </c>
      <c r="B485" s="28" t="s">
        <v>165</v>
      </c>
      <c r="C485" s="42" t="s">
        <v>1638</v>
      </c>
      <c r="D485" s="42" t="s">
        <v>481</v>
      </c>
      <c r="E485" s="42" t="s">
        <v>1640</v>
      </c>
      <c r="F485" s="28" t="s">
        <v>1641</v>
      </c>
      <c r="G485" s="28">
        <v>16.6</v>
      </c>
      <c r="H485" s="66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2.75" customHeight="1">
      <c r="A486" s="28" t="s">
        <v>231</v>
      </c>
      <c r="B486" s="28" t="s">
        <v>165</v>
      </c>
      <c r="C486" s="42" t="s">
        <v>1638</v>
      </c>
      <c r="D486" s="42" t="s">
        <v>1276</v>
      </c>
      <c r="E486" s="42" t="s">
        <v>1640</v>
      </c>
      <c r="F486" s="28" t="s">
        <v>1642</v>
      </c>
      <c r="G486" s="28">
        <v>16.6</v>
      </c>
      <c r="H486" s="66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2.75" customHeight="1">
      <c r="A487" s="28" t="s">
        <v>231</v>
      </c>
      <c r="B487" s="28" t="s">
        <v>165</v>
      </c>
      <c r="C487" s="42" t="s">
        <v>1638</v>
      </c>
      <c r="D487" s="42" t="s">
        <v>447</v>
      </c>
      <c r="E487" s="42" t="s">
        <v>1006</v>
      </c>
      <c r="F487" s="28" t="s">
        <v>906</v>
      </c>
      <c r="G487" s="28">
        <v>21.8</v>
      </c>
      <c r="H487" s="66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2.75" customHeight="1">
      <c r="A488" s="28" t="s">
        <v>583</v>
      </c>
      <c r="B488" s="28" t="s">
        <v>219</v>
      </c>
      <c r="C488" s="42" t="s">
        <v>1638</v>
      </c>
      <c r="D488" s="42" t="s">
        <v>1643</v>
      </c>
      <c r="E488" s="42" t="s">
        <v>594</v>
      </c>
      <c r="F488" s="28" t="s">
        <v>1644</v>
      </c>
      <c r="G488" s="28">
        <v>28.7</v>
      </c>
      <c r="H488" s="66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2.75" customHeight="1">
      <c r="A489" s="28" t="s">
        <v>773</v>
      </c>
      <c r="B489" s="28" t="s">
        <v>159</v>
      </c>
      <c r="C489" s="42" t="s">
        <v>1638</v>
      </c>
      <c r="D489" s="42" t="s">
        <v>251</v>
      </c>
      <c r="E489" s="42" t="s">
        <v>162</v>
      </c>
      <c r="F489" s="28" t="s">
        <v>1645</v>
      </c>
      <c r="G489" s="28">
        <v>28.8</v>
      </c>
      <c r="H489" s="66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2.75" customHeight="1">
      <c r="A490" s="28" t="s">
        <v>847</v>
      </c>
      <c r="B490" s="28" t="s">
        <v>215</v>
      </c>
      <c r="C490" s="42" t="s">
        <v>1638</v>
      </c>
      <c r="D490" s="42" t="s">
        <v>208</v>
      </c>
      <c r="E490" s="42" t="s">
        <v>594</v>
      </c>
      <c r="F490" s="28" t="s">
        <v>1646</v>
      </c>
      <c r="G490" s="28">
        <v>28.9</v>
      </c>
      <c r="H490" s="66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2.75" customHeight="1">
      <c r="A491" s="28" t="s">
        <v>503</v>
      </c>
      <c r="B491" s="28" t="s">
        <v>215</v>
      </c>
      <c r="C491" s="42" t="s">
        <v>1638</v>
      </c>
      <c r="D491" s="42" t="s">
        <v>270</v>
      </c>
      <c r="E491" s="42" t="s">
        <v>1634</v>
      </c>
      <c r="F491" s="28" t="s">
        <v>1647</v>
      </c>
      <c r="G491" s="28">
        <v>27.2</v>
      </c>
      <c r="H491" s="66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2.75" customHeight="1">
      <c r="A492" s="28" t="s">
        <v>1648</v>
      </c>
      <c r="B492" s="28" t="s">
        <v>165</v>
      </c>
      <c r="C492" s="42" t="s">
        <v>1638</v>
      </c>
      <c r="D492" s="42" t="s">
        <v>774</v>
      </c>
      <c r="E492" s="42" t="s">
        <v>162</v>
      </c>
      <c r="F492" s="28" t="s">
        <v>1649</v>
      </c>
      <c r="G492" s="28">
        <v>33.8</v>
      </c>
      <c r="H492" s="66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2.75" customHeight="1">
      <c r="A493" s="28" t="s">
        <v>1650</v>
      </c>
      <c r="B493" s="28" t="s">
        <v>210</v>
      </c>
      <c r="C493" s="42" t="s">
        <v>1651</v>
      </c>
      <c r="D493" s="42" t="s">
        <v>1652</v>
      </c>
      <c r="E493" s="42" t="s">
        <v>162</v>
      </c>
      <c r="F493" s="28" t="s">
        <v>1653</v>
      </c>
      <c r="G493" s="28">
        <v>23.0</v>
      </c>
      <c r="H493" s="66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2.75" customHeight="1">
      <c r="A494" s="28" t="s">
        <v>1654</v>
      </c>
      <c r="B494" s="28" t="s">
        <v>210</v>
      </c>
      <c r="C494" s="42" t="s">
        <v>1655</v>
      </c>
      <c r="D494" s="42" t="s">
        <v>1656</v>
      </c>
      <c r="E494" s="42" t="s">
        <v>162</v>
      </c>
      <c r="F494" s="28" t="s">
        <v>1657</v>
      </c>
      <c r="G494" s="28">
        <v>19.2</v>
      </c>
      <c r="H494" s="66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2.75" customHeight="1">
      <c r="A495" s="28" t="s">
        <v>1658</v>
      </c>
      <c r="B495" s="28" t="s">
        <v>210</v>
      </c>
      <c r="C495" s="42" t="s">
        <v>1659</v>
      </c>
      <c r="D495" s="42" t="s">
        <v>1636</v>
      </c>
      <c r="E495" s="42" t="s">
        <v>162</v>
      </c>
      <c r="F495" s="28" t="s">
        <v>1660</v>
      </c>
      <c r="G495" s="28">
        <v>14.7</v>
      </c>
      <c r="H495" s="66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2.75" customHeight="1">
      <c r="A496" s="28" t="s">
        <v>1661</v>
      </c>
      <c r="B496" s="28" t="s">
        <v>165</v>
      </c>
      <c r="C496" s="42" t="s">
        <v>1662</v>
      </c>
      <c r="D496" s="42" t="s">
        <v>401</v>
      </c>
      <c r="E496" s="42" t="s">
        <v>162</v>
      </c>
      <c r="F496" s="28" t="s">
        <v>1663</v>
      </c>
      <c r="G496" s="28">
        <v>26.6</v>
      </c>
      <c r="H496" s="66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2.75" customHeight="1">
      <c r="A497" s="28" t="s">
        <v>589</v>
      </c>
      <c r="B497" s="28" t="s">
        <v>215</v>
      </c>
      <c r="C497" s="42" t="s">
        <v>1664</v>
      </c>
      <c r="D497" s="42" t="s">
        <v>1142</v>
      </c>
      <c r="E497" s="42" t="s">
        <v>1665</v>
      </c>
      <c r="F497" s="28" t="s">
        <v>1666</v>
      </c>
      <c r="G497" s="28">
        <v>27.0</v>
      </c>
      <c r="H497" s="66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2.75" customHeight="1">
      <c r="A498" s="28" t="s">
        <v>589</v>
      </c>
      <c r="B498" s="28" t="s">
        <v>219</v>
      </c>
      <c r="C498" s="42" t="s">
        <v>1664</v>
      </c>
      <c r="D498" s="42" t="s">
        <v>955</v>
      </c>
      <c r="E498" s="42" t="s">
        <v>1665</v>
      </c>
      <c r="F498" s="28" t="s">
        <v>475</v>
      </c>
      <c r="G498" s="28">
        <v>28.6</v>
      </c>
      <c r="H498" s="66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2.75" customHeight="1">
      <c r="A499" s="28" t="s">
        <v>442</v>
      </c>
      <c r="B499" s="28" t="s">
        <v>165</v>
      </c>
      <c r="C499" s="42" t="s">
        <v>1667</v>
      </c>
      <c r="D499" s="42" t="s">
        <v>259</v>
      </c>
      <c r="E499" s="42" t="s">
        <v>156</v>
      </c>
      <c r="F499" s="28" t="s">
        <v>1668</v>
      </c>
      <c r="G499" s="28">
        <v>27.8</v>
      </c>
      <c r="H499" s="66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2.75" customHeight="1">
      <c r="A500" s="28" t="s">
        <v>1669</v>
      </c>
      <c r="B500" s="28" t="s">
        <v>210</v>
      </c>
      <c r="C500" s="42" t="s">
        <v>1670</v>
      </c>
      <c r="D500" s="42" t="s">
        <v>575</v>
      </c>
      <c r="E500" s="42" t="s">
        <v>653</v>
      </c>
      <c r="F500" s="28" t="s">
        <v>1671</v>
      </c>
      <c r="G500" s="28">
        <v>23.7</v>
      </c>
      <c r="H500" s="66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2.75" customHeight="1">
      <c r="A501" s="28" t="s">
        <v>1672</v>
      </c>
      <c r="B501" s="28" t="s">
        <v>165</v>
      </c>
      <c r="C501" s="42" t="s">
        <v>1673</v>
      </c>
      <c r="D501" s="42" t="s">
        <v>251</v>
      </c>
      <c r="E501" s="42" t="s">
        <v>404</v>
      </c>
      <c r="F501" s="28" t="s">
        <v>1291</v>
      </c>
      <c r="G501" s="28">
        <v>28.5</v>
      </c>
      <c r="H501" s="66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2.75" customHeight="1">
      <c r="A502" s="28" t="s">
        <v>1674</v>
      </c>
      <c r="B502" s="28" t="s">
        <v>487</v>
      </c>
      <c r="C502" s="42" t="s">
        <v>1675</v>
      </c>
      <c r="D502" s="42" t="s">
        <v>1676</v>
      </c>
      <c r="E502" s="42" t="s">
        <v>1412</v>
      </c>
      <c r="F502" s="28" t="s">
        <v>1677</v>
      </c>
      <c r="G502" s="28">
        <v>42.8</v>
      </c>
      <c r="H502" s="66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2.75" customHeight="1">
      <c r="A503" s="28" t="s">
        <v>1678</v>
      </c>
      <c r="B503" s="28" t="s">
        <v>210</v>
      </c>
      <c r="C503" s="42" t="s">
        <v>1679</v>
      </c>
      <c r="D503" s="42" t="s">
        <v>796</v>
      </c>
      <c r="E503" s="42" t="s">
        <v>653</v>
      </c>
      <c r="F503" s="28" t="s">
        <v>1680</v>
      </c>
      <c r="G503" s="28">
        <v>23.5</v>
      </c>
      <c r="H503" s="66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2.75" customHeight="1">
      <c r="A504" s="28" t="s">
        <v>1681</v>
      </c>
      <c r="B504" s="28" t="s">
        <v>210</v>
      </c>
      <c r="C504" s="42" t="s">
        <v>1679</v>
      </c>
      <c r="D504" s="42" t="s">
        <v>155</v>
      </c>
      <c r="E504" s="42" t="s">
        <v>653</v>
      </c>
      <c r="F504" s="28" t="s">
        <v>1682</v>
      </c>
      <c r="G504" s="28">
        <v>21.1</v>
      </c>
      <c r="H504" s="66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2.75" customHeight="1">
      <c r="A505" s="28" t="s">
        <v>1036</v>
      </c>
      <c r="B505" s="28" t="s">
        <v>215</v>
      </c>
      <c r="C505" s="42" t="s">
        <v>1683</v>
      </c>
      <c r="D505" s="42" t="s">
        <v>1684</v>
      </c>
      <c r="E505" s="42" t="s">
        <v>1685</v>
      </c>
      <c r="F505" s="28" t="s">
        <v>1625</v>
      </c>
      <c r="G505" s="28">
        <v>27.3</v>
      </c>
      <c r="H505" s="66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2.75" customHeight="1">
      <c r="A506" s="28" t="s">
        <v>1036</v>
      </c>
      <c r="B506" s="28" t="s">
        <v>219</v>
      </c>
      <c r="C506" s="42" t="s">
        <v>1683</v>
      </c>
      <c r="D506" s="42" t="s">
        <v>185</v>
      </c>
      <c r="E506" s="42" t="s">
        <v>1685</v>
      </c>
      <c r="F506" s="28" t="s">
        <v>1475</v>
      </c>
      <c r="G506" s="28">
        <v>25.4</v>
      </c>
      <c r="H506" s="66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2.75" customHeight="1">
      <c r="A507" s="28" t="s">
        <v>1686</v>
      </c>
      <c r="B507" s="28" t="s">
        <v>165</v>
      </c>
      <c r="C507" s="42" t="s">
        <v>1687</v>
      </c>
      <c r="D507" s="42" t="s">
        <v>1688</v>
      </c>
      <c r="E507" s="42" t="s">
        <v>653</v>
      </c>
      <c r="F507" s="28" t="s">
        <v>1106</v>
      </c>
      <c r="G507" s="28">
        <v>31.8</v>
      </c>
      <c r="H507" s="66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2.75" customHeight="1">
      <c r="A508" s="28" t="s">
        <v>1689</v>
      </c>
      <c r="B508" s="28" t="s">
        <v>165</v>
      </c>
      <c r="C508" s="42" t="s">
        <v>1690</v>
      </c>
      <c r="D508" s="42" t="s">
        <v>203</v>
      </c>
      <c r="E508" s="42" t="s">
        <v>1691</v>
      </c>
      <c r="F508" s="28" t="s">
        <v>1692</v>
      </c>
      <c r="G508" s="28">
        <v>33.3</v>
      </c>
      <c r="H508" s="66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2.75" customHeight="1">
      <c r="A509" s="28" t="s">
        <v>1693</v>
      </c>
      <c r="B509" s="28" t="s">
        <v>165</v>
      </c>
      <c r="C509" s="42" t="s">
        <v>1694</v>
      </c>
      <c r="D509" s="42" t="s">
        <v>1695</v>
      </c>
      <c r="E509" s="42" t="s">
        <v>162</v>
      </c>
      <c r="F509" s="28" t="s">
        <v>1696</v>
      </c>
      <c r="G509" s="28">
        <v>25.9</v>
      </c>
      <c r="H509" s="66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2.75" customHeight="1">
      <c r="A510" s="28" t="s">
        <v>1056</v>
      </c>
      <c r="B510" s="28" t="s">
        <v>165</v>
      </c>
      <c r="C510" s="42" t="s">
        <v>1697</v>
      </c>
      <c r="D510" s="42" t="s">
        <v>306</v>
      </c>
      <c r="E510" s="42" t="s">
        <v>1698</v>
      </c>
      <c r="F510" s="28" t="s">
        <v>1699</v>
      </c>
      <c r="G510" s="28">
        <v>22.6</v>
      </c>
      <c r="H510" s="66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2.75" customHeight="1">
      <c r="A511" s="28" t="s">
        <v>762</v>
      </c>
      <c r="B511" s="28" t="s">
        <v>554</v>
      </c>
      <c r="C511" s="42" t="s">
        <v>1700</v>
      </c>
      <c r="D511" s="42" t="s">
        <v>203</v>
      </c>
      <c r="E511" s="42" t="s">
        <v>489</v>
      </c>
      <c r="F511" s="28" t="s">
        <v>1701</v>
      </c>
      <c r="G511" s="28">
        <v>26.7</v>
      </c>
      <c r="H511" s="66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2.75" customHeight="1">
      <c r="A512" s="28" t="s">
        <v>601</v>
      </c>
      <c r="B512" s="28" t="s">
        <v>159</v>
      </c>
      <c r="C512" s="42" t="s">
        <v>1702</v>
      </c>
      <c r="D512" s="42" t="s">
        <v>216</v>
      </c>
      <c r="E512" s="42" t="s">
        <v>162</v>
      </c>
      <c r="F512" s="28" t="s">
        <v>346</v>
      </c>
      <c r="G512" s="28">
        <v>31.3</v>
      </c>
      <c r="H512" s="66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2.75" customHeight="1">
      <c r="A513" s="28" t="s">
        <v>1703</v>
      </c>
      <c r="B513" s="28" t="s">
        <v>165</v>
      </c>
      <c r="C513" s="42" t="s">
        <v>1704</v>
      </c>
      <c r="D513" s="42" t="s">
        <v>251</v>
      </c>
      <c r="E513" s="42" t="s">
        <v>974</v>
      </c>
      <c r="F513" s="28" t="s">
        <v>1705</v>
      </c>
      <c r="G513" s="28">
        <v>27.6</v>
      </c>
      <c r="H513" s="66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2.75" customHeight="1">
      <c r="A514" s="28" t="s">
        <v>667</v>
      </c>
      <c r="B514" s="28" t="s">
        <v>159</v>
      </c>
      <c r="C514" s="42" t="s">
        <v>1706</v>
      </c>
      <c r="D514" s="42" t="s">
        <v>495</v>
      </c>
      <c r="E514" s="42" t="s">
        <v>255</v>
      </c>
      <c r="F514" s="28" t="s">
        <v>1707</v>
      </c>
      <c r="G514" s="28">
        <v>28.6</v>
      </c>
      <c r="H514" s="66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2.75" customHeight="1">
      <c r="A515" s="28" t="s">
        <v>762</v>
      </c>
      <c r="B515" s="28" t="s">
        <v>219</v>
      </c>
      <c r="C515" s="42" t="s">
        <v>1708</v>
      </c>
      <c r="D515" s="42" t="s">
        <v>633</v>
      </c>
      <c r="E515" s="42" t="s">
        <v>1709</v>
      </c>
      <c r="F515" s="28" t="s">
        <v>1710</v>
      </c>
      <c r="G515" s="28">
        <v>23.7</v>
      </c>
      <c r="H515" s="66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2.75" customHeight="1">
      <c r="A516" s="28" t="s">
        <v>585</v>
      </c>
      <c r="B516" s="28" t="s">
        <v>159</v>
      </c>
      <c r="C516" s="42" t="s">
        <v>1708</v>
      </c>
      <c r="D516" s="42" t="s">
        <v>665</v>
      </c>
      <c r="E516" s="42" t="s">
        <v>162</v>
      </c>
      <c r="F516" s="28" t="s">
        <v>1711</v>
      </c>
      <c r="G516" s="28">
        <v>21.1</v>
      </c>
      <c r="H516" s="66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2.75" customHeight="1">
      <c r="A517" s="28" t="s">
        <v>1712</v>
      </c>
      <c r="B517" s="28" t="s">
        <v>487</v>
      </c>
      <c r="C517" s="42" t="s">
        <v>1713</v>
      </c>
      <c r="D517" s="42" t="s">
        <v>286</v>
      </c>
      <c r="E517" s="42" t="s">
        <v>1518</v>
      </c>
      <c r="F517" s="28" t="s">
        <v>1714</v>
      </c>
      <c r="G517" s="28">
        <v>32.6</v>
      </c>
      <c r="H517" s="66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2.75" customHeight="1">
      <c r="A518" s="28" t="s">
        <v>1715</v>
      </c>
      <c r="B518" s="28" t="s">
        <v>165</v>
      </c>
      <c r="C518" s="42" t="s">
        <v>1716</v>
      </c>
      <c r="D518" s="42" t="s">
        <v>301</v>
      </c>
      <c r="E518" s="42" t="s">
        <v>653</v>
      </c>
      <c r="F518" s="28" t="s">
        <v>1717</v>
      </c>
      <c r="G518" s="28">
        <v>21.7</v>
      </c>
      <c r="H518" s="66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2.75" customHeight="1">
      <c r="A519" s="28" t="s">
        <v>1718</v>
      </c>
      <c r="B519" s="28" t="s">
        <v>210</v>
      </c>
      <c r="C519" s="42" t="s">
        <v>1719</v>
      </c>
      <c r="D519" s="42" t="s">
        <v>1720</v>
      </c>
      <c r="E519" s="42" t="s">
        <v>1183</v>
      </c>
      <c r="F519" s="28" t="s">
        <v>1721</v>
      </c>
      <c r="G519" s="28">
        <v>21.1</v>
      </c>
      <c r="H519" s="66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2.75" customHeight="1">
      <c r="A520" s="28" t="s">
        <v>1350</v>
      </c>
      <c r="B520" s="28" t="s">
        <v>165</v>
      </c>
      <c r="C520" s="42" t="s">
        <v>1722</v>
      </c>
      <c r="D520" s="42" t="s">
        <v>1084</v>
      </c>
      <c r="E520" s="42" t="s">
        <v>1183</v>
      </c>
      <c r="F520" s="28" t="s">
        <v>1723</v>
      </c>
      <c r="G520" s="28">
        <v>20.9</v>
      </c>
      <c r="H520" s="66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2.75" customHeight="1">
      <c r="A521" s="28" t="s">
        <v>1724</v>
      </c>
      <c r="B521" s="28" t="s">
        <v>165</v>
      </c>
      <c r="C521" s="42" t="s">
        <v>1722</v>
      </c>
      <c r="D521" s="42" t="s">
        <v>606</v>
      </c>
      <c r="E521" s="42" t="s">
        <v>1183</v>
      </c>
      <c r="F521" s="28" t="s">
        <v>1725</v>
      </c>
      <c r="G521" s="28">
        <v>21.0</v>
      </c>
      <c r="H521" s="66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2.75" customHeight="1">
      <c r="A522" s="28" t="s">
        <v>1199</v>
      </c>
      <c r="B522" s="28" t="s">
        <v>219</v>
      </c>
      <c r="C522" s="42" t="s">
        <v>1726</v>
      </c>
      <c r="D522" s="42" t="s">
        <v>185</v>
      </c>
      <c r="E522" s="42" t="s">
        <v>1727</v>
      </c>
      <c r="F522" s="28" t="s">
        <v>1728</v>
      </c>
      <c r="G522" s="28">
        <v>31.3</v>
      </c>
      <c r="H522" s="66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2.75" customHeight="1">
      <c r="A523" s="28" t="s">
        <v>1729</v>
      </c>
      <c r="B523" s="28" t="s">
        <v>487</v>
      </c>
      <c r="C523" s="42" t="s">
        <v>1730</v>
      </c>
      <c r="D523" s="42" t="s">
        <v>488</v>
      </c>
      <c r="E523" s="42" t="s">
        <v>1412</v>
      </c>
      <c r="F523" s="28" t="s">
        <v>1731</v>
      </c>
      <c r="G523" s="28">
        <v>40.4</v>
      </c>
      <c r="H523" s="66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2.75" customHeight="1">
      <c r="A524" s="28" t="s">
        <v>1732</v>
      </c>
      <c r="B524" s="28" t="s">
        <v>165</v>
      </c>
      <c r="C524" s="42" t="s">
        <v>1733</v>
      </c>
      <c r="D524" s="42" t="s">
        <v>286</v>
      </c>
      <c r="E524" s="42" t="s">
        <v>420</v>
      </c>
      <c r="F524" s="28" t="s">
        <v>1734</v>
      </c>
      <c r="G524" s="28">
        <v>36.3</v>
      </c>
      <c r="H524" s="66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2.75" customHeight="1">
      <c r="A525" s="28" t="s">
        <v>1735</v>
      </c>
      <c r="B525" s="28" t="s">
        <v>165</v>
      </c>
      <c r="C525" s="42" t="s">
        <v>1733</v>
      </c>
      <c r="D525" s="42" t="s">
        <v>240</v>
      </c>
      <c r="E525" s="42" t="s">
        <v>162</v>
      </c>
      <c r="F525" s="28" t="s">
        <v>1736</v>
      </c>
      <c r="G525" s="28">
        <v>32.0</v>
      </c>
      <c r="H525" s="66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2.75" customHeight="1">
      <c r="A526" s="28" t="s">
        <v>1737</v>
      </c>
      <c r="B526" s="28" t="s">
        <v>210</v>
      </c>
      <c r="C526" s="42" t="s">
        <v>1738</v>
      </c>
      <c r="D526" s="42" t="s">
        <v>1739</v>
      </c>
      <c r="E526" s="42" t="s">
        <v>162</v>
      </c>
      <c r="F526" s="28" t="s">
        <v>1740</v>
      </c>
      <c r="G526" s="28">
        <v>25.3</v>
      </c>
      <c r="H526" s="66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2.75" customHeight="1">
      <c r="A527" s="28" t="s">
        <v>1741</v>
      </c>
      <c r="B527" s="28" t="s">
        <v>165</v>
      </c>
      <c r="C527" s="42" t="s">
        <v>1742</v>
      </c>
      <c r="D527" s="42" t="s">
        <v>522</v>
      </c>
      <c r="E527" s="42" t="s">
        <v>162</v>
      </c>
      <c r="F527" s="28" t="s">
        <v>1743</v>
      </c>
      <c r="G527" s="28">
        <v>25.0</v>
      </c>
      <c r="H527" s="66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2.75" customHeight="1">
      <c r="A528" s="28" t="s">
        <v>1744</v>
      </c>
      <c r="B528" s="28" t="s">
        <v>165</v>
      </c>
      <c r="C528" s="42" t="s">
        <v>1742</v>
      </c>
      <c r="D528" s="42" t="s">
        <v>1745</v>
      </c>
      <c r="E528" s="42" t="s">
        <v>162</v>
      </c>
      <c r="F528" s="28" t="s">
        <v>1746</v>
      </c>
      <c r="G528" s="28">
        <v>27.2</v>
      </c>
      <c r="H528" s="66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2.75" customHeight="1">
      <c r="A529" s="28" t="s">
        <v>1747</v>
      </c>
      <c r="B529" s="28" t="s">
        <v>165</v>
      </c>
      <c r="C529" s="42" t="s">
        <v>1748</v>
      </c>
      <c r="D529" s="42" t="s">
        <v>1749</v>
      </c>
      <c r="E529" s="42" t="s">
        <v>162</v>
      </c>
      <c r="F529" s="28" t="s">
        <v>1750</v>
      </c>
      <c r="G529" s="28">
        <v>28.6</v>
      </c>
      <c r="H529" s="66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2.75" customHeight="1">
      <c r="A530" s="28" t="s">
        <v>1751</v>
      </c>
      <c r="B530" s="28" t="s">
        <v>165</v>
      </c>
      <c r="C530" s="42" t="s">
        <v>1752</v>
      </c>
      <c r="D530" s="42" t="s">
        <v>1753</v>
      </c>
      <c r="E530" s="42" t="s">
        <v>162</v>
      </c>
      <c r="F530" s="28" t="s">
        <v>1754</v>
      </c>
      <c r="G530" s="28">
        <v>24.7</v>
      </c>
      <c r="H530" s="66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2.75" customHeight="1">
      <c r="A531" s="28" t="s">
        <v>253</v>
      </c>
      <c r="B531" s="28" t="s">
        <v>210</v>
      </c>
      <c r="C531" s="42" t="s">
        <v>1755</v>
      </c>
      <c r="D531" s="42" t="s">
        <v>1656</v>
      </c>
      <c r="E531" s="42" t="s">
        <v>715</v>
      </c>
      <c r="F531" s="28" t="s">
        <v>1756</v>
      </c>
      <c r="G531" s="28">
        <v>21.9</v>
      </c>
      <c r="H531" s="66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2.75" customHeight="1">
      <c r="A532" s="28" t="s">
        <v>672</v>
      </c>
      <c r="B532" s="28" t="s">
        <v>153</v>
      </c>
      <c r="C532" s="42" t="s">
        <v>1755</v>
      </c>
      <c r="D532" s="42" t="s">
        <v>1757</v>
      </c>
      <c r="E532" s="42" t="s">
        <v>277</v>
      </c>
      <c r="F532" s="28" t="s">
        <v>1758</v>
      </c>
      <c r="G532" s="28">
        <v>19.8</v>
      </c>
      <c r="H532" s="66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2.75" customHeight="1">
      <c r="A533" s="28" t="s">
        <v>677</v>
      </c>
      <c r="B533" s="28" t="s">
        <v>673</v>
      </c>
      <c r="C533" s="42" t="s">
        <v>1755</v>
      </c>
      <c r="D533" s="42" t="s">
        <v>1759</v>
      </c>
      <c r="E533" s="42" t="s">
        <v>277</v>
      </c>
      <c r="F533" s="28" t="s">
        <v>1760</v>
      </c>
      <c r="G533" s="28">
        <v>25.3</v>
      </c>
      <c r="H533" s="66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2.75" customHeight="1">
      <c r="A534" s="28" t="s">
        <v>1761</v>
      </c>
      <c r="B534" s="28" t="s">
        <v>210</v>
      </c>
      <c r="C534" s="42" t="s">
        <v>1755</v>
      </c>
      <c r="D534" s="42" t="s">
        <v>311</v>
      </c>
      <c r="E534" s="42" t="s">
        <v>1762</v>
      </c>
      <c r="F534" s="28" t="s">
        <v>775</v>
      </c>
      <c r="G534" s="28">
        <v>27.1</v>
      </c>
      <c r="H534" s="66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2.75" customHeight="1">
      <c r="A535" s="28" t="s">
        <v>1763</v>
      </c>
      <c r="B535" s="28" t="s">
        <v>210</v>
      </c>
      <c r="C535" s="42" t="s">
        <v>1755</v>
      </c>
      <c r="D535" s="42" t="s">
        <v>361</v>
      </c>
      <c r="E535" s="42" t="s">
        <v>162</v>
      </c>
      <c r="F535" s="28" t="s">
        <v>1764</v>
      </c>
      <c r="G535" s="28">
        <v>22.2</v>
      </c>
      <c r="H535" s="66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2.75" customHeight="1">
      <c r="A536" s="28" t="s">
        <v>1765</v>
      </c>
      <c r="B536" s="28" t="s">
        <v>210</v>
      </c>
      <c r="C536" s="42" t="s">
        <v>1755</v>
      </c>
      <c r="D536" s="42" t="s">
        <v>1766</v>
      </c>
      <c r="E536" s="42" t="s">
        <v>162</v>
      </c>
      <c r="F536" s="28" t="s">
        <v>1767</v>
      </c>
      <c r="G536" s="28">
        <v>24.1</v>
      </c>
      <c r="H536" s="66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2.75" customHeight="1">
      <c r="A537" s="28" t="s">
        <v>206</v>
      </c>
      <c r="B537" s="28" t="s">
        <v>165</v>
      </c>
      <c r="C537" s="42" t="s">
        <v>1768</v>
      </c>
      <c r="D537" s="42" t="s">
        <v>1769</v>
      </c>
      <c r="E537" s="42" t="s">
        <v>162</v>
      </c>
      <c r="F537" s="28" t="s">
        <v>1089</v>
      </c>
      <c r="G537" s="28">
        <v>26.6</v>
      </c>
      <c r="H537" s="66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2.75" customHeight="1">
      <c r="A538" s="28" t="s">
        <v>1053</v>
      </c>
      <c r="B538" s="28" t="s">
        <v>165</v>
      </c>
      <c r="C538" s="42" t="s">
        <v>1768</v>
      </c>
      <c r="D538" s="42" t="s">
        <v>702</v>
      </c>
      <c r="E538" s="42" t="s">
        <v>156</v>
      </c>
      <c r="F538" s="28" t="s">
        <v>1770</v>
      </c>
      <c r="G538" s="28">
        <v>20.6</v>
      </c>
      <c r="H538" s="66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2.75" customHeight="1">
      <c r="A539" s="28" t="s">
        <v>253</v>
      </c>
      <c r="B539" s="28" t="s">
        <v>165</v>
      </c>
      <c r="C539" s="42" t="s">
        <v>1768</v>
      </c>
      <c r="D539" s="42" t="s">
        <v>185</v>
      </c>
      <c r="E539" s="42" t="s">
        <v>715</v>
      </c>
      <c r="F539" s="28" t="s">
        <v>1771</v>
      </c>
      <c r="G539" s="28">
        <v>23.1</v>
      </c>
      <c r="H539" s="66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2.75" customHeight="1">
      <c r="A540" s="28" t="s">
        <v>734</v>
      </c>
      <c r="B540" s="28" t="s">
        <v>165</v>
      </c>
      <c r="C540" s="42" t="s">
        <v>1768</v>
      </c>
      <c r="D540" s="42" t="s">
        <v>522</v>
      </c>
      <c r="E540" s="42" t="s">
        <v>1772</v>
      </c>
      <c r="F540" s="28" t="s">
        <v>1773</v>
      </c>
      <c r="G540" s="28">
        <v>36.4</v>
      </c>
      <c r="H540" s="66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2.75" customHeight="1">
      <c r="A541" s="28" t="s">
        <v>214</v>
      </c>
      <c r="B541" s="28" t="s">
        <v>165</v>
      </c>
      <c r="C541" s="42" t="s">
        <v>1768</v>
      </c>
      <c r="D541" s="42" t="s">
        <v>1084</v>
      </c>
      <c r="E541" s="42" t="s">
        <v>162</v>
      </c>
      <c r="F541" s="28" t="s">
        <v>1774</v>
      </c>
      <c r="G541" s="28">
        <v>32.9</v>
      </c>
      <c r="H541" s="66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2.75" customHeight="1">
      <c r="A542" s="28" t="s">
        <v>218</v>
      </c>
      <c r="B542" s="28" t="s">
        <v>219</v>
      </c>
      <c r="C542" s="42" t="s">
        <v>1768</v>
      </c>
      <c r="D542" s="42" t="s">
        <v>495</v>
      </c>
      <c r="E542" s="42" t="s">
        <v>760</v>
      </c>
      <c r="F542" s="28" t="s">
        <v>1775</v>
      </c>
      <c r="G542" s="28">
        <v>35.2</v>
      </c>
      <c r="H542" s="66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2.75" customHeight="1">
      <c r="A543" s="28" t="s">
        <v>1776</v>
      </c>
      <c r="B543" s="28" t="s">
        <v>165</v>
      </c>
      <c r="C543" s="42" t="s">
        <v>1768</v>
      </c>
      <c r="D543" s="42" t="s">
        <v>141</v>
      </c>
      <c r="E543" s="42" t="s">
        <v>388</v>
      </c>
      <c r="F543" s="28" t="s">
        <v>697</v>
      </c>
      <c r="G543" s="28">
        <v>28.2</v>
      </c>
      <c r="H543" s="66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2.75" customHeight="1">
      <c r="A544" s="28" t="s">
        <v>1777</v>
      </c>
      <c r="B544" s="28" t="s">
        <v>165</v>
      </c>
      <c r="C544" s="42" t="s">
        <v>1768</v>
      </c>
      <c r="D544" s="42" t="s">
        <v>431</v>
      </c>
      <c r="E544" s="42" t="s">
        <v>162</v>
      </c>
      <c r="F544" s="28" t="s">
        <v>1594</v>
      </c>
      <c r="G544" s="28">
        <v>28.6</v>
      </c>
      <c r="H544" s="66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2.75" customHeight="1">
      <c r="A545" s="28" t="s">
        <v>1778</v>
      </c>
      <c r="B545" s="28" t="s">
        <v>165</v>
      </c>
      <c r="C545" s="42" t="s">
        <v>1768</v>
      </c>
      <c r="D545" s="42" t="s">
        <v>321</v>
      </c>
      <c r="E545" s="42" t="s">
        <v>162</v>
      </c>
      <c r="F545" s="28" t="s">
        <v>1223</v>
      </c>
      <c r="G545" s="28">
        <v>24.6</v>
      </c>
      <c r="H545" s="66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2.75" customHeight="1">
      <c r="A546" s="28" t="s">
        <v>1779</v>
      </c>
      <c r="B546" s="28" t="s">
        <v>165</v>
      </c>
      <c r="C546" s="42" t="s">
        <v>1768</v>
      </c>
      <c r="D546" s="42" t="s">
        <v>1780</v>
      </c>
      <c r="E546" s="42" t="s">
        <v>162</v>
      </c>
      <c r="F546" s="28" t="s">
        <v>1781</v>
      </c>
      <c r="G546" s="28">
        <v>30.1</v>
      </c>
      <c r="H546" s="66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2.75" customHeight="1">
      <c r="A547" s="28" t="s">
        <v>1782</v>
      </c>
      <c r="B547" s="28" t="s">
        <v>165</v>
      </c>
      <c r="C547" s="42" t="s">
        <v>1768</v>
      </c>
      <c r="D547" s="42" t="s">
        <v>665</v>
      </c>
      <c r="E547" s="42" t="s">
        <v>162</v>
      </c>
      <c r="F547" s="28" t="s">
        <v>1783</v>
      </c>
      <c r="G547" s="28">
        <v>32.3</v>
      </c>
      <c r="H547" s="66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2.75" customHeight="1">
      <c r="A548" s="28" t="s">
        <v>1784</v>
      </c>
      <c r="B548" s="28" t="s">
        <v>165</v>
      </c>
      <c r="C548" s="42" t="s">
        <v>1768</v>
      </c>
      <c r="D548" s="42" t="s">
        <v>691</v>
      </c>
      <c r="E548" s="42" t="s">
        <v>162</v>
      </c>
      <c r="F548" s="28" t="s">
        <v>1785</v>
      </c>
      <c r="G548" s="28">
        <v>26.1</v>
      </c>
      <c r="H548" s="66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2.75" customHeight="1">
      <c r="A549" s="28" t="s">
        <v>1786</v>
      </c>
      <c r="B549" s="28" t="s">
        <v>165</v>
      </c>
      <c r="C549" s="42" t="s">
        <v>1768</v>
      </c>
      <c r="D549" s="42" t="s">
        <v>1787</v>
      </c>
      <c r="E549" s="42" t="s">
        <v>162</v>
      </c>
      <c r="F549" s="28" t="s">
        <v>1788</v>
      </c>
      <c r="G549" s="28">
        <v>23.5</v>
      </c>
      <c r="H549" s="66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2.75" customHeight="1">
      <c r="A550" s="28" t="s">
        <v>896</v>
      </c>
      <c r="B550" s="28" t="s">
        <v>159</v>
      </c>
      <c r="C550" s="42" t="s">
        <v>1789</v>
      </c>
      <c r="D550" s="42" t="s">
        <v>286</v>
      </c>
      <c r="E550" s="42" t="s">
        <v>1790</v>
      </c>
      <c r="F550" s="28" t="s">
        <v>1448</v>
      </c>
      <c r="G550" s="28">
        <v>29.6</v>
      </c>
      <c r="H550" s="66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2.75" customHeight="1">
      <c r="A551" s="28" t="s">
        <v>1791</v>
      </c>
      <c r="B551" s="28" t="s">
        <v>165</v>
      </c>
      <c r="C551" s="42" t="s">
        <v>1789</v>
      </c>
      <c r="D551" s="42" t="s">
        <v>665</v>
      </c>
      <c r="E551" s="42" t="s">
        <v>162</v>
      </c>
      <c r="F551" s="28" t="s">
        <v>1792</v>
      </c>
      <c r="G551" s="28">
        <v>29.5</v>
      </c>
      <c r="H551" s="66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2.75" customHeight="1">
      <c r="A552" s="28" t="s">
        <v>1793</v>
      </c>
      <c r="B552" s="28" t="s">
        <v>165</v>
      </c>
      <c r="C552" s="42" t="s">
        <v>1794</v>
      </c>
      <c r="D552" s="42" t="s">
        <v>251</v>
      </c>
      <c r="E552" s="42" t="s">
        <v>162</v>
      </c>
      <c r="F552" s="28" t="s">
        <v>1795</v>
      </c>
      <c r="G552" s="28">
        <v>30.1</v>
      </c>
      <c r="H552" s="66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2.75" customHeight="1">
      <c r="A553" s="28" t="s">
        <v>1796</v>
      </c>
      <c r="B553" s="28" t="s">
        <v>210</v>
      </c>
      <c r="C553" s="42" t="s">
        <v>1794</v>
      </c>
      <c r="D553" s="42" t="s">
        <v>326</v>
      </c>
      <c r="E553" s="42" t="s">
        <v>162</v>
      </c>
      <c r="F553" s="28" t="s">
        <v>1797</v>
      </c>
      <c r="G553" s="28">
        <v>22.8</v>
      </c>
      <c r="H553" s="66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2.75" customHeight="1">
      <c r="A554" s="28" t="s">
        <v>1798</v>
      </c>
      <c r="B554" s="28" t="s">
        <v>210</v>
      </c>
      <c r="C554" s="42" t="s">
        <v>1799</v>
      </c>
      <c r="D554" s="42" t="s">
        <v>630</v>
      </c>
      <c r="E554" s="42" t="s">
        <v>722</v>
      </c>
      <c r="F554" s="28" t="s">
        <v>1800</v>
      </c>
      <c r="G554" s="28">
        <v>24.7</v>
      </c>
      <c r="H554" s="66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2.75" customHeight="1">
      <c r="A555" s="28" t="s">
        <v>1801</v>
      </c>
      <c r="B555" s="28" t="s">
        <v>210</v>
      </c>
      <c r="C555" s="42" t="s">
        <v>1799</v>
      </c>
      <c r="D555" s="42" t="s">
        <v>995</v>
      </c>
      <c r="E555" s="42" t="s">
        <v>722</v>
      </c>
      <c r="F555" s="28" t="s">
        <v>1802</v>
      </c>
      <c r="G555" s="28">
        <v>22.4</v>
      </c>
      <c r="H555" s="66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2.75" customHeight="1">
      <c r="A556" s="28" t="s">
        <v>1803</v>
      </c>
      <c r="B556" s="28" t="s">
        <v>165</v>
      </c>
      <c r="C556" s="42" t="s">
        <v>1804</v>
      </c>
      <c r="D556" s="42" t="s">
        <v>251</v>
      </c>
      <c r="E556" s="42" t="s">
        <v>722</v>
      </c>
      <c r="F556" s="28" t="s">
        <v>1805</v>
      </c>
      <c r="G556" s="28">
        <v>24.7</v>
      </c>
      <c r="H556" s="66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2.75" customHeight="1">
      <c r="A557" s="28" t="s">
        <v>288</v>
      </c>
      <c r="B557" s="28" t="s">
        <v>165</v>
      </c>
      <c r="C557" s="42" t="s">
        <v>1806</v>
      </c>
      <c r="D557" s="42" t="s">
        <v>558</v>
      </c>
      <c r="E557" s="42" t="s">
        <v>162</v>
      </c>
      <c r="F557" s="28" t="s">
        <v>1807</v>
      </c>
      <c r="G557" s="28">
        <v>25.4</v>
      </c>
      <c r="H557" s="66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2.75" customHeight="1">
      <c r="A558" s="28" t="s">
        <v>1808</v>
      </c>
      <c r="B558" s="28" t="s">
        <v>210</v>
      </c>
      <c r="C558" s="42" t="s">
        <v>1809</v>
      </c>
      <c r="D558" s="42" t="s">
        <v>630</v>
      </c>
      <c r="E558" s="42" t="s">
        <v>1810</v>
      </c>
      <c r="F558" s="28" t="s">
        <v>1811</v>
      </c>
      <c r="G558" s="28">
        <v>24.4</v>
      </c>
      <c r="H558" s="66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2.75" customHeight="1">
      <c r="A559" s="28" t="s">
        <v>1812</v>
      </c>
      <c r="B559" s="28" t="s">
        <v>165</v>
      </c>
      <c r="C559" s="42" t="s">
        <v>1813</v>
      </c>
      <c r="D559" s="42" t="s">
        <v>1814</v>
      </c>
      <c r="E559" s="42" t="s">
        <v>1810</v>
      </c>
      <c r="F559" s="28" t="s">
        <v>1815</v>
      </c>
      <c r="G559" s="28">
        <v>27.9</v>
      </c>
      <c r="H559" s="66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2.75" customHeight="1">
      <c r="A560" s="28" t="s">
        <v>573</v>
      </c>
      <c r="B560" s="28" t="s">
        <v>165</v>
      </c>
      <c r="C560" s="42" t="s">
        <v>1816</v>
      </c>
      <c r="D560" s="42" t="s">
        <v>1817</v>
      </c>
      <c r="E560" s="42" t="s">
        <v>156</v>
      </c>
      <c r="F560" s="28" t="s">
        <v>1481</v>
      </c>
      <c r="G560" s="28">
        <v>23.7</v>
      </c>
      <c r="H560" s="66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2.75" customHeight="1">
      <c r="A561" s="28" t="s">
        <v>682</v>
      </c>
      <c r="B561" s="28" t="s">
        <v>219</v>
      </c>
      <c r="C561" s="42" t="s">
        <v>1816</v>
      </c>
      <c r="D561" s="42" t="s">
        <v>516</v>
      </c>
      <c r="E561" s="42" t="s">
        <v>162</v>
      </c>
      <c r="F561" s="28" t="s">
        <v>1818</v>
      </c>
      <c r="G561" s="28">
        <v>27.5</v>
      </c>
      <c r="H561" s="66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2.75" customHeight="1">
      <c r="A562" s="28" t="s">
        <v>580</v>
      </c>
      <c r="B562" s="28" t="s">
        <v>159</v>
      </c>
      <c r="C562" s="42" t="s">
        <v>1819</v>
      </c>
      <c r="D562" s="42" t="s">
        <v>190</v>
      </c>
      <c r="E562" s="42" t="s">
        <v>162</v>
      </c>
      <c r="F562" s="28" t="s">
        <v>1696</v>
      </c>
      <c r="G562" s="28">
        <v>26.7</v>
      </c>
      <c r="H562" s="66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2.75" customHeight="1">
      <c r="A563" s="28" t="s">
        <v>896</v>
      </c>
      <c r="B563" s="28" t="s">
        <v>159</v>
      </c>
      <c r="C563" s="42" t="s">
        <v>1820</v>
      </c>
      <c r="D563" s="42" t="s">
        <v>167</v>
      </c>
      <c r="E563" s="42" t="s">
        <v>1821</v>
      </c>
      <c r="F563" s="28" t="s">
        <v>274</v>
      </c>
      <c r="G563" s="28">
        <v>27.8</v>
      </c>
      <c r="H563" s="66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2.75" customHeight="1">
      <c r="A564" s="28" t="s">
        <v>869</v>
      </c>
      <c r="B564" s="28" t="s">
        <v>497</v>
      </c>
      <c r="C564" s="42" t="s">
        <v>1822</v>
      </c>
      <c r="D564" s="42" t="s">
        <v>1314</v>
      </c>
      <c r="E564" s="42" t="s">
        <v>1823</v>
      </c>
      <c r="F564" s="28" t="s">
        <v>1824</v>
      </c>
      <c r="G564" s="28">
        <v>30.1</v>
      </c>
      <c r="H564" s="66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2.75" customHeight="1">
      <c r="A565" s="28" t="s">
        <v>1825</v>
      </c>
      <c r="B565" s="28" t="s">
        <v>165</v>
      </c>
      <c r="C565" s="42" t="s">
        <v>1822</v>
      </c>
      <c r="D565" s="42" t="s">
        <v>240</v>
      </c>
      <c r="E565" s="42" t="s">
        <v>1340</v>
      </c>
      <c r="F565" s="28" t="s">
        <v>1826</v>
      </c>
      <c r="G565" s="28">
        <v>28.9</v>
      </c>
      <c r="H565" s="66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2.75" customHeight="1">
      <c r="A566" s="28" t="s">
        <v>1098</v>
      </c>
      <c r="B566" s="28" t="s">
        <v>497</v>
      </c>
      <c r="C566" s="42" t="s">
        <v>1827</v>
      </c>
      <c r="D566" s="42" t="s">
        <v>198</v>
      </c>
      <c r="E566" s="42" t="s">
        <v>670</v>
      </c>
      <c r="F566" s="28" t="s">
        <v>576</v>
      </c>
      <c r="G566" s="28">
        <v>23.1</v>
      </c>
      <c r="H566" s="66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2.75" customHeight="1">
      <c r="A567" s="28" t="s">
        <v>1828</v>
      </c>
      <c r="B567" s="28" t="s">
        <v>165</v>
      </c>
      <c r="C567" s="42" t="s">
        <v>1829</v>
      </c>
      <c r="D567" s="42" t="s">
        <v>321</v>
      </c>
      <c r="E567" s="42" t="s">
        <v>191</v>
      </c>
      <c r="F567" s="28" t="s">
        <v>1085</v>
      </c>
      <c r="G567" s="28">
        <v>27.4</v>
      </c>
      <c r="H567" s="66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2.75" customHeight="1">
      <c r="A568" s="28" t="s">
        <v>1830</v>
      </c>
      <c r="B568" s="28" t="s">
        <v>210</v>
      </c>
      <c r="C568" s="42" t="s">
        <v>1831</v>
      </c>
      <c r="D568" s="42" t="s">
        <v>1832</v>
      </c>
      <c r="E568" s="42" t="s">
        <v>191</v>
      </c>
      <c r="F568" s="28" t="s">
        <v>1833</v>
      </c>
      <c r="G568" s="28">
        <v>16.0</v>
      </c>
      <c r="H568" s="66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2.75" customHeight="1">
      <c r="A569" s="28" t="s">
        <v>1834</v>
      </c>
      <c r="B569" s="28" t="s">
        <v>165</v>
      </c>
      <c r="C569" s="42" t="s">
        <v>1835</v>
      </c>
      <c r="D569" s="42" t="s">
        <v>401</v>
      </c>
      <c r="E569" s="42" t="s">
        <v>1836</v>
      </c>
      <c r="F569" s="28" t="s">
        <v>1837</v>
      </c>
      <c r="G569" s="28">
        <v>29.7</v>
      </c>
      <c r="H569" s="66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2.75" customHeight="1">
      <c r="A570" s="28" t="s">
        <v>406</v>
      </c>
      <c r="B570" s="28" t="s">
        <v>165</v>
      </c>
      <c r="C570" s="42" t="s">
        <v>1838</v>
      </c>
      <c r="D570" s="42" t="s">
        <v>240</v>
      </c>
      <c r="E570" s="42" t="s">
        <v>1427</v>
      </c>
      <c r="F570" s="28" t="s">
        <v>1839</v>
      </c>
      <c r="G570" s="28">
        <v>36.8</v>
      </c>
      <c r="H570" s="66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2.75" customHeight="1">
      <c r="A571" s="28" t="s">
        <v>1840</v>
      </c>
      <c r="B571" s="28" t="s">
        <v>165</v>
      </c>
      <c r="C571" s="42" t="s">
        <v>1838</v>
      </c>
      <c r="D571" s="42" t="s">
        <v>198</v>
      </c>
      <c r="E571" s="42" t="s">
        <v>1427</v>
      </c>
      <c r="F571" s="28" t="s">
        <v>1841</v>
      </c>
      <c r="G571" s="28">
        <v>27.3</v>
      </c>
      <c r="H571" s="66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2.75" customHeight="1">
      <c r="A572" s="28" t="s">
        <v>1842</v>
      </c>
      <c r="B572" s="28" t="s">
        <v>165</v>
      </c>
      <c r="C572" s="42" t="s">
        <v>1843</v>
      </c>
      <c r="D572" s="42" t="s">
        <v>240</v>
      </c>
      <c r="E572" s="42" t="s">
        <v>420</v>
      </c>
      <c r="F572" s="28" t="s">
        <v>1844</v>
      </c>
      <c r="G572" s="28">
        <v>23.8</v>
      </c>
      <c r="H572" s="66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2.75" customHeight="1">
      <c r="A573" s="28" t="s">
        <v>566</v>
      </c>
      <c r="B573" s="28" t="s">
        <v>159</v>
      </c>
      <c r="C573" s="42" t="s">
        <v>1845</v>
      </c>
      <c r="D573" s="42" t="s">
        <v>1846</v>
      </c>
      <c r="E573" s="42" t="s">
        <v>764</v>
      </c>
      <c r="F573" s="28" t="s">
        <v>1847</v>
      </c>
      <c r="G573" s="28">
        <v>27.5</v>
      </c>
      <c r="H573" s="66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2.75" customHeight="1">
      <c r="A574" s="28" t="s">
        <v>1848</v>
      </c>
      <c r="B574" s="28" t="s">
        <v>210</v>
      </c>
      <c r="C574" s="42" t="s">
        <v>1849</v>
      </c>
      <c r="D574" s="42" t="s">
        <v>1850</v>
      </c>
      <c r="E574" s="42" t="s">
        <v>1851</v>
      </c>
      <c r="F574" s="28" t="s">
        <v>1852</v>
      </c>
      <c r="G574" s="28">
        <v>19.6</v>
      </c>
      <c r="H574" s="66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2.75" customHeight="1">
      <c r="A575" s="28" t="s">
        <v>1853</v>
      </c>
      <c r="B575" s="28" t="s">
        <v>165</v>
      </c>
      <c r="C575" s="42" t="s">
        <v>1854</v>
      </c>
      <c r="D575" s="42" t="s">
        <v>240</v>
      </c>
      <c r="E575" s="42" t="s">
        <v>647</v>
      </c>
      <c r="F575" s="28" t="s">
        <v>1855</v>
      </c>
      <c r="G575" s="28">
        <v>26.1</v>
      </c>
      <c r="H575" s="66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2.75" customHeight="1">
      <c r="A576" s="28" t="s">
        <v>1856</v>
      </c>
      <c r="B576" s="28" t="s">
        <v>165</v>
      </c>
      <c r="C576" s="42" t="s">
        <v>1857</v>
      </c>
      <c r="D576" s="42" t="s">
        <v>250</v>
      </c>
      <c r="E576" s="42" t="s">
        <v>162</v>
      </c>
      <c r="F576" s="28" t="s">
        <v>1858</v>
      </c>
      <c r="G576" s="28">
        <v>32.0</v>
      </c>
      <c r="H576" s="66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2.75" customHeight="1">
      <c r="A577" s="28" t="s">
        <v>1859</v>
      </c>
      <c r="B577" s="28" t="s">
        <v>165</v>
      </c>
      <c r="C577" s="42" t="s">
        <v>1857</v>
      </c>
      <c r="D577" s="42" t="s">
        <v>401</v>
      </c>
      <c r="E577" s="42" t="s">
        <v>162</v>
      </c>
      <c r="F577" s="28" t="s">
        <v>1860</v>
      </c>
      <c r="G577" s="28">
        <v>36.5</v>
      </c>
      <c r="H577" s="66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2.75" customHeight="1">
      <c r="A578" s="28" t="s">
        <v>1861</v>
      </c>
      <c r="B578" s="28" t="s">
        <v>165</v>
      </c>
      <c r="C578" s="42" t="s">
        <v>1857</v>
      </c>
      <c r="D578" s="42" t="s">
        <v>586</v>
      </c>
      <c r="E578" s="42" t="s">
        <v>162</v>
      </c>
      <c r="F578" s="28" t="s">
        <v>1775</v>
      </c>
      <c r="G578" s="28">
        <v>34.3</v>
      </c>
      <c r="H578" s="66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2.75" customHeight="1">
      <c r="A579" s="28" t="s">
        <v>1862</v>
      </c>
      <c r="B579" s="28" t="s">
        <v>165</v>
      </c>
      <c r="C579" s="42" t="s">
        <v>1857</v>
      </c>
      <c r="D579" s="42" t="s">
        <v>1142</v>
      </c>
      <c r="E579" s="42" t="s">
        <v>162</v>
      </c>
      <c r="F579" s="28" t="s">
        <v>1863</v>
      </c>
      <c r="G579" s="28">
        <v>36.1</v>
      </c>
      <c r="H579" s="66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2.75" customHeight="1">
      <c r="A580" s="28" t="s">
        <v>1864</v>
      </c>
      <c r="B580" s="28" t="s">
        <v>210</v>
      </c>
      <c r="C580" s="42" t="s">
        <v>1865</v>
      </c>
      <c r="D580" s="42" t="s">
        <v>1866</v>
      </c>
      <c r="E580" s="42" t="s">
        <v>1867</v>
      </c>
      <c r="F580" s="28" t="s">
        <v>1868</v>
      </c>
      <c r="G580" s="28">
        <v>21.6</v>
      </c>
      <c r="H580" s="66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2.75" customHeight="1">
      <c r="A581" s="28" t="s">
        <v>1869</v>
      </c>
      <c r="B581" s="28" t="s">
        <v>165</v>
      </c>
      <c r="C581" s="42" t="s">
        <v>1865</v>
      </c>
      <c r="D581" s="42" t="s">
        <v>401</v>
      </c>
      <c r="E581" s="42" t="s">
        <v>1867</v>
      </c>
      <c r="F581" s="28" t="s">
        <v>421</v>
      </c>
      <c r="G581" s="28">
        <v>27.3</v>
      </c>
      <c r="H581" s="66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2.75" customHeight="1">
      <c r="A582" s="28" t="s">
        <v>503</v>
      </c>
      <c r="B582" s="28" t="s">
        <v>673</v>
      </c>
      <c r="C582" s="42" t="s">
        <v>1870</v>
      </c>
      <c r="D582" s="42" t="s">
        <v>867</v>
      </c>
      <c r="E582" s="42" t="s">
        <v>1114</v>
      </c>
      <c r="F582" s="28" t="s">
        <v>1871</v>
      </c>
      <c r="G582" s="28">
        <v>18.3</v>
      </c>
      <c r="H582" s="66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2.75" customHeight="1">
      <c r="A583" s="28" t="s">
        <v>503</v>
      </c>
      <c r="B583" s="28" t="s">
        <v>219</v>
      </c>
      <c r="C583" s="42" t="s">
        <v>1872</v>
      </c>
      <c r="D583" s="42" t="s">
        <v>955</v>
      </c>
      <c r="E583" s="42" t="s">
        <v>1114</v>
      </c>
      <c r="F583" s="28" t="s">
        <v>385</v>
      </c>
      <c r="G583" s="28">
        <v>29.7</v>
      </c>
      <c r="H583" s="66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2.75" customHeight="1">
      <c r="A584" s="28" t="s">
        <v>1873</v>
      </c>
      <c r="B584" s="28" t="s">
        <v>262</v>
      </c>
      <c r="C584" s="42" t="s">
        <v>1872</v>
      </c>
      <c r="D584" s="42" t="s">
        <v>240</v>
      </c>
      <c r="E584" s="42" t="s">
        <v>1874</v>
      </c>
      <c r="F584" s="28" t="s">
        <v>1875</v>
      </c>
      <c r="G584" s="28">
        <v>33.6</v>
      </c>
      <c r="H584" s="66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2.75" customHeight="1">
      <c r="A585" s="28" t="s">
        <v>589</v>
      </c>
      <c r="B585" s="28" t="s">
        <v>159</v>
      </c>
      <c r="C585" s="42" t="s">
        <v>1876</v>
      </c>
      <c r="D585" s="42" t="s">
        <v>224</v>
      </c>
      <c r="E585" s="42" t="s">
        <v>1877</v>
      </c>
      <c r="F585" s="28" t="s">
        <v>1878</v>
      </c>
      <c r="G585" s="28">
        <v>25.7</v>
      </c>
      <c r="H585" s="66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2.75" customHeight="1">
      <c r="A586" s="28" t="s">
        <v>1879</v>
      </c>
      <c r="B586" s="28" t="s">
        <v>165</v>
      </c>
      <c r="C586" s="42" t="s">
        <v>1880</v>
      </c>
      <c r="D586" s="42" t="s">
        <v>495</v>
      </c>
      <c r="E586" s="42" t="s">
        <v>769</v>
      </c>
      <c r="F586" s="28" t="s">
        <v>1881</v>
      </c>
      <c r="G586" s="28">
        <v>21.8</v>
      </c>
      <c r="H586" s="66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2.75" customHeight="1">
      <c r="A587" s="28" t="s">
        <v>1882</v>
      </c>
      <c r="B587" s="28" t="s">
        <v>165</v>
      </c>
      <c r="C587" s="42" t="s">
        <v>1883</v>
      </c>
      <c r="D587" s="42" t="s">
        <v>633</v>
      </c>
      <c r="E587" s="42" t="s">
        <v>156</v>
      </c>
      <c r="F587" s="28" t="s">
        <v>1884</v>
      </c>
      <c r="G587" s="28">
        <v>26.5</v>
      </c>
      <c r="H587" s="66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2.75" customHeight="1">
      <c r="A588" s="28" t="s">
        <v>253</v>
      </c>
      <c r="B588" s="28" t="s">
        <v>165</v>
      </c>
      <c r="C588" s="42" t="s">
        <v>1885</v>
      </c>
      <c r="D588" s="42" t="s">
        <v>1886</v>
      </c>
      <c r="E588" s="42" t="s">
        <v>1887</v>
      </c>
      <c r="F588" s="28" t="s">
        <v>1888</v>
      </c>
      <c r="G588" s="28">
        <v>27.2</v>
      </c>
      <c r="H588" s="66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2.75" customHeight="1">
      <c r="A589" s="28" t="s">
        <v>480</v>
      </c>
      <c r="B589" s="28" t="s">
        <v>165</v>
      </c>
      <c r="C589" s="42" t="s">
        <v>1885</v>
      </c>
      <c r="D589" s="42" t="s">
        <v>1889</v>
      </c>
      <c r="E589" s="42" t="s">
        <v>1548</v>
      </c>
      <c r="F589" s="28" t="s">
        <v>1890</v>
      </c>
      <c r="G589" s="28">
        <v>22.9</v>
      </c>
      <c r="H589" s="66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2.75" customHeight="1">
      <c r="A590" s="28" t="s">
        <v>672</v>
      </c>
      <c r="B590" s="28" t="s">
        <v>262</v>
      </c>
      <c r="C590" s="42" t="s">
        <v>1885</v>
      </c>
      <c r="D590" s="42" t="s">
        <v>224</v>
      </c>
      <c r="E590" s="42" t="s">
        <v>162</v>
      </c>
      <c r="F590" s="28" t="s">
        <v>1392</v>
      </c>
      <c r="G590" s="28">
        <v>16.6</v>
      </c>
      <c r="H590" s="66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2.75" customHeight="1">
      <c r="A591" s="28" t="s">
        <v>911</v>
      </c>
      <c r="B591" s="28" t="s">
        <v>159</v>
      </c>
      <c r="C591" s="42" t="s">
        <v>1885</v>
      </c>
      <c r="D591" s="42" t="s">
        <v>357</v>
      </c>
      <c r="E591" s="42" t="s">
        <v>162</v>
      </c>
      <c r="F591" s="28" t="s">
        <v>1536</v>
      </c>
      <c r="G591" s="28">
        <v>31.3</v>
      </c>
      <c r="H591" s="66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2.75" customHeight="1">
      <c r="A592" s="28" t="s">
        <v>896</v>
      </c>
      <c r="B592" s="28" t="s">
        <v>159</v>
      </c>
      <c r="C592" s="42" t="s">
        <v>1885</v>
      </c>
      <c r="D592" s="42" t="s">
        <v>665</v>
      </c>
      <c r="E592" s="42" t="s">
        <v>1891</v>
      </c>
      <c r="F592" s="28" t="s">
        <v>1892</v>
      </c>
      <c r="G592" s="28">
        <v>28.8</v>
      </c>
      <c r="H592" s="66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2.75" customHeight="1">
      <c r="A593" s="28" t="s">
        <v>896</v>
      </c>
      <c r="B593" s="28" t="s">
        <v>262</v>
      </c>
      <c r="C593" s="42" t="s">
        <v>1885</v>
      </c>
      <c r="D593" s="42" t="s">
        <v>633</v>
      </c>
      <c r="E593" s="42" t="s">
        <v>722</v>
      </c>
      <c r="F593" s="28" t="s">
        <v>1740</v>
      </c>
      <c r="G593" s="28">
        <v>26.0</v>
      </c>
      <c r="H593" s="66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2.75" customHeight="1">
      <c r="A594" s="28" t="s">
        <v>1893</v>
      </c>
      <c r="B594" s="28" t="s">
        <v>165</v>
      </c>
      <c r="C594" s="42" t="s">
        <v>1885</v>
      </c>
      <c r="D594" s="42" t="s">
        <v>321</v>
      </c>
      <c r="E594" s="42" t="s">
        <v>162</v>
      </c>
      <c r="F594" s="28" t="s">
        <v>1894</v>
      </c>
      <c r="G594" s="28">
        <v>36.6</v>
      </c>
      <c r="H594" s="66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2.75" customHeight="1">
      <c r="A595" s="28" t="s">
        <v>1895</v>
      </c>
      <c r="B595" s="28" t="s">
        <v>165</v>
      </c>
      <c r="C595" s="42" t="s">
        <v>1885</v>
      </c>
      <c r="D595" s="42" t="s">
        <v>1896</v>
      </c>
      <c r="E595" s="42" t="s">
        <v>162</v>
      </c>
      <c r="F595" s="28" t="s">
        <v>1897</v>
      </c>
      <c r="G595" s="28">
        <v>25.9</v>
      </c>
      <c r="H595" s="66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2.75" customHeight="1">
      <c r="A596" s="28" t="s">
        <v>1898</v>
      </c>
      <c r="B596" s="28" t="s">
        <v>165</v>
      </c>
      <c r="C596" s="42" t="s">
        <v>1899</v>
      </c>
      <c r="D596" s="42" t="s">
        <v>1495</v>
      </c>
      <c r="E596" s="42" t="s">
        <v>162</v>
      </c>
      <c r="F596" s="28" t="s">
        <v>1900</v>
      </c>
      <c r="G596" s="28">
        <v>26.3</v>
      </c>
      <c r="H596" s="66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2.75" customHeight="1">
      <c r="A597" s="28" t="s">
        <v>265</v>
      </c>
      <c r="B597" s="28" t="s">
        <v>159</v>
      </c>
      <c r="C597" s="42" t="s">
        <v>1901</v>
      </c>
      <c r="D597" s="42" t="s">
        <v>203</v>
      </c>
      <c r="E597" s="42" t="s">
        <v>1902</v>
      </c>
      <c r="F597" s="28" t="s">
        <v>1903</v>
      </c>
      <c r="G597" s="28">
        <v>28.3</v>
      </c>
      <c r="H597" s="66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2.75" customHeight="1">
      <c r="A598" s="28" t="s">
        <v>639</v>
      </c>
      <c r="B598" s="28" t="s">
        <v>159</v>
      </c>
      <c r="C598" s="42" t="s">
        <v>1904</v>
      </c>
      <c r="D598" s="42" t="s">
        <v>181</v>
      </c>
      <c r="E598" s="42" t="s">
        <v>162</v>
      </c>
      <c r="F598" s="28" t="s">
        <v>1905</v>
      </c>
      <c r="G598" s="28">
        <v>31.2</v>
      </c>
      <c r="H598" s="66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2.75" customHeight="1">
      <c r="A599" s="28" t="s">
        <v>1906</v>
      </c>
      <c r="B599" s="28" t="s">
        <v>280</v>
      </c>
      <c r="C599" s="42" t="s">
        <v>1907</v>
      </c>
      <c r="D599" s="42" t="s">
        <v>691</v>
      </c>
      <c r="E599" s="42" t="s">
        <v>307</v>
      </c>
      <c r="F599" s="28" t="s">
        <v>1908</v>
      </c>
      <c r="G599" s="28">
        <v>37.3</v>
      </c>
      <c r="H599" s="66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2.75" customHeight="1">
      <c r="A600" s="28" t="s">
        <v>585</v>
      </c>
      <c r="B600" s="28" t="s">
        <v>673</v>
      </c>
      <c r="C600" s="42" t="s">
        <v>1909</v>
      </c>
      <c r="D600" s="42" t="s">
        <v>1910</v>
      </c>
      <c r="E600" s="42" t="s">
        <v>162</v>
      </c>
      <c r="F600" s="28" t="s">
        <v>1911</v>
      </c>
      <c r="G600" s="28">
        <v>20.8</v>
      </c>
      <c r="H600" s="66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2.75" customHeight="1">
      <c r="A601" s="28" t="s">
        <v>412</v>
      </c>
      <c r="B601" s="28" t="s">
        <v>262</v>
      </c>
      <c r="C601" s="42" t="s">
        <v>1912</v>
      </c>
      <c r="D601" s="42" t="s">
        <v>1153</v>
      </c>
      <c r="E601" s="42" t="s">
        <v>162</v>
      </c>
      <c r="F601" s="28" t="s">
        <v>1913</v>
      </c>
      <c r="G601" s="28">
        <v>26.5</v>
      </c>
      <c r="H601" s="66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2.75" customHeight="1">
      <c r="A602" s="28" t="s">
        <v>218</v>
      </c>
      <c r="B602" s="28" t="s">
        <v>215</v>
      </c>
      <c r="C602" s="42" t="s">
        <v>1914</v>
      </c>
      <c r="D602" s="42" t="s">
        <v>224</v>
      </c>
      <c r="E602" s="42" t="s">
        <v>1915</v>
      </c>
      <c r="F602" s="28" t="s">
        <v>1916</v>
      </c>
      <c r="G602" s="28">
        <v>21.1</v>
      </c>
      <c r="H602" s="66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2.75" customHeight="1">
      <c r="A603" s="28" t="s">
        <v>218</v>
      </c>
      <c r="B603" s="28" t="s">
        <v>159</v>
      </c>
      <c r="C603" s="42" t="s">
        <v>1914</v>
      </c>
      <c r="D603" s="42" t="s">
        <v>321</v>
      </c>
      <c r="E603" s="42" t="s">
        <v>1915</v>
      </c>
      <c r="F603" s="28" t="s">
        <v>1917</v>
      </c>
      <c r="G603" s="28">
        <v>23.4</v>
      </c>
      <c r="H603" s="66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2.75" customHeight="1">
      <c r="A604" s="28" t="s">
        <v>1918</v>
      </c>
      <c r="B604" s="28" t="s">
        <v>165</v>
      </c>
      <c r="C604" s="42" t="s">
        <v>1919</v>
      </c>
      <c r="D604" s="42" t="s">
        <v>837</v>
      </c>
      <c r="E604" s="42" t="s">
        <v>162</v>
      </c>
      <c r="F604" s="28" t="s">
        <v>1341</v>
      </c>
      <c r="G604" s="28">
        <v>29.6</v>
      </c>
      <c r="H604" s="66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2.75" customHeight="1">
      <c r="A605" s="28" t="s">
        <v>1920</v>
      </c>
      <c r="B605" s="28" t="s">
        <v>165</v>
      </c>
      <c r="C605" s="42" t="s">
        <v>1921</v>
      </c>
      <c r="D605" s="42" t="s">
        <v>1922</v>
      </c>
      <c r="E605" s="42" t="s">
        <v>162</v>
      </c>
      <c r="F605" s="28" t="s">
        <v>950</v>
      </c>
      <c r="G605" s="28">
        <v>32.9</v>
      </c>
      <c r="H605" s="66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2.75" customHeight="1">
      <c r="A606" s="28" t="s">
        <v>1923</v>
      </c>
      <c r="B606" s="28" t="s">
        <v>165</v>
      </c>
      <c r="C606" s="42" t="s">
        <v>1924</v>
      </c>
      <c r="D606" s="42" t="s">
        <v>741</v>
      </c>
      <c r="E606" s="42" t="s">
        <v>255</v>
      </c>
      <c r="F606" s="28" t="s">
        <v>1925</v>
      </c>
      <c r="G606" s="28">
        <v>14.1</v>
      </c>
      <c r="H606" s="66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2.75" customHeight="1">
      <c r="A607" s="28" t="s">
        <v>1926</v>
      </c>
      <c r="B607" s="28" t="s">
        <v>165</v>
      </c>
      <c r="C607" s="42" t="s">
        <v>1927</v>
      </c>
      <c r="D607" s="42" t="s">
        <v>586</v>
      </c>
      <c r="E607" s="42" t="s">
        <v>653</v>
      </c>
      <c r="F607" s="28" t="s">
        <v>1928</v>
      </c>
      <c r="G607" s="28">
        <v>28.5</v>
      </c>
      <c r="H607" s="66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2.75" customHeight="1">
      <c r="A608" s="28" t="s">
        <v>1929</v>
      </c>
      <c r="B608" s="28" t="s">
        <v>165</v>
      </c>
      <c r="C608" s="42" t="s">
        <v>1930</v>
      </c>
      <c r="D608" s="42" t="s">
        <v>198</v>
      </c>
      <c r="E608" s="42" t="s">
        <v>168</v>
      </c>
      <c r="F608" s="28" t="s">
        <v>1781</v>
      </c>
      <c r="G608" s="28">
        <v>30.1</v>
      </c>
      <c r="H608" s="66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2.75" customHeight="1">
      <c r="A609" s="28" t="s">
        <v>1931</v>
      </c>
      <c r="B609" s="28" t="s">
        <v>165</v>
      </c>
      <c r="C609" s="42" t="s">
        <v>1932</v>
      </c>
      <c r="D609" s="42" t="s">
        <v>1933</v>
      </c>
      <c r="E609" s="42" t="s">
        <v>1436</v>
      </c>
      <c r="F609" s="28" t="s">
        <v>1934</v>
      </c>
      <c r="G609" s="28">
        <v>34.7</v>
      </c>
      <c r="H609" s="66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2.75" customHeight="1">
      <c r="A610" s="28" t="s">
        <v>1935</v>
      </c>
      <c r="B610" s="28" t="s">
        <v>165</v>
      </c>
      <c r="C610" s="42" t="s">
        <v>1936</v>
      </c>
      <c r="D610" s="42" t="s">
        <v>1012</v>
      </c>
      <c r="E610" s="42" t="s">
        <v>255</v>
      </c>
      <c r="F610" s="28" t="s">
        <v>1937</v>
      </c>
      <c r="G610" s="28">
        <v>25.4</v>
      </c>
      <c r="H610" s="66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2.75" customHeight="1">
      <c r="A611" s="28" t="s">
        <v>1938</v>
      </c>
      <c r="B611" s="28" t="s">
        <v>210</v>
      </c>
      <c r="C611" s="42" t="s">
        <v>1939</v>
      </c>
      <c r="D611" s="42" t="s">
        <v>1940</v>
      </c>
      <c r="E611" s="42" t="s">
        <v>653</v>
      </c>
      <c r="F611" s="28" t="s">
        <v>1941</v>
      </c>
      <c r="G611" s="28">
        <v>19.6</v>
      </c>
      <c r="H611" s="66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2.75" customHeight="1">
      <c r="A612" s="28" t="s">
        <v>1036</v>
      </c>
      <c r="B612" s="28" t="s">
        <v>159</v>
      </c>
      <c r="C612" s="42" t="s">
        <v>1942</v>
      </c>
      <c r="D612" s="42" t="s">
        <v>240</v>
      </c>
      <c r="E612" s="42" t="s">
        <v>162</v>
      </c>
      <c r="F612" s="28" t="s">
        <v>1943</v>
      </c>
      <c r="G612" s="28">
        <v>17.8</v>
      </c>
      <c r="H612" s="66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2.75" customHeight="1">
      <c r="A613" s="28" t="s">
        <v>1944</v>
      </c>
      <c r="B613" s="28" t="s">
        <v>210</v>
      </c>
      <c r="C613" s="42" t="s">
        <v>1945</v>
      </c>
      <c r="D613" s="42" t="s">
        <v>1946</v>
      </c>
      <c r="E613" s="42" t="s">
        <v>1947</v>
      </c>
      <c r="F613" s="28" t="s">
        <v>1740</v>
      </c>
      <c r="G613" s="28">
        <v>25.3</v>
      </c>
      <c r="H613" s="66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2.75" customHeight="1">
      <c r="A614" s="28" t="s">
        <v>1948</v>
      </c>
      <c r="B614" s="28" t="s">
        <v>165</v>
      </c>
      <c r="C614" s="42" t="s">
        <v>1949</v>
      </c>
      <c r="D614" s="42" t="s">
        <v>220</v>
      </c>
      <c r="E614" s="42" t="s">
        <v>1950</v>
      </c>
      <c r="F614" s="28" t="s">
        <v>1951</v>
      </c>
      <c r="G614" s="28">
        <v>35.5</v>
      </c>
      <c r="H614" s="66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2.75" customHeight="1">
      <c r="A615" s="28" t="s">
        <v>1952</v>
      </c>
      <c r="B615" s="28" t="s">
        <v>319</v>
      </c>
      <c r="C615" s="42" t="s">
        <v>1953</v>
      </c>
      <c r="D615" s="42" t="s">
        <v>1411</v>
      </c>
      <c r="E615" s="42" t="s">
        <v>460</v>
      </c>
      <c r="F615" s="28" t="s">
        <v>1954</v>
      </c>
      <c r="G615" s="28">
        <v>43.2</v>
      </c>
      <c r="H615" s="66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2.75" customHeight="1">
      <c r="A616" s="28" t="s">
        <v>1955</v>
      </c>
      <c r="B616" s="28" t="s">
        <v>165</v>
      </c>
      <c r="C616" s="42" t="s">
        <v>1956</v>
      </c>
      <c r="D616" s="42" t="s">
        <v>1957</v>
      </c>
      <c r="E616" s="42" t="s">
        <v>1867</v>
      </c>
      <c r="F616" s="28" t="s">
        <v>1603</v>
      </c>
      <c r="G616" s="28">
        <v>28.4</v>
      </c>
      <c r="H616" s="66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2.75" customHeight="1">
      <c r="A617" s="28" t="s">
        <v>672</v>
      </c>
      <c r="B617" s="28" t="s">
        <v>159</v>
      </c>
      <c r="C617" s="42" t="s">
        <v>1958</v>
      </c>
      <c r="D617" s="42" t="s">
        <v>203</v>
      </c>
      <c r="E617" s="42" t="s">
        <v>1959</v>
      </c>
      <c r="F617" s="28" t="s">
        <v>1960</v>
      </c>
      <c r="G617" s="28">
        <v>18.2</v>
      </c>
      <c r="H617" s="66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2.75" customHeight="1">
      <c r="A618" s="28" t="s">
        <v>667</v>
      </c>
      <c r="B618" s="28" t="s">
        <v>153</v>
      </c>
      <c r="C618" s="42" t="s">
        <v>1961</v>
      </c>
      <c r="D618" s="42" t="s">
        <v>1962</v>
      </c>
      <c r="E618" s="42" t="s">
        <v>1554</v>
      </c>
      <c r="F618" s="28" t="s">
        <v>1963</v>
      </c>
      <c r="G618" s="28">
        <v>16.6</v>
      </c>
      <c r="H618" s="66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2.75" customHeight="1">
      <c r="A619" s="28" t="s">
        <v>1964</v>
      </c>
      <c r="B619" s="28" t="s">
        <v>165</v>
      </c>
      <c r="C619" s="42" t="s">
        <v>1965</v>
      </c>
      <c r="D619" s="42" t="s">
        <v>240</v>
      </c>
      <c r="E619" s="42" t="s">
        <v>255</v>
      </c>
      <c r="F619" s="28" t="s">
        <v>865</v>
      </c>
      <c r="G619" s="28">
        <v>26.4</v>
      </c>
      <c r="H619" s="66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2.75" customHeight="1">
      <c r="A620" s="28" t="s">
        <v>1966</v>
      </c>
      <c r="B620" s="28" t="s">
        <v>165</v>
      </c>
      <c r="C620" s="42" t="s">
        <v>1967</v>
      </c>
      <c r="D620" s="42" t="s">
        <v>185</v>
      </c>
      <c r="E620" s="42" t="s">
        <v>388</v>
      </c>
      <c r="F620" s="28" t="s">
        <v>1968</v>
      </c>
      <c r="G620" s="28">
        <v>24.5</v>
      </c>
      <c r="H620" s="66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2.75" customHeight="1">
      <c r="A621" s="28" t="s">
        <v>969</v>
      </c>
      <c r="B621" s="28" t="s">
        <v>153</v>
      </c>
      <c r="C621" s="42" t="s">
        <v>1969</v>
      </c>
      <c r="D621" s="42" t="s">
        <v>361</v>
      </c>
      <c r="E621" s="42" t="s">
        <v>650</v>
      </c>
      <c r="F621" s="28" t="s">
        <v>1970</v>
      </c>
      <c r="G621" s="28">
        <v>16.8</v>
      </c>
      <c r="H621" s="66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2.75" customHeight="1">
      <c r="A622" s="28" t="s">
        <v>1971</v>
      </c>
      <c r="B622" s="28" t="s">
        <v>165</v>
      </c>
      <c r="C622" s="42" t="s">
        <v>1972</v>
      </c>
      <c r="D622" s="42" t="s">
        <v>481</v>
      </c>
      <c r="E622" s="42" t="s">
        <v>255</v>
      </c>
      <c r="F622" s="28" t="s">
        <v>1925</v>
      </c>
      <c r="G622" s="28">
        <v>14.1</v>
      </c>
      <c r="H622" s="66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2.75" customHeight="1">
      <c r="A623" s="28" t="s">
        <v>1973</v>
      </c>
      <c r="B623" s="28" t="s">
        <v>210</v>
      </c>
      <c r="C623" s="42" t="s">
        <v>1974</v>
      </c>
      <c r="D623" s="42" t="s">
        <v>905</v>
      </c>
      <c r="E623" s="42" t="s">
        <v>715</v>
      </c>
      <c r="F623" s="28" t="s">
        <v>1975</v>
      </c>
      <c r="G623" s="28">
        <v>24.4</v>
      </c>
      <c r="H623" s="66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2.75" customHeight="1">
      <c r="A624" s="28" t="s">
        <v>1976</v>
      </c>
      <c r="B624" s="28" t="s">
        <v>165</v>
      </c>
      <c r="C624" s="42" t="s">
        <v>1977</v>
      </c>
      <c r="D624" s="42" t="s">
        <v>171</v>
      </c>
      <c r="E624" s="42" t="s">
        <v>1978</v>
      </c>
      <c r="F624" s="28" t="s">
        <v>1979</v>
      </c>
      <c r="G624" s="28">
        <v>31.5</v>
      </c>
      <c r="H624" s="66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2.75" customHeight="1">
      <c r="A625" s="28" t="s">
        <v>390</v>
      </c>
      <c r="B625" s="28" t="s">
        <v>153</v>
      </c>
      <c r="C625" s="42" t="s">
        <v>1980</v>
      </c>
      <c r="D625" s="42" t="s">
        <v>326</v>
      </c>
      <c r="E625" s="42" t="s">
        <v>162</v>
      </c>
      <c r="F625" s="28" t="s">
        <v>1632</v>
      </c>
      <c r="G625" s="28">
        <v>24.9</v>
      </c>
      <c r="H625" s="66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2.75" customHeight="1">
      <c r="A626" s="28" t="s">
        <v>1981</v>
      </c>
      <c r="B626" s="28" t="s">
        <v>210</v>
      </c>
      <c r="C626" s="42" t="s">
        <v>1980</v>
      </c>
      <c r="D626" s="42" t="s">
        <v>326</v>
      </c>
      <c r="E626" s="42" t="s">
        <v>162</v>
      </c>
      <c r="F626" s="28" t="s">
        <v>1982</v>
      </c>
      <c r="G626" s="28">
        <v>20.0</v>
      </c>
      <c r="H626" s="66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2.75" customHeight="1">
      <c r="A627" s="28" t="s">
        <v>179</v>
      </c>
      <c r="B627" s="28" t="s">
        <v>165</v>
      </c>
      <c r="C627" s="42" t="s">
        <v>1983</v>
      </c>
      <c r="D627" s="42" t="s">
        <v>240</v>
      </c>
      <c r="E627" s="42" t="s">
        <v>162</v>
      </c>
      <c r="F627" s="28" t="s">
        <v>810</v>
      </c>
      <c r="G627" s="28">
        <v>29.5</v>
      </c>
      <c r="H627" s="66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2.75" customHeight="1">
      <c r="A628" s="28" t="s">
        <v>1984</v>
      </c>
      <c r="B628" s="28" t="s">
        <v>319</v>
      </c>
      <c r="C628" s="42" t="s">
        <v>1983</v>
      </c>
      <c r="D628" s="42" t="s">
        <v>198</v>
      </c>
      <c r="E628" s="42" t="s">
        <v>408</v>
      </c>
      <c r="F628" s="28" t="s">
        <v>1985</v>
      </c>
      <c r="G628" s="28">
        <v>43.3</v>
      </c>
      <c r="H628" s="66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2.75" customHeight="1">
      <c r="A629" s="28" t="s">
        <v>333</v>
      </c>
      <c r="B629" s="28" t="s">
        <v>602</v>
      </c>
      <c r="C629" s="42" t="s">
        <v>1983</v>
      </c>
      <c r="D629" s="42" t="s">
        <v>1986</v>
      </c>
      <c r="E629" s="42" t="s">
        <v>1987</v>
      </c>
      <c r="F629" s="28" t="s">
        <v>1988</v>
      </c>
      <c r="G629" s="28">
        <v>26.2</v>
      </c>
      <c r="H629" s="66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2.75" customHeight="1">
      <c r="A630" s="28" t="s">
        <v>1873</v>
      </c>
      <c r="B630" s="28" t="s">
        <v>159</v>
      </c>
      <c r="C630" s="42" t="s">
        <v>1983</v>
      </c>
      <c r="D630" s="42" t="s">
        <v>518</v>
      </c>
      <c r="E630" s="42" t="s">
        <v>987</v>
      </c>
      <c r="F630" s="28" t="s">
        <v>1989</v>
      </c>
      <c r="G630" s="28">
        <v>29.1</v>
      </c>
      <c r="H630" s="66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2.75" customHeight="1">
      <c r="A631" s="28" t="s">
        <v>1873</v>
      </c>
      <c r="B631" s="28" t="s">
        <v>165</v>
      </c>
      <c r="C631" s="42" t="s">
        <v>1983</v>
      </c>
      <c r="D631" s="42" t="s">
        <v>233</v>
      </c>
      <c r="E631" s="42" t="s">
        <v>162</v>
      </c>
      <c r="F631" s="28" t="s">
        <v>1990</v>
      </c>
      <c r="G631" s="28">
        <v>33.8</v>
      </c>
      <c r="H631" s="66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2.75" customHeight="1">
      <c r="A632" s="28" t="s">
        <v>261</v>
      </c>
      <c r="B632" s="28" t="s">
        <v>219</v>
      </c>
      <c r="C632" s="42" t="s">
        <v>1991</v>
      </c>
      <c r="D632" s="42" t="s">
        <v>286</v>
      </c>
      <c r="E632" s="42" t="s">
        <v>1992</v>
      </c>
      <c r="F632" s="28" t="s">
        <v>1993</v>
      </c>
      <c r="G632" s="28">
        <v>30.1</v>
      </c>
      <c r="H632" s="66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2.75" customHeight="1">
      <c r="A633" s="28" t="s">
        <v>284</v>
      </c>
      <c r="B633" s="28" t="s">
        <v>165</v>
      </c>
      <c r="C633" s="42" t="s">
        <v>1991</v>
      </c>
      <c r="D633" s="42" t="s">
        <v>522</v>
      </c>
      <c r="E633" s="42" t="s">
        <v>1554</v>
      </c>
      <c r="F633" s="28" t="s">
        <v>1203</v>
      </c>
      <c r="G633" s="28">
        <v>34.3</v>
      </c>
      <c r="H633" s="66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2.75" customHeight="1">
      <c r="A634" s="28" t="s">
        <v>601</v>
      </c>
      <c r="B634" s="28" t="s">
        <v>159</v>
      </c>
      <c r="C634" s="42" t="s">
        <v>1994</v>
      </c>
      <c r="D634" s="42" t="s">
        <v>832</v>
      </c>
      <c r="E634" s="42" t="s">
        <v>1995</v>
      </c>
      <c r="F634" s="28" t="s">
        <v>1750</v>
      </c>
      <c r="G634" s="28">
        <v>29.4</v>
      </c>
      <c r="H634" s="66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2.75" customHeight="1">
      <c r="A635" s="28" t="s">
        <v>748</v>
      </c>
      <c r="B635" s="28" t="s">
        <v>262</v>
      </c>
      <c r="C635" s="42" t="s">
        <v>1994</v>
      </c>
      <c r="D635" s="42" t="s">
        <v>224</v>
      </c>
      <c r="E635" s="42" t="s">
        <v>1996</v>
      </c>
      <c r="F635" s="28" t="s">
        <v>1997</v>
      </c>
      <c r="G635" s="28">
        <v>24.9</v>
      </c>
      <c r="H635" s="66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2.75" customHeight="1">
      <c r="A636" s="28" t="s">
        <v>1998</v>
      </c>
      <c r="B636" s="28" t="s">
        <v>210</v>
      </c>
      <c r="C636" s="42" t="s">
        <v>1999</v>
      </c>
      <c r="D636" s="42" t="s">
        <v>326</v>
      </c>
      <c r="E636" s="42" t="s">
        <v>162</v>
      </c>
      <c r="F636" s="28" t="s">
        <v>2000</v>
      </c>
      <c r="G636" s="28">
        <v>22.9</v>
      </c>
      <c r="H636" s="66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2.75" customHeight="1">
      <c r="A637" s="28" t="s">
        <v>2001</v>
      </c>
      <c r="B637" s="28" t="s">
        <v>210</v>
      </c>
      <c r="C637" s="42" t="s">
        <v>2002</v>
      </c>
      <c r="D637" s="42" t="s">
        <v>471</v>
      </c>
      <c r="E637" s="42" t="s">
        <v>162</v>
      </c>
      <c r="F637" s="28" t="s">
        <v>2003</v>
      </c>
      <c r="G637" s="28">
        <v>20.6</v>
      </c>
      <c r="H637" s="66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2.75" customHeight="1">
      <c r="A638" s="28" t="s">
        <v>2004</v>
      </c>
      <c r="B638" s="28" t="s">
        <v>165</v>
      </c>
      <c r="C638" s="42" t="s">
        <v>2005</v>
      </c>
      <c r="D638" s="42" t="s">
        <v>286</v>
      </c>
      <c r="E638" s="42" t="s">
        <v>162</v>
      </c>
      <c r="F638" s="28" t="s">
        <v>2006</v>
      </c>
      <c r="G638" s="28">
        <v>30.5</v>
      </c>
      <c r="H638" s="66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2.75" customHeight="1">
      <c r="A639" s="28" t="s">
        <v>2007</v>
      </c>
      <c r="B639" s="28" t="s">
        <v>165</v>
      </c>
      <c r="C639" s="42" t="s">
        <v>2008</v>
      </c>
      <c r="D639" s="42" t="s">
        <v>447</v>
      </c>
      <c r="E639" s="42" t="s">
        <v>172</v>
      </c>
      <c r="F639" s="28" t="s">
        <v>2009</v>
      </c>
      <c r="G639" s="28">
        <v>29.4</v>
      </c>
      <c r="H639" s="66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2.75" customHeight="1">
      <c r="A640" s="28" t="s">
        <v>2010</v>
      </c>
      <c r="B640" s="28" t="s">
        <v>165</v>
      </c>
      <c r="C640" s="42" t="s">
        <v>2011</v>
      </c>
      <c r="D640" s="42" t="s">
        <v>2012</v>
      </c>
      <c r="E640" s="42" t="s">
        <v>162</v>
      </c>
      <c r="F640" s="28" t="s">
        <v>2013</v>
      </c>
      <c r="G640" s="28">
        <v>32.6</v>
      </c>
      <c r="H640" s="66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2.75" customHeight="1">
      <c r="A641" s="28" t="s">
        <v>2014</v>
      </c>
      <c r="B641" s="28" t="s">
        <v>165</v>
      </c>
      <c r="C641" s="42" t="s">
        <v>2015</v>
      </c>
      <c r="D641" s="42" t="s">
        <v>522</v>
      </c>
      <c r="E641" s="42" t="s">
        <v>162</v>
      </c>
      <c r="F641" s="28" t="s">
        <v>2016</v>
      </c>
      <c r="G641" s="28">
        <v>25.5</v>
      </c>
      <c r="H641" s="66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2.75" customHeight="1">
      <c r="A642" s="28" t="s">
        <v>2017</v>
      </c>
      <c r="B642" s="28" t="s">
        <v>210</v>
      </c>
      <c r="C642" s="42" t="s">
        <v>2018</v>
      </c>
      <c r="D642" s="42" t="s">
        <v>2019</v>
      </c>
      <c r="E642" s="42" t="s">
        <v>559</v>
      </c>
      <c r="F642" s="28" t="s">
        <v>2020</v>
      </c>
      <c r="G642" s="28">
        <v>22.2</v>
      </c>
      <c r="H642" s="66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2.75" customHeight="1">
      <c r="A643" s="28" t="s">
        <v>382</v>
      </c>
      <c r="B643" s="28" t="s">
        <v>165</v>
      </c>
      <c r="C643" s="42" t="s">
        <v>2021</v>
      </c>
      <c r="D643" s="42" t="s">
        <v>2022</v>
      </c>
      <c r="E643" s="42" t="s">
        <v>2023</v>
      </c>
      <c r="F643" s="28" t="s">
        <v>2024</v>
      </c>
      <c r="G643" s="28">
        <v>28.5</v>
      </c>
      <c r="H643" s="66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2.75" customHeight="1">
      <c r="A644" s="28" t="s">
        <v>2025</v>
      </c>
      <c r="B644" s="28" t="s">
        <v>165</v>
      </c>
      <c r="C644" s="42" t="s">
        <v>2026</v>
      </c>
      <c r="D644" s="42" t="s">
        <v>216</v>
      </c>
      <c r="E644" s="42" t="s">
        <v>255</v>
      </c>
      <c r="F644" s="28" t="s">
        <v>2027</v>
      </c>
      <c r="G644" s="28">
        <v>28.8</v>
      </c>
      <c r="H644" s="66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2.75" customHeight="1">
      <c r="A645" s="28" t="s">
        <v>2028</v>
      </c>
      <c r="B645" s="28" t="s">
        <v>487</v>
      </c>
      <c r="C645" s="42" t="s">
        <v>2029</v>
      </c>
      <c r="D645" s="42" t="s">
        <v>354</v>
      </c>
      <c r="E645" s="42" t="s">
        <v>2030</v>
      </c>
      <c r="F645" s="28" t="s">
        <v>2031</v>
      </c>
      <c r="G645" s="28">
        <v>31.1</v>
      </c>
      <c r="H645" s="66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2.75" customHeight="1">
      <c r="A646" s="28" t="s">
        <v>2032</v>
      </c>
      <c r="B646" s="28" t="s">
        <v>210</v>
      </c>
      <c r="C646" s="42" t="s">
        <v>2033</v>
      </c>
      <c r="D646" s="42" t="s">
        <v>624</v>
      </c>
      <c r="E646" s="42" t="s">
        <v>162</v>
      </c>
      <c r="F646" s="28" t="s">
        <v>2034</v>
      </c>
      <c r="G646" s="28">
        <v>18.7</v>
      </c>
      <c r="H646" s="66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2.75" customHeight="1">
      <c r="A647" s="28" t="s">
        <v>1350</v>
      </c>
      <c r="B647" s="28" t="s">
        <v>165</v>
      </c>
      <c r="C647" s="42" t="s">
        <v>2035</v>
      </c>
      <c r="D647" s="42" t="s">
        <v>431</v>
      </c>
      <c r="E647" s="42" t="s">
        <v>162</v>
      </c>
      <c r="F647" s="28" t="s">
        <v>2036</v>
      </c>
      <c r="G647" s="28">
        <v>23.3</v>
      </c>
      <c r="H647" s="66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2.75" customHeight="1">
      <c r="A648" s="28" t="s">
        <v>573</v>
      </c>
      <c r="B648" s="28" t="s">
        <v>210</v>
      </c>
      <c r="C648" s="42" t="s">
        <v>2037</v>
      </c>
      <c r="D648" s="42" t="s">
        <v>228</v>
      </c>
      <c r="E648" s="42" t="s">
        <v>594</v>
      </c>
      <c r="F648" s="28" t="s">
        <v>598</v>
      </c>
      <c r="G648" s="28">
        <v>25.7</v>
      </c>
      <c r="H648" s="66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2.75" customHeight="1">
      <c r="A649" s="28" t="s">
        <v>390</v>
      </c>
      <c r="B649" s="28" t="s">
        <v>219</v>
      </c>
      <c r="C649" s="42" t="s">
        <v>2038</v>
      </c>
      <c r="D649" s="42" t="s">
        <v>251</v>
      </c>
      <c r="E649" s="42" t="s">
        <v>594</v>
      </c>
      <c r="F649" s="28" t="s">
        <v>2039</v>
      </c>
      <c r="G649" s="28">
        <v>22.9</v>
      </c>
      <c r="H649" s="66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2.75" customHeight="1">
      <c r="A650" s="28" t="s">
        <v>261</v>
      </c>
      <c r="B650" s="28" t="s">
        <v>153</v>
      </c>
      <c r="C650" s="42" t="s">
        <v>2040</v>
      </c>
      <c r="D650" s="42" t="s">
        <v>1048</v>
      </c>
      <c r="E650" s="42" t="s">
        <v>1300</v>
      </c>
      <c r="F650" s="28" t="s">
        <v>2041</v>
      </c>
      <c r="G650" s="28">
        <v>27.0</v>
      </c>
      <c r="H650" s="66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2.75" customHeight="1">
      <c r="A651" s="28" t="s">
        <v>551</v>
      </c>
      <c r="B651" s="28" t="s">
        <v>153</v>
      </c>
      <c r="C651" s="42" t="s">
        <v>2040</v>
      </c>
      <c r="D651" s="42" t="s">
        <v>2042</v>
      </c>
      <c r="E651" s="42" t="s">
        <v>2043</v>
      </c>
      <c r="F651" s="28" t="s">
        <v>2044</v>
      </c>
      <c r="G651" s="28">
        <v>19.2</v>
      </c>
      <c r="H651" s="66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2.75" customHeight="1">
      <c r="A652" s="28" t="s">
        <v>2045</v>
      </c>
      <c r="B652" s="28" t="s">
        <v>210</v>
      </c>
      <c r="C652" s="42" t="s">
        <v>2040</v>
      </c>
      <c r="D652" s="42" t="s">
        <v>395</v>
      </c>
      <c r="E652" s="42" t="s">
        <v>404</v>
      </c>
      <c r="F652" s="28" t="s">
        <v>2046</v>
      </c>
      <c r="G652" s="28">
        <v>22.7</v>
      </c>
      <c r="H652" s="66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2.75" customHeight="1">
      <c r="A653" s="28" t="s">
        <v>762</v>
      </c>
      <c r="B653" s="28" t="s">
        <v>165</v>
      </c>
      <c r="C653" s="42" t="s">
        <v>2047</v>
      </c>
      <c r="D653" s="42" t="s">
        <v>224</v>
      </c>
      <c r="E653" s="42" t="s">
        <v>2048</v>
      </c>
      <c r="F653" s="28" t="s">
        <v>2049</v>
      </c>
      <c r="G653" s="28">
        <v>34.8</v>
      </c>
      <c r="H653" s="66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2.75" customHeight="1">
      <c r="A654" s="28" t="s">
        <v>601</v>
      </c>
      <c r="B654" s="28" t="s">
        <v>159</v>
      </c>
      <c r="C654" s="42" t="s">
        <v>2050</v>
      </c>
      <c r="D654" s="42" t="s">
        <v>1201</v>
      </c>
      <c r="E654" s="42" t="s">
        <v>1502</v>
      </c>
      <c r="F654" s="28" t="s">
        <v>1220</v>
      </c>
      <c r="G654" s="28">
        <v>29.4</v>
      </c>
      <c r="H654" s="66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2.75" customHeight="1">
      <c r="A655" s="28" t="s">
        <v>523</v>
      </c>
      <c r="B655" s="28" t="s">
        <v>262</v>
      </c>
      <c r="C655" s="42" t="s">
        <v>2050</v>
      </c>
      <c r="D655" s="42" t="s">
        <v>2051</v>
      </c>
      <c r="E655" s="42" t="s">
        <v>1502</v>
      </c>
      <c r="F655" s="28" t="s">
        <v>2052</v>
      </c>
      <c r="G655" s="28">
        <v>24.5</v>
      </c>
      <c r="H655" s="66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2.75" customHeight="1">
      <c r="A656" s="28" t="s">
        <v>2053</v>
      </c>
      <c r="B656" s="28" t="s">
        <v>165</v>
      </c>
      <c r="C656" s="42" t="s">
        <v>2050</v>
      </c>
      <c r="D656" s="42" t="s">
        <v>220</v>
      </c>
      <c r="E656" s="42" t="s">
        <v>2054</v>
      </c>
      <c r="F656" s="28" t="s">
        <v>1555</v>
      </c>
      <c r="G656" s="28">
        <v>27.4</v>
      </c>
      <c r="H656" s="66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2.75" customHeight="1">
      <c r="A657" s="28" t="s">
        <v>2055</v>
      </c>
      <c r="B657" s="28" t="s">
        <v>165</v>
      </c>
      <c r="C657" s="42" t="s">
        <v>2050</v>
      </c>
      <c r="D657" s="42" t="s">
        <v>357</v>
      </c>
      <c r="E657" s="42" t="s">
        <v>316</v>
      </c>
      <c r="F657" s="28" t="s">
        <v>2056</v>
      </c>
      <c r="G657" s="28">
        <v>33.2</v>
      </c>
      <c r="H657" s="66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2.75" customHeight="1">
      <c r="A658" s="28" t="s">
        <v>2057</v>
      </c>
      <c r="B658" s="28" t="s">
        <v>165</v>
      </c>
      <c r="C658" s="42" t="s">
        <v>2058</v>
      </c>
      <c r="D658" s="42" t="s">
        <v>2012</v>
      </c>
      <c r="E658" s="42" t="s">
        <v>162</v>
      </c>
      <c r="F658" s="28" t="s">
        <v>1705</v>
      </c>
      <c r="G658" s="28">
        <v>27.6</v>
      </c>
      <c r="H658" s="66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2.75" customHeight="1">
      <c r="A659" s="28" t="s">
        <v>158</v>
      </c>
      <c r="B659" s="28" t="s">
        <v>219</v>
      </c>
      <c r="C659" s="42" t="s">
        <v>2059</v>
      </c>
      <c r="D659" s="42" t="s">
        <v>658</v>
      </c>
      <c r="E659" s="42" t="s">
        <v>162</v>
      </c>
      <c r="F659" s="28" t="s">
        <v>2060</v>
      </c>
      <c r="G659" s="28">
        <v>30.8</v>
      </c>
      <c r="H659" s="66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2.75" customHeight="1">
      <c r="A660" s="28" t="s">
        <v>466</v>
      </c>
      <c r="B660" s="28" t="s">
        <v>159</v>
      </c>
      <c r="C660" s="42" t="s">
        <v>2061</v>
      </c>
      <c r="D660" s="42" t="s">
        <v>357</v>
      </c>
      <c r="E660" s="42" t="s">
        <v>162</v>
      </c>
      <c r="F660" s="28" t="s">
        <v>2062</v>
      </c>
      <c r="G660" s="28">
        <v>25.9</v>
      </c>
      <c r="H660" s="66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2.75" customHeight="1">
      <c r="A661" s="28" t="s">
        <v>2063</v>
      </c>
      <c r="B661" s="28" t="s">
        <v>215</v>
      </c>
      <c r="C661" s="42" t="s">
        <v>2064</v>
      </c>
      <c r="D661" s="42" t="s">
        <v>586</v>
      </c>
      <c r="E661" s="42" t="s">
        <v>156</v>
      </c>
      <c r="F661" s="28" t="s">
        <v>2065</v>
      </c>
      <c r="G661" s="28">
        <v>26.0</v>
      </c>
      <c r="H661" s="66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2.75" customHeight="1">
      <c r="A662" s="28" t="s">
        <v>480</v>
      </c>
      <c r="B662" s="28" t="s">
        <v>210</v>
      </c>
      <c r="C662" s="42" t="s">
        <v>2066</v>
      </c>
      <c r="D662" s="42" t="s">
        <v>361</v>
      </c>
      <c r="E662" s="42" t="s">
        <v>322</v>
      </c>
      <c r="F662" s="28" t="s">
        <v>2067</v>
      </c>
      <c r="G662" s="28">
        <v>30.7</v>
      </c>
      <c r="H662" s="66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2.75" customHeight="1">
      <c r="A663" s="28" t="s">
        <v>1194</v>
      </c>
      <c r="B663" s="28" t="s">
        <v>219</v>
      </c>
      <c r="C663" s="42" t="s">
        <v>2068</v>
      </c>
      <c r="D663" s="42" t="s">
        <v>741</v>
      </c>
      <c r="E663" s="42" t="s">
        <v>559</v>
      </c>
      <c r="F663" s="28" t="s">
        <v>2069</v>
      </c>
      <c r="G663" s="28">
        <v>32.1</v>
      </c>
      <c r="H663" s="66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2.75" customHeight="1">
      <c r="A664" s="28" t="s">
        <v>911</v>
      </c>
      <c r="B664" s="28" t="s">
        <v>153</v>
      </c>
      <c r="C664" s="42" t="s">
        <v>2068</v>
      </c>
      <c r="D664" s="42" t="s">
        <v>965</v>
      </c>
      <c r="E664" s="42" t="s">
        <v>559</v>
      </c>
      <c r="F664" s="28" t="s">
        <v>2070</v>
      </c>
      <c r="G664" s="28">
        <v>25.6</v>
      </c>
      <c r="H664" s="66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2.75" customHeight="1">
      <c r="A665" s="28" t="s">
        <v>2071</v>
      </c>
      <c r="B665" s="28" t="s">
        <v>210</v>
      </c>
      <c r="C665" s="42" t="s">
        <v>2068</v>
      </c>
      <c r="D665" s="42" t="s">
        <v>1528</v>
      </c>
      <c r="E665" s="42" t="s">
        <v>559</v>
      </c>
      <c r="F665" s="28" t="s">
        <v>2072</v>
      </c>
      <c r="G665" s="28">
        <v>19.3</v>
      </c>
      <c r="H665" s="66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2.75" customHeight="1">
      <c r="A666" s="28" t="s">
        <v>551</v>
      </c>
      <c r="B666" s="28" t="s">
        <v>159</v>
      </c>
      <c r="C666" s="42" t="s">
        <v>2073</v>
      </c>
      <c r="D666" s="42" t="s">
        <v>171</v>
      </c>
      <c r="E666" s="42" t="s">
        <v>650</v>
      </c>
      <c r="F666" s="28" t="s">
        <v>2074</v>
      </c>
      <c r="G666" s="28">
        <v>27.4</v>
      </c>
      <c r="H666" s="66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2.75" customHeight="1">
      <c r="A667" s="28" t="s">
        <v>261</v>
      </c>
      <c r="B667" s="28" t="s">
        <v>165</v>
      </c>
      <c r="C667" s="42" t="s">
        <v>2075</v>
      </c>
      <c r="D667" s="42" t="s">
        <v>2076</v>
      </c>
      <c r="E667" s="42" t="s">
        <v>2077</v>
      </c>
      <c r="F667" s="28" t="s">
        <v>2078</v>
      </c>
      <c r="G667" s="28">
        <v>34.9</v>
      </c>
      <c r="H667" s="66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2.75" customHeight="1">
      <c r="A668" s="28" t="s">
        <v>2079</v>
      </c>
      <c r="B668" s="28" t="s">
        <v>280</v>
      </c>
      <c r="C668" s="42" t="s">
        <v>2075</v>
      </c>
      <c r="D668" s="42" t="s">
        <v>2012</v>
      </c>
      <c r="E668" s="42" t="s">
        <v>460</v>
      </c>
      <c r="F668" s="28" t="s">
        <v>2080</v>
      </c>
      <c r="G668" s="28">
        <v>43.3</v>
      </c>
      <c r="H668" s="66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2.75" customHeight="1">
      <c r="A669" s="28" t="s">
        <v>1194</v>
      </c>
      <c r="B669" s="28" t="s">
        <v>159</v>
      </c>
      <c r="C669" s="42" t="s">
        <v>2081</v>
      </c>
      <c r="D669" s="42" t="s">
        <v>447</v>
      </c>
      <c r="E669" s="42" t="s">
        <v>277</v>
      </c>
      <c r="F669" s="28" t="s">
        <v>1818</v>
      </c>
      <c r="G669" s="28">
        <v>27.5</v>
      </c>
      <c r="H669" s="66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2.75" customHeight="1">
      <c r="A670" s="28" t="s">
        <v>765</v>
      </c>
      <c r="B670" s="28" t="s">
        <v>159</v>
      </c>
      <c r="C670" s="42" t="s">
        <v>2082</v>
      </c>
      <c r="D670" s="42" t="s">
        <v>224</v>
      </c>
      <c r="E670" s="42" t="s">
        <v>1300</v>
      </c>
      <c r="F670" s="28" t="s">
        <v>2083</v>
      </c>
      <c r="G670" s="28">
        <v>27.4</v>
      </c>
      <c r="H670" s="66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2.75" customHeight="1">
      <c r="A671" s="28" t="s">
        <v>677</v>
      </c>
      <c r="B671" s="28" t="s">
        <v>159</v>
      </c>
      <c r="C671" s="42" t="s">
        <v>2082</v>
      </c>
      <c r="D671" s="42" t="s">
        <v>633</v>
      </c>
      <c r="E671" s="42" t="s">
        <v>1300</v>
      </c>
      <c r="F671" s="28" t="s">
        <v>2084</v>
      </c>
      <c r="G671" s="28">
        <v>24.9</v>
      </c>
      <c r="H671" s="66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2.75" customHeight="1">
      <c r="A672" s="28" t="s">
        <v>2085</v>
      </c>
      <c r="B672" s="28" t="s">
        <v>314</v>
      </c>
      <c r="C672" s="42" t="s">
        <v>2086</v>
      </c>
      <c r="D672" s="42" t="s">
        <v>401</v>
      </c>
      <c r="E672" s="42" t="s">
        <v>162</v>
      </c>
      <c r="F672" s="28" t="s">
        <v>236</v>
      </c>
      <c r="G672" s="28">
        <v>43.1</v>
      </c>
      <c r="H672" s="66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2.75" customHeight="1">
      <c r="A673" s="28" t="s">
        <v>773</v>
      </c>
      <c r="B673" s="28" t="s">
        <v>165</v>
      </c>
      <c r="C673" s="42" t="s">
        <v>2087</v>
      </c>
      <c r="D673" s="42" t="s">
        <v>586</v>
      </c>
      <c r="E673" s="42" t="s">
        <v>162</v>
      </c>
      <c r="F673" s="28" t="s">
        <v>2088</v>
      </c>
      <c r="G673" s="28">
        <v>36.4</v>
      </c>
      <c r="H673" s="66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2.75" customHeight="1">
      <c r="A674" s="28" t="s">
        <v>2089</v>
      </c>
      <c r="B674" s="28" t="s">
        <v>165</v>
      </c>
      <c r="C674" s="42" t="s">
        <v>2087</v>
      </c>
      <c r="D674" s="42" t="s">
        <v>224</v>
      </c>
      <c r="E674" s="42" t="s">
        <v>162</v>
      </c>
      <c r="F674" s="28" t="s">
        <v>805</v>
      </c>
      <c r="G674" s="28">
        <v>26.0</v>
      </c>
      <c r="H674" s="66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2.75" customHeight="1">
      <c r="A675" s="28" t="s">
        <v>911</v>
      </c>
      <c r="B675" s="28" t="s">
        <v>153</v>
      </c>
      <c r="C675" s="42" t="s">
        <v>2090</v>
      </c>
      <c r="D675" s="42" t="s">
        <v>1850</v>
      </c>
      <c r="E675" s="42" t="s">
        <v>162</v>
      </c>
      <c r="F675" s="28" t="s">
        <v>2091</v>
      </c>
      <c r="G675" s="28">
        <v>16.9</v>
      </c>
      <c r="H675" s="66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2.75" customHeight="1">
      <c r="A676" s="28" t="s">
        <v>583</v>
      </c>
      <c r="B676" s="28" t="s">
        <v>159</v>
      </c>
      <c r="C676" s="42" t="s">
        <v>2092</v>
      </c>
      <c r="D676" s="42" t="s">
        <v>1145</v>
      </c>
      <c r="E676" s="42" t="s">
        <v>2093</v>
      </c>
      <c r="F676" s="28" t="s">
        <v>2094</v>
      </c>
      <c r="G676" s="28">
        <v>29.4</v>
      </c>
      <c r="H676" s="66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2.75" customHeight="1">
      <c r="A677" s="28" t="s">
        <v>2095</v>
      </c>
      <c r="B677" s="28" t="s">
        <v>210</v>
      </c>
      <c r="C677" s="42" t="s">
        <v>2096</v>
      </c>
      <c r="D677" s="42" t="s">
        <v>2097</v>
      </c>
      <c r="E677" s="42" t="s">
        <v>1867</v>
      </c>
      <c r="F677" s="28" t="s">
        <v>2098</v>
      </c>
      <c r="G677" s="28">
        <v>24.2</v>
      </c>
      <c r="H677" s="66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2.75" customHeight="1">
      <c r="A678" s="28" t="s">
        <v>790</v>
      </c>
      <c r="B678" s="28" t="s">
        <v>165</v>
      </c>
      <c r="C678" s="42" t="s">
        <v>2099</v>
      </c>
      <c r="D678" s="42" t="s">
        <v>731</v>
      </c>
      <c r="E678" s="42" t="s">
        <v>2100</v>
      </c>
      <c r="F678" s="28" t="s">
        <v>2101</v>
      </c>
      <c r="G678" s="28">
        <v>22.3</v>
      </c>
      <c r="H678" s="66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2.75" customHeight="1">
      <c r="A679" s="28" t="s">
        <v>2102</v>
      </c>
      <c r="B679" s="28" t="s">
        <v>210</v>
      </c>
      <c r="C679" s="42" t="s">
        <v>2103</v>
      </c>
      <c r="D679" s="42" t="s">
        <v>2104</v>
      </c>
      <c r="E679" s="42" t="s">
        <v>2105</v>
      </c>
      <c r="F679" s="28" t="s">
        <v>2106</v>
      </c>
      <c r="G679" s="28">
        <v>22.7</v>
      </c>
      <c r="H679" s="66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2.75" customHeight="1">
      <c r="A680" s="28" t="s">
        <v>1882</v>
      </c>
      <c r="B680" s="28" t="s">
        <v>210</v>
      </c>
      <c r="C680" s="42" t="s">
        <v>2107</v>
      </c>
      <c r="D680" s="42" t="s">
        <v>778</v>
      </c>
      <c r="E680" s="42" t="s">
        <v>2108</v>
      </c>
      <c r="F680" s="28" t="s">
        <v>2109</v>
      </c>
      <c r="G680" s="28">
        <v>21.7</v>
      </c>
      <c r="H680" s="66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2.75" customHeight="1">
      <c r="A681" s="28" t="s">
        <v>152</v>
      </c>
      <c r="B681" s="28" t="s">
        <v>159</v>
      </c>
      <c r="C681" s="42" t="s">
        <v>2110</v>
      </c>
      <c r="D681" s="42" t="s">
        <v>447</v>
      </c>
      <c r="E681" s="42" t="s">
        <v>162</v>
      </c>
      <c r="F681" s="28" t="s">
        <v>2111</v>
      </c>
      <c r="G681" s="28">
        <v>19.2</v>
      </c>
      <c r="H681" s="66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2.75" customHeight="1">
      <c r="A682" s="28" t="s">
        <v>2063</v>
      </c>
      <c r="B682" s="28" t="s">
        <v>497</v>
      </c>
      <c r="C682" s="42" t="s">
        <v>2110</v>
      </c>
      <c r="D682" s="42" t="s">
        <v>586</v>
      </c>
      <c r="E682" s="42" t="s">
        <v>156</v>
      </c>
      <c r="F682" s="28" t="s">
        <v>1344</v>
      </c>
      <c r="G682" s="28">
        <v>19.2</v>
      </c>
      <c r="H682" s="66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2.75" customHeight="1">
      <c r="A683" s="28" t="s">
        <v>748</v>
      </c>
      <c r="B683" s="28" t="s">
        <v>159</v>
      </c>
      <c r="C683" s="42" t="s">
        <v>2112</v>
      </c>
      <c r="D683" s="42" t="s">
        <v>181</v>
      </c>
      <c r="E683" s="42" t="s">
        <v>162</v>
      </c>
      <c r="F683" s="28" t="s">
        <v>2113</v>
      </c>
      <c r="G683" s="28">
        <v>24.0</v>
      </c>
      <c r="H683" s="66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2.75" customHeight="1">
      <c r="A684" s="28" t="s">
        <v>2114</v>
      </c>
      <c r="B684" s="28" t="s">
        <v>210</v>
      </c>
      <c r="C684" s="42" t="s">
        <v>2115</v>
      </c>
      <c r="D684" s="42" t="s">
        <v>2116</v>
      </c>
      <c r="E684" s="42" t="s">
        <v>162</v>
      </c>
      <c r="F684" s="28" t="s">
        <v>2117</v>
      </c>
      <c r="G684" s="28">
        <v>22.1</v>
      </c>
      <c r="H684" s="66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2.75" customHeight="1">
      <c r="A685" s="28" t="s">
        <v>748</v>
      </c>
      <c r="B685" s="28" t="s">
        <v>219</v>
      </c>
      <c r="C685" s="42" t="s">
        <v>2118</v>
      </c>
      <c r="D685" s="42" t="s">
        <v>2119</v>
      </c>
      <c r="E685" s="42" t="s">
        <v>162</v>
      </c>
      <c r="F685" s="28" t="s">
        <v>1771</v>
      </c>
      <c r="G685" s="28">
        <v>23.7</v>
      </c>
      <c r="H685" s="66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2.75" customHeight="1">
      <c r="A686" s="28" t="s">
        <v>907</v>
      </c>
      <c r="B686" s="28" t="s">
        <v>159</v>
      </c>
      <c r="C686" s="42" t="s">
        <v>2120</v>
      </c>
      <c r="D686" s="42" t="s">
        <v>702</v>
      </c>
      <c r="E686" s="42" t="s">
        <v>559</v>
      </c>
      <c r="F686" s="28" t="s">
        <v>2121</v>
      </c>
      <c r="G686" s="28">
        <v>33.4</v>
      </c>
      <c r="H686" s="66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2.75" customHeight="1">
      <c r="A687" s="28" t="s">
        <v>919</v>
      </c>
      <c r="B687" s="28" t="s">
        <v>165</v>
      </c>
      <c r="C687" s="42" t="s">
        <v>2122</v>
      </c>
      <c r="D687" s="42" t="s">
        <v>240</v>
      </c>
      <c r="E687" s="42" t="s">
        <v>162</v>
      </c>
      <c r="F687" s="28" t="s">
        <v>2123</v>
      </c>
      <c r="G687" s="28">
        <v>30.6</v>
      </c>
      <c r="H687" s="66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2.75" customHeight="1">
      <c r="A688" s="28" t="s">
        <v>869</v>
      </c>
      <c r="B688" s="28" t="s">
        <v>219</v>
      </c>
      <c r="C688" s="42" t="s">
        <v>2122</v>
      </c>
      <c r="D688" s="42" t="s">
        <v>431</v>
      </c>
      <c r="E688" s="42" t="s">
        <v>199</v>
      </c>
      <c r="F688" s="28" t="s">
        <v>2124</v>
      </c>
      <c r="G688" s="28">
        <v>26.8</v>
      </c>
      <c r="H688" s="66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2.75" customHeight="1">
      <c r="A689" s="28" t="s">
        <v>2125</v>
      </c>
      <c r="B689" s="28" t="s">
        <v>165</v>
      </c>
      <c r="C689" s="42" t="s">
        <v>2126</v>
      </c>
      <c r="D689" s="42" t="s">
        <v>240</v>
      </c>
      <c r="E689" s="42" t="s">
        <v>653</v>
      </c>
      <c r="F689" s="28" t="s">
        <v>2127</v>
      </c>
      <c r="G689" s="28">
        <v>28.7</v>
      </c>
      <c r="H689" s="66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2.75" customHeight="1">
      <c r="A690" s="28" t="s">
        <v>2128</v>
      </c>
      <c r="B690" s="28" t="s">
        <v>165</v>
      </c>
      <c r="C690" s="42" t="s">
        <v>2129</v>
      </c>
      <c r="D690" s="42" t="s">
        <v>691</v>
      </c>
      <c r="E690" s="42" t="s">
        <v>162</v>
      </c>
      <c r="F690" s="28" t="s">
        <v>2130</v>
      </c>
      <c r="G690" s="28">
        <v>26.1</v>
      </c>
      <c r="H690" s="66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2.75" customHeight="1">
      <c r="A691" s="28" t="s">
        <v>2131</v>
      </c>
      <c r="B691" s="28" t="s">
        <v>210</v>
      </c>
      <c r="C691" s="42" t="s">
        <v>2132</v>
      </c>
      <c r="D691" s="42" t="s">
        <v>2133</v>
      </c>
      <c r="E691" s="42" t="s">
        <v>162</v>
      </c>
      <c r="F691" s="28" t="s">
        <v>2134</v>
      </c>
      <c r="G691" s="28">
        <v>28.7</v>
      </c>
      <c r="H691" s="66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2.75" customHeight="1">
      <c r="A692" s="28" t="s">
        <v>540</v>
      </c>
      <c r="B692" s="28" t="s">
        <v>165</v>
      </c>
      <c r="C692" s="42" t="s">
        <v>2135</v>
      </c>
      <c r="D692" s="42" t="s">
        <v>415</v>
      </c>
      <c r="E692" s="42" t="s">
        <v>594</v>
      </c>
      <c r="F692" s="28" t="s">
        <v>2136</v>
      </c>
      <c r="G692" s="28">
        <v>27.5</v>
      </c>
      <c r="H692" s="66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2.75" customHeight="1">
      <c r="A693" s="28" t="s">
        <v>969</v>
      </c>
      <c r="B693" s="28" t="s">
        <v>219</v>
      </c>
      <c r="C693" s="42" t="s">
        <v>2137</v>
      </c>
      <c r="D693" s="42" t="s">
        <v>611</v>
      </c>
      <c r="E693" s="42" t="s">
        <v>162</v>
      </c>
      <c r="F693" s="28" t="s">
        <v>2138</v>
      </c>
      <c r="G693" s="28">
        <v>25.9</v>
      </c>
      <c r="H693" s="66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2.75" customHeight="1">
      <c r="A694" s="28" t="s">
        <v>257</v>
      </c>
      <c r="B694" s="28" t="s">
        <v>210</v>
      </c>
      <c r="C694" s="42" t="s">
        <v>2139</v>
      </c>
      <c r="D694" s="42" t="s">
        <v>349</v>
      </c>
      <c r="E694" s="42" t="s">
        <v>2140</v>
      </c>
      <c r="F694" s="28" t="s">
        <v>479</v>
      </c>
      <c r="G694" s="28">
        <v>18.9</v>
      </c>
      <c r="H694" s="66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2.75" customHeight="1">
      <c r="A695" s="28" t="s">
        <v>1107</v>
      </c>
      <c r="B695" s="28" t="s">
        <v>210</v>
      </c>
      <c r="C695" s="42" t="s">
        <v>2139</v>
      </c>
      <c r="D695" s="42" t="s">
        <v>155</v>
      </c>
      <c r="E695" s="42" t="s">
        <v>2141</v>
      </c>
      <c r="F695" s="28" t="s">
        <v>2142</v>
      </c>
      <c r="G695" s="28">
        <v>28.6</v>
      </c>
      <c r="H695" s="66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2.75" customHeight="1">
      <c r="A696" s="28" t="s">
        <v>257</v>
      </c>
      <c r="B696" s="28" t="s">
        <v>165</v>
      </c>
      <c r="C696" s="42" t="s">
        <v>2143</v>
      </c>
      <c r="D696" s="42" t="s">
        <v>401</v>
      </c>
      <c r="E696" s="42" t="s">
        <v>2140</v>
      </c>
      <c r="F696" s="28" t="s">
        <v>1646</v>
      </c>
      <c r="G696" s="28">
        <v>28.1</v>
      </c>
      <c r="H696" s="66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2.75" customHeight="1">
      <c r="A697" s="28" t="s">
        <v>1107</v>
      </c>
      <c r="B697" s="28" t="s">
        <v>165</v>
      </c>
      <c r="C697" s="42" t="s">
        <v>2143</v>
      </c>
      <c r="D697" s="42" t="s">
        <v>1276</v>
      </c>
      <c r="E697" s="42" t="s">
        <v>2144</v>
      </c>
      <c r="F697" s="28" t="s">
        <v>2145</v>
      </c>
      <c r="G697" s="28">
        <v>31.0</v>
      </c>
      <c r="H697" s="66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2.75" customHeight="1">
      <c r="A698" s="28" t="s">
        <v>1107</v>
      </c>
      <c r="B698" s="28" t="s">
        <v>165</v>
      </c>
      <c r="C698" s="42" t="s">
        <v>2143</v>
      </c>
      <c r="D698" s="42" t="s">
        <v>1676</v>
      </c>
      <c r="E698" s="42" t="s">
        <v>2144</v>
      </c>
      <c r="F698" s="28" t="s">
        <v>2146</v>
      </c>
      <c r="G698" s="28">
        <v>31.1</v>
      </c>
      <c r="H698" s="66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2.75" customHeight="1">
      <c r="A699" s="28" t="s">
        <v>2147</v>
      </c>
      <c r="B699" s="28" t="s">
        <v>165</v>
      </c>
      <c r="C699" s="42" t="s">
        <v>2143</v>
      </c>
      <c r="D699" s="42" t="s">
        <v>611</v>
      </c>
      <c r="E699" s="42" t="s">
        <v>162</v>
      </c>
      <c r="F699" s="28" t="s">
        <v>2148</v>
      </c>
      <c r="G699" s="28">
        <v>27.6</v>
      </c>
      <c r="H699" s="66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2.75" customHeight="1">
      <c r="A700" s="28" t="s">
        <v>765</v>
      </c>
      <c r="B700" s="28" t="s">
        <v>602</v>
      </c>
      <c r="C700" s="42" t="s">
        <v>2149</v>
      </c>
      <c r="D700" s="42" t="s">
        <v>190</v>
      </c>
      <c r="E700" s="42" t="s">
        <v>2150</v>
      </c>
      <c r="F700" s="28" t="s">
        <v>2151</v>
      </c>
      <c r="G700" s="28">
        <v>29.8</v>
      </c>
      <c r="H700" s="66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2.75" customHeight="1">
      <c r="A701" s="28" t="s">
        <v>2152</v>
      </c>
      <c r="B701" s="28" t="s">
        <v>165</v>
      </c>
      <c r="C701" s="42" t="s">
        <v>2153</v>
      </c>
      <c r="D701" s="42" t="s">
        <v>2154</v>
      </c>
      <c r="E701" s="42" t="s">
        <v>191</v>
      </c>
      <c r="F701" s="28" t="s">
        <v>2155</v>
      </c>
      <c r="G701" s="28">
        <v>22.0</v>
      </c>
      <c r="H701" s="66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2.75" customHeight="1">
      <c r="A702" s="28" t="s">
        <v>2156</v>
      </c>
      <c r="B702" s="28" t="s">
        <v>165</v>
      </c>
      <c r="C702" s="42" t="s">
        <v>2153</v>
      </c>
      <c r="D702" s="42" t="s">
        <v>2154</v>
      </c>
      <c r="E702" s="42" t="s">
        <v>191</v>
      </c>
      <c r="F702" s="28" t="s">
        <v>2157</v>
      </c>
      <c r="G702" s="28">
        <v>22.8</v>
      </c>
      <c r="H702" s="66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2.75" customHeight="1">
      <c r="A703" s="28" t="s">
        <v>923</v>
      </c>
      <c r="B703" s="28" t="s">
        <v>165</v>
      </c>
      <c r="C703" s="42" t="s">
        <v>2158</v>
      </c>
      <c r="D703" s="42" t="s">
        <v>1279</v>
      </c>
      <c r="E703" s="42" t="s">
        <v>2159</v>
      </c>
      <c r="F703" s="28" t="s">
        <v>2160</v>
      </c>
      <c r="G703" s="28">
        <v>25.5</v>
      </c>
      <c r="H703" s="66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2.75" customHeight="1">
      <c r="A704" s="28" t="s">
        <v>2161</v>
      </c>
      <c r="B704" s="28" t="s">
        <v>210</v>
      </c>
      <c r="C704" s="42" t="s">
        <v>2162</v>
      </c>
      <c r="D704" s="42" t="s">
        <v>778</v>
      </c>
      <c r="E704" s="42" t="s">
        <v>162</v>
      </c>
      <c r="F704" s="28" t="s">
        <v>2163</v>
      </c>
      <c r="G704" s="28">
        <v>24.3</v>
      </c>
      <c r="H704" s="66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2.75" customHeight="1">
      <c r="A705" s="28" t="s">
        <v>614</v>
      </c>
      <c r="B705" s="28" t="s">
        <v>165</v>
      </c>
      <c r="C705" s="42" t="s">
        <v>2164</v>
      </c>
      <c r="D705" s="42" t="s">
        <v>240</v>
      </c>
      <c r="E705" s="42" t="s">
        <v>212</v>
      </c>
      <c r="F705" s="28" t="s">
        <v>2165</v>
      </c>
      <c r="G705" s="28">
        <v>24.3</v>
      </c>
      <c r="H705" s="66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2.75" customHeight="1">
      <c r="A706" s="28" t="s">
        <v>2166</v>
      </c>
      <c r="B706" s="28" t="s">
        <v>165</v>
      </c>
      <c r="C706" s="42" t="s">
        <v>2167</v>
      </c>
      <c r="D706" s="42" t="s">
        <v>516</v>
      </c>
      <c r="E706" s="42" t="s">
        <v>1462</v>
      </c>
      <c r="F706" s="28" t="s">
        <v>846</v>
      </c>
      <c r="G706" s="28">
        <v>27.3</v>
      </c>
      <c r="H706" s="66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2.75" customHeight="1">
      <c r="A707" s="28" t="s">
        <v>152</v>
      </c>
      <c r="B707" s="28" t="s">
        <v>159</v>
      </c>
      <c r="C707" s="42" t="s">
        <v>2168</v>
      </c>
      <c r="D707" s="42" t="s">
        <v>741</v>
      </c>
      <c r="E707" s="42" t="s">
        <v>1300</v>
      </c>
      <c r="F707" s="28" t="s">
        <v>2169</v>
      </c>
      <c r="G707" s="28">
        <v>29.3</v>
      </c>
      <c r="H707" s="66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2.75" customHeight="1">
      <c r="A708" s="28" t="s">
        <v>2170</v>
      </c>
      <c r="B708" s="28" t="s">
        <v>165</v>
      </c>
      <c r="C708" s="42" t="s">
        <v>2171</v>
      </c>
      <c r="D708" s="42" t="s">
        <v>141</v>
      </c>
      <c r="E708" s="42" t="s">
        <v>727</v>
      </c>
      <c r="F708" s="28" t="s">
        <v>2172</v>
      </c>
      <c r="G708" s="28">
        <v>25.6</v>
      </c>
      <c r="H708" s="66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2.75" customHeight="1">
      <c r="A709" s="28" t="s">
        <v>2173</v>
      </c>
      <c r="B709" s="28" t="s">
        <v>165</v>
      </c>
      <c r="C709" s="42" t="s">
        <v>2174</v>
      </c>
      <c r="D709" s="42" t="s">
        <v>161</v>
      </c>
      <c r="E709" s="42" t="s">
        <v>162</v>
      </c>
      <c r="F709" s="28" t="s">
        <v>2175</v>
      </c>
      <c r="G709" s="28">
        <v>31.7</v>
      </c>
      <c r="H709" s="66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2.75" customHeight="1">
      <c r="A710" s="28" t="s">
        <v>2176</v>
      </c>
      <c r="B710" s="28" t="s">
        <v>165</v>
      </c>
      <c r="C710" s="42" t="s">
        <v>2177</v>
      </c>
      <c r="D710" s="42" t="s">
        <v>2178</v>
      </c>
      <c r="E710" s="42" t="s">
        <v>2179</v>
      </c>
      <c r="F710" s="28" t="s">
        <v>2180</v>
      </c>
      <c r="G710" s="28">
        <v>36.5</v>
      </c>
      <c r="H710" s="66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2.75" customHeight="1">
      <c r="A711" s="28" t="s">
        <v>843</v>
      </c>
      <c r="B711" s="28" t="s">
        <v>159</v>
      </c>
      <c r="C711" s="42" t="s">
        <v>2181</v>
      </c>
      <c r="D711" s="42" t="s">
        <v>203</v>
      </c>
      <c r="E711" s="42" t="s">
        <v>460</v>
      </c>
      <c r="F711" s="28" t="s">
        <v>2182</v>
      </c>
      <c r="G711" s="28">
        <v>31.4</v>
      </c>
      <c r="H711" s="66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2.75" customHeight="1">
      <c r="A712" s="28" t="s">
        <v>734</v>
      </c>
      <c r="B712" s="28" t="s">
        <v>262</v>
      </c>
      <c r="C712" s="42" t="s">
        <v>2183</v>
      </c>
      <c r="D712" s="42" t="s">
        <v>240</v>
      </c>
      <c r="E712" s="42" t="s">
        <v>162</v>
      </c>
      <c r="F712" s="28" t="s">
        <v>2184</v>
      </c>
      <c r="G712" s="28">
        <v>20.9</v>
      </c>
      <c r="H712" s="66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2.75" customHeight="1">
      <c r="A713" s="28" t="s">
        <v>639</v>
      </c>
      <c r="B713" s="28" t="s">
        <v>673</v>
      </c>
      <c r="C713" s="42" t="s">
        <v>2185</v>
      </c>
      <c r="D713" s="42" t="s">
        <v>2186</v>
      </c>
      <c r="E713" s="42" t="s">
        <v>2187</v>
      </c>
      <c r="F713" s="28" t="s">
        <v>2188</v>
      </c>
      <c r="G713" s="28">
        <v>16.9</v>
      </c>
      <c r="H713" s="66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2.75" customHeight="1">
      <c r="A714" s="28" t="s">
        <v>2189</v>
      </c>
      <c r="B714" s="28" t="s">
        <v>210</v>
      </c>
      <c r="C714" s="42" t="s">
        <v>2185</v>
      </c>
      <c r="D714" s="42" t="s">
        <v>547</v>
      </c>
      <c r="E714" s="42" t="s">
        <v>255</v>
      </c>
      <c r="F714" s="28" t="s">
        <v>2190</v>
      </c>
      <c r="G714" s="28">
        <v>20.7</v>
      </c>
      <c r="H714" s="66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2.75" customHeight="1">
      <c r="A715" s="28" t="s">
        <v>1873</v>
      </c>
      <c r="B715" s="28" t="s">
        <v>159</v>
      </c>
      <c r="C715" s="42" t="s">
        <v>2191</v>
      </c>
      <c r="D715" s="42" t="s">
        <v>240</v>
      </c>
      <c r="E715" s="42" t="s">
        <v>2187</v>
      </c>
      <c r="F715" s="28" t="s">
        <v>2192</v>
      </c>
      <c r="G715" s="28">
        <v>26.9</v>
      </c>
      <c r="H715" s="66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2.75" customHeight="1">
      <c r="A716" s="28" t="s">
        <v>515</v>
      </c>
      <c r="B716" s="28" t="s">
        <v>165</v>
      </c>
      <c r="C716" s="42" t="s">
        <v>2193</v>
      </c>
      <c r="D716" s="42" t="s">
        <v>665</v>
      </c>
      <c r="E716" s="42" t="s">
        <v>162</v>
      </c>
      <c r="F716" s="28" t="s">
        <v>2194</v>
      </c>
      <c r="G716" s="28">
        <v>20.5</v>
      </c>
      <c r="H716" s="66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2.75" customHeight="1">
      <c r="A717" s="28" t="s">
        <v>2195</v>
      </c>
      <c r="B717" s="28" t="s">
        <v>165</v>
      </c>
      <c r="C717" s="42" t="s">
        <v>2193</v>
      </c>
      <c r="D717" s="42" t="s">
        <v>665</v>
      </c>
      <c r="E717" s="42" t="s">
        <v>489</v>
      </c>
      <c r="F717" s="28" t="s">
        <v>2194</v>
      </c>
      <c r="G717" s="28">
        <v>20.5</v>
      </c>
      <c r="H717" s="66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2.75" customHeight="1">
      <c r="A718" s="28" t="s">
        <v>2196</v>
      </c>
      <c r="B718" s="28" t="s">
        <v>165</v>
      </c>
      <c r="C718" s="42" t="s">
        <v>2197</v>
      </c>
      <c r="D718" s="42" t="s">
        <v>1401</v>
      </c>
      <c r="E718" s="42" t="s">
        <v>162</v>
      </c>
      <c r="F718" s="28" t="s">
        <v>2198</v>
      </c>
      <c r="G718" s="28">
        <v>27.4</v>
      </c>
      <c r="H718" s="66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2.75" customHeight="1">
      <c r="A719" s="28" t="s">
        <v>214</v>
      </c>
      <c r="B719" s="28" t="s">
        <v>159</v>
      </c>
      <c r="C719" s="42" t="s">
        <v>2199</v>
      </c>
      <c r="D719" s="42" t="s">
        <v>518</v>
      </c>
      <c r="E719" s="42" t="s">
        <v>2200</v>
      </c>
      <c r="F719" s="28" t="s">
        <v>2201</v>
      </c>
      <c r="G719" s="28">
        <v>26.8</v>
      </c>
      <c r="H719" s="66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2.75" customHeight="1">
      <c r="A720" s="28" t="s">
        <v>2202</v>
      </c>
      <c r="B720" s="28" t="s">
        <v>210</v>
      </c>
      <c r="C720" s="42" t="s">
        <v>2203</v>
      </c>
      <c r="D720" s="42" t="s">
        <v>2204</v>
      </c>
      <c r="E720" s="42" t="s">
        <v>162</v>
      </c>
      <c r="F720" s="28" t="s">
        <v>2205</v>
      </c>
      <c r="G720" s="28">
        <v>20.5</v>
      </c>
      <c r="H720" s="66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2.75" customHeight="1">
      <c r="A721" s="28" t="s">
        <v>1107</v>
      </c>
      <c r="B721" s="28" t="s">
        <v>210</v>
      </c>
      <c r="C721" s="42" t="s">
        <v>2206</v>
      </c>
      <c r="D721" s="42" t="s">
        <v>2207</v>
      </c>
      <c r="E721" s="42" t="s">
        <v>972</v>
      </c>
      <c r="F721" s="28" t="s">
        <v>2208</v>
      </c>
      <c r="G721" s="28">
        <v>16.9</v>
      </c>
      <c r="H721" s="66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2.75" customHeight="1">
      <c r="A722" s="28" t="s">
        <v>2209</v>
      </c>
      <c r="B722" s="28" t="s">
        <v>457</v>
      </c>
      <c r="C722" s="42" t="s">
        <v>2210</v>
      </c>
      <c r="D722" s="42" t="s">
        <v>141</v>
      </c>
      <c r="E722" s="42" t="s">
        <v>2211</v>
      </c>
      <c r="F722" s="28" t="s">
        <v>2212</v>
      </c>
      <c r="G722" s="28">
        <v>43.2</v>
      </c>
      <c r="H722" s="66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2.75" customHeight="1">
      <c r="A723" s="28" t="s">
        <v>265</v>
      </c>
      <c r="B723" s="28" t="s">
        <v>673</v>
      </c>
      <c r="C723" s="42" t="s">
        <v>2213</v>
      </c>
      <c r="D723" s="42" t="s">
        <v>2116</v>
      </c>
      <c r="E723" s="42" t="s">
        <v>162</v>
      </c>
      <c r="F723" s="28" t="s">
        <v>2214</v>
      </c>
      <c r="G723" s="28">
        <v>19.1</v>
      </c>
      <c r="H723" s="66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2.75" customHeight="1">
      <c r="A724" s="28" t="s">
        <v>583</v>
      </c>
      <c r="B724" s="28" t="s">
        <v>219</v>
      </c>
      <c r="C724" s="42" t="s">
        <v>2215</v>
      </c>
      <c r="D724" s="42" t="s">
        <v>1145</v>
      </c>
      <c r="E724" s="42" t="s">
        <v>162</v>
      </c>
      <c r="F724" s="28" t="s">
        <v>2216</v>
      </c>
      <c r="G724" s="28">
        <v>30.5</v>
      </c>
      <c r="H724" s="66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2.75" customHeight="1">
      <c r="A725" s="28" t="s">
        <v>762</v>
      </c>
      <c r="B725" s="28" t="s">
        <v>159</v>
      </c>
      <c r="C725" s="42" t="s">
        <v>2215</v>
      </c>
      <c r="D725" s="42" t="s">
        <v>447</v>
      </c>
      <c r="E725" s="42" t="s">
        <v>162</v>
      </c>
      <c r="F725" s="28" t="s">
        <v>988</v>
      </c>
      <c r="G725" s="28">
        <v>31.0</v>
      </c>
      <c r="H725" s="66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2.75" customHeight="1">
      <c r="A726" s="28" t="s">
        <v>265</v>
      </c>
      <c r="B726" s="28" t="s">
        <v>219</v>
      </c>
      <c r="C726" s="42" t="s">
        <v>2215</v>
      </c>
      <c r="D726" s="42" t="s">
        <v>1314</v>
      </c>
      <c r="E726" s="42" t="s">
        <v>162</v>
      </c>
      <c r="F726" s="28" t="s">
        <v>2217</v>
      </c>
      <c r="G726" s="28">
        <v>23.6</v>
      </c>
      <c r="H726" s="66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2.75" customHeight="1">
      <c r="A727" s="28" t="s">
        <v>585</v>
      </c>
      <c r="B727" s="28" t="s">
        <v>159</v>
      </c>
      <c r="C727" s="42" t="s">
        <v>2215</v>
      </c>
      <c r="D727" s="42" t="s">
        <v>181</v>
      </c>
      <c r="E727" s="42" t="s">
        <v>408</v>
      </c>
      <c r="F727" s="28" t="s">
        <v>2218</v>
      </c>
      <c r="G727" s="28">
        <v>31.6</v>
      </c>
      <c r="H727" s="66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2.75" customHeight="1">
      <c r="A728" s="28" t="s">
        <v>2219</v>
      </c>
      <c r="B728" s="28" t="s">
        <v>319</v>
      </c>
      <c r="C728" s="42" t="s">
        <v>2215</v>
      </c>
      <c r="D728" s="42" t="s">
        <v>259</v>
      </c>
      <c r="E728" s="42" t="s">
        <v>408</v>
      </c>
      <c r="F728" s="28" t="s">
        <v>2220</v>
      </c>
      <c r="G728" s="28">
        <v>43.1</v>
      </c>
      <c r="H728" s="66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2.75" customHeight="1">
      <c r="A729" s="28" t="s">
        <v>2221</v>
      </c>
      <c r="B729" s="28" t="s">
        <v>165</v>
      </c>
      <c r="C729" s="42" t="s">
        <v>2222</v>
      </c>
      <c r="D729" s="42" t="s">
        <v>243</v>
      </c>
      <c r="E729" s="42" t="s">
        <v>650</v>
      </c>
      <c r="F729" s="28" t="s">
        <v>2223</v>
      </c>
      <c r="G729" s="28">
        <v>31.3</v>
      </c>
      <c r="H729" s="66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2.75" customHeight="1">
      <c r="A730" s="28" t="s">
        <v>433</v>
      </c>
      <c r="B730" s="28" t="s">
        <v>165</v>
      </c>
      <c r="C730" s="42" t="s">
        <v>2224</v>
      </c>
      <c r="D730" s="42" t="s">
        <v>741</v>
      </c>
      <c r="E730" s="42" t="s">
        <v>757</v>
      </c>
      <c r="F730" s="28" t="s">
        <v>2225</v>
      </c>
      <c r="G730" s="28">
        <v>36.5</v>
      </c>
      <c r="H730" s="66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2.75" customHeight="1">
      <c r="A731" s="28" t="s">
        <v>2226</v>
      </c>
      <c r="B731" s="28" t="s">
        <v>876</v>
      </c>
      <c r="C731" s="42" t="s">
        <v>2227</v>
      </c>
      <c r="D731" s="42" t="s">
        <v>2228</v>
      </c>
      <c r="E731" s="42" t="s">
        <v>489</v>
      </c>
      <c r="F731" s="28" t="s">
        <v>2229</v>
      </c>
      <c r="G731" s="28">
        <v>23.2</v>
      </c>
      <c r="H731" s="66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2.75" customHeight="1">
      <c r="A732" s="28" t="s">
        <v>2230</v>
      </c>
      <c r="B732" s="28" t="s">
        <v>210</v>
      </c>
      <c r="C732" s="42" t="s">
        <v>2231</v>
      </c>
      <c r="D732" s="42" t="s">
        <v>1466</v>
      </c>
      <c r="E732" s="42" t="s">
        <v>650</v>
      </c>
      <c r="F732" s="28" t="s">
        <v>2232</v>
      </c>
      <c r="G732" s="28">
        <v>19.9</v>
      </c>
      <c r="H732" s="66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2.75" customHeight="1">
      <c r="A733" s="28" t="s">
        <v>2233</v>
      </c>
      <c r="B733" s="28" t="s">
        <v>165</v>
      </c>
      <c r="C733" s="42" t="s">
        <v>2234</v>
      </c>
      <c r="D733" s="42" t="s">
        <v>939</v>
      </c>
      <c r="E733" s="42" t="s">
        <v>1412</v>
      </c>
      <c r="F733" s="28" t="s">
        <v>2235</v>
      </c>
      <c r="G733" s="28">
        <v>35.9</v>
      </c>
      <c r="H733" s="66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2.75" customHeight="1">
      <c r="A734" s="28" t="s">
        <v>614</v>
      </c>
      <c r="B734" s="28" t="s">
        <v>165</v>
      </c>
      <c r="C734" s="42" t="s">
        <v>2236</v>
      </c>
      <c r="D734" s="42" t="s">
        <v>407</v>
      </c>
      <c r="E734" s="42" t="s">
        <v>156</v>
      </c>
      <c r="F734" s="28" t="s">
        <v>2237</v>
      </c>
      <c r="G734" s="28">
        <v>24.3</v>
      </c>
      <c r="H734" s="66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2.75" customHeight="1">
      <c r="A735" s="28" t="s">
        <v>585</v>
      </c>
      <c r="B735" s="28" t="s">
        <v>153</v>
      </c>
      <c r="C735" s="42" t="s">
        <v>2238</v>
      </c>
      <c r="D735" s="42" t="s">
        <v>2239</v>
      </c>
      <c r="E735" s="42" t="s">
        <v>2240</v>
      </c>
      <c r="F735" s="28" t="s">
        <v>2241</v>
      </c>
      <c r="G735" s="28">
        <v>25.6</v>
      </c>
      <c r="H735" s="66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2.75" customHeight="1">
      <c r="A736" s="28" t="s">
        <v>748</v>
      </c>
      <c r="B736" s="28" t="s">
        <v>497</v>
      </c>
      <c r="C736" s="42" t="s">
        <v>2242</v>
      </c>
      <c r="D736" s="42" t="s">
        <v>563</v>
      </c>
      <c r="E736" s="42" t="s">
        <v>162</v>
      </c>
      <c r="F736" s="28" t="s">
        <v>2243</v>
      </c>
      <c r="G736" s="28">
        <v>20.1</v>
      </c>
      <c r="H736" s="66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2.75" customHeight="1">
      <c r="A737" s="28" t="s">
        <v>748</v>
      </c>
      <c r="B737" s="28" t="s">
        <v>219</v>
      </c>
      <c r="C737" s="42" t="s">
        <v>2242</v>
      </c>
      <c r="D737" s="42" t="s">
        <v>2244</v>
      </c>
      <c r="E737" s="42" t="s">
        <v>162</v>
      </c>
      <c r="F737" s="28" t="s">
        <v>2245</v>
      </c>
      <c r="G737" s="28">
        <v>28.8</v>
      </c>
      <c r="H737" s="66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2.75" customHeight="1">
      <c r="A738" s="28" t="s">
        <v>2246</v>
      </c>
      <c r="B738" s="28" t="s">
        <v>210</v>
      </c>
      <c r="C738" s="42" t="s">
        <v>2247</v>
      </c>
      <c r="D738" s="42" t="s">
        <v>1656</v>
      </c>
      <c r="E738" s="42" t="s">
        <v>162</v>
      </c>
      <c r="F738" s="28" t="s">
        <v>944</v>
      </c>
      <c r="G738" s="28">
        <v>23.2</v>
      </c>
      <c r="H738" s="66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2.75" customHeight="1">
      <c r="A739" s="28" t="s">
        <v>869</v>
      </c>
      <c r="B739" s="28" t="s">
        <v>159</v>
      </c>
      <c r="C739" s="42" t="s">
        <v>2248</v>
      </c>
      <c r="D739" s="42" t="s">
        <v>198</v>
      </c>
      <c r="E739" s="42" t="s">
        <v>162</v>
      </c>
      <c r="F739" s="28" t="s">
        <v>2249</v>
      </c>
      <c r="G739" s="28">
        <v>26.3</v>
      </c>
      <c r="H739" s="66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2.75" customHeight="1">
      <c r="A740" s="28" t="s">
        <v>765</v>
      </c>
      <c r="B740" s="28" t="s">
        <v>159</v>
      </c>
      <c r="C740" s="42" t="s">
        <v>2248</v>
      </c>
      <c r="D740" s="42" t="s">
        <v>220</v>
      </c>
      <c r="E740" s="42" t="s">
        <v>162</v>
      </c>
      <c r="F740" s="28" t="s">
        <v>2250</v>
      </c>
      <c r="G740" s="28">
        <v>25.1</v>
      </c>
      <c r="H740" s="66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2.75" customHeight="1">
      <c r="A741" s="28" t="s">
        <v>2251</v>
      </c>
      <c r="B741" s="28" t="s">
        <v>165</v>
      </c>
      <c r="C741" s="42" t="s">
        <v>2252</v>
      </c>
      <c r="D741" s="42" t="s">
        <v>939</v>
      </c>
      <c r="E741" s="42" t="s">
        <v>162</v>
      </c>
      <c r="F741" s="28" t="s">
        <v>2253</v>
      </c>
      <c r="G741" s="28">
        <v>30.7</v>
      </c>
      <c r="H741" s="66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2.75" customHeight="1">
      <c r="A742" s="28" t="s">
        <v>466</v>
      </c>
      <c r="B742" s="28" t="s">
        <v>602</v>
      </c>
      <c r="C742" s="42" t="s">
        <v>2254</v>
      </c>
      <c r="D742" s="42" t="s">
        <v>286</v>
      </c>
      <c r="E742" s="42" t="s">
        <v>162</v>
      </c>
      <c r="F742" s="28" t="s">
        <v>2255</v>
      </c>
      <c r="G742" s="28">
        <v>30.2</v>
      </c>
      <c r="H742" s="66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2.75" customHeight="1">
      <c r="A743" s="28" t="s">
        <v>566</v>
      </c>
      <c r="B743" s="28" t="s">
        <v>159</v>
      </c>
      <c r="C743" s="42" t="s">
        <v>2254</v>
      </c>
      <c r="D743" s="42" t="s">
        <v>251</v>
      </c>
      <c r="E743" s="42" t="s">
        <v>1212</v>
      </c>
      <c r="F743" s="28" t="s">
        <v>2256</v>
      </c>
      <c r="G743" s="28">
        <v>28.0</v>
      </c>
      <c r="H743" s="66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2.75" customHeight="1">
      <c r="A744" s="28" t="s">
        <v>288</v>
      </c>
      <c r="B744" s="28" t="s">
        <v>210</v>
      </c>
      <c r="C744" s="42" t="s">
        <v>2257</v>
      </c>
      <c r="D744" s="42" t="s">
        <v>1850</v>
      </c>
      <c r="E744" s="42" t="s">
        <v>156</v>
      </c>
      <c r="F744" s="28" t="s">
        <v>2258</v>
      </c>
      <c r="G744" s="28">
        <v>15.4</v>
      </c>
      <c r="H744" s="66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2.75" customHeight="1">
      <c r="A745" s="28" t="s">
        <v>2259</v>
      </c>
      <c r="B745" s="28" t="s">
        <v>210</v>
      </c>
      <c r="C745" s="42" t="s">
        <v>2257</v>
      </c>
      <c r="D745" s="42" t="s">
        <v>155</v>
      </c>
      <c r="E745" s="42" t="s">
        <v>162</v>
      </c>
      <c r="F745" s="28" t="s">
        <v>2260</v>
      </c>
      <c r="G745" s="28">
        <v>29.3</v>
      </c>
      <c r="H745" s="66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2.75" customHeight="1">
      <c r="A746" s="28" t="s">
        <v>2261</v>
      </c>
      <c r="B746" s="28" t="s">
        <v>210</v>
      </c>
      <c r="C746" s="42" t="s">
        <v>2257</v>
      </c>
      <c r="D746" s="42" t="s">
        <v>2262</v>
      </c>
      <c r="E746" s="42" t="s">
        <v>162</v>
      </c>
      <c r="F746" s="28" t="s">
        <v>2263</v>
      </c>
      <c r="G746" s="28">
        <v>22.8</v>
      </c>
      <c r="H746" s="66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2.75" customHeight="1">
      <c r="A747" s="28" t="s">
        <v>2264</v>
      </c>
      <c r="B747" s="28" t="s">
        <v>210</v>
      </c>
      <c r="C747" s="42" t="s">
        <v>2257</v>
      </c>
      <c r="D747" s="42" t="s">
        <v>1063</v>
      </c>
      <c r="E747" s="42" t="s">
        <v>162</v>
      </c>
      <c r="F747" s="28" t="s">
        <v>2265</v>
      </c>
      <c r="G747" s="28">
        <v>22.3</v>
      </c>
      <c r="H747" s="66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2.75" customHeight="1">
      <c r="A748" s="28" t="s">
        <v>580</v>
      </c>
      <c r="B748" s="28" t="s">
        <v>165</v>
      </c>
      <c r="C748" s="42" t="s">
        <v>2266</v>
      </c>
      <c r="D748" s="42" t="s">
        <v>1279</v>
      </c>
      <c r="E748" s="42" t="s">
        <v>2267</v>
      </c>
      <c r="F748" s="28" t="s">
        <v>2268</v>
      </c>
      <c r="G748" s="28">
        <v>36.8</v>
      </c>
      <c r="H748" s="66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2.75" customHeight="1">
      <c r="A749" s="28" t="s">
        <v>1199</v>
      </c>
      <c r="B749" s="28" t="s">
        <v>159</v>
      </c>
      <c r="C749" s="42" t="s">
        <v>2266</v>
      </c>
      <c r="D749" s="42" t="s">
        <v>240</v>
      </c>
      <c r="E749" s="42" t="s">
        <v>2269</v>
      </c>
      <c r="F749" s="28" t="s">
        <v>2270</v>
      </c>
      <c r="G749" s="28">
        <v>29.6</v>
      </c>
      <c r="H749" s="66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2.75" customHeight="1">
      <c r="A750" s="28" t="s">
        <v>523</v>
      </c>
      <c r="B750" s="28" t="s">
        <v>497</v>
      </c>
      <c r="C750" s="42" t="s">
        <v>2266</v>
      </c>
      <c r="D750" s="42" t="s">
        <v>586</v>
      </c>
      <c r="E750" s="42" t="s">
        <v>2271</v>
      </c>
      <c r="F750" s="28" t="s">
        <v>584</v>
      </c>
      <c r="G750" s="28">
        <v>29.2</v>
      </c>
      <c r="H750" s="66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2.75" customHeight="1">
      <c r="A751" s="28" t="s">
        <v>2272</v>
      </c>
      <c r="B751" s="28" t="s">
        <v>165</v>
      </c>
      <c r="C751" s="42" t="s">
        <v>2266</v>
      </c>
      <c r="D751" s="42" t="s">
        <v>2273</v>
      </c>
      <c r="E751" s="42" t="s">
        <v>162</v>
      </c>
      <c r="F751" s="28" t="s">
        <v>2274</v>
      </c>
      <c r="G751" s="28">
        <v>27.1</v>
      </c>
      <c r="H751" s="66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2.75" customHeight="1">
      <c r="A752" s="28" t="s">
        <v>2275</v>
      </c>
      <c r="B752" s="28" t="s">
        <v>165</v>
      </c>
      <c r="C752" s="42" t="s">
        <v>2266</v>
      </c>
      <c r="D752" s="42" t="s">
        <v>1780</v>
      </c>
      <c r="E752" s="42" t="s">
        <v>162</v>
      </c>
      <c r="F752" s="28" t="s">
        <v>1668</v>
      </c>
      <c r="G752" s="28">
        <v>27.8</v>
      </c>
      <c r="H752" s="66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2.75" customHeight="1">
      <c r="A753" s="28" t="s">
        <v>2276</v>
      </c>
      <c r="B753" s="28" t="s">
        <v>165</v>
      </c>
      <c r="C753" s="42" t="s">
        <v>2266</v>
      </c>
      <c r="D753" s="42" t="s">
        <v>198</v>
      </c>
      <c r="E753" s="42" t="s">
        <v>162</v>
      </c>
      <c r="F753" s="28" t="s">
        <v>830</v>
      </c>
      <c r="G753" s="28">
        <v>30.6</v>
      </c>
      <c r="H753" s="66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2.75" customHeight="1">
      <c r="A754" s="28" t="s">
        <v>2277</v>
      </c>
      <c r="B754" s="28" t="s">
        <v>165</v>
      </c>
      <c r="C754" s="42" t="s">
        <v>2266</v>
      </c>
      <c r="D754" s="42" t="s">
        <v>240</v>
      </c>
      <c r="E754" s="42" t="s">
        <v>255</v>
      </c>
      <c r="F754" s="28" t="s">
        <v>1500</v>
      </c>
      <c r="G754" s="28">
        <v>20.0</v>
      </c>
      <c r="H754" s="66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2.75" customHeight="1">
      <c r="A755" s="28" t="s">
        <v>2278</v>
      </c>
      <c r="B755" s="28" t="s">
        <v>165</v>
      </c>
      <c r="C755" s="42" t="s">
        <v>2266</v>
      </c>
      <c r="D755" s="42" t="s">
        <v>2279</v>
      </c>
      <c r="E755" s="42" t="s">
        <v>2211</v>
      </c>
      <c r="F755" s="28" t="s">
        <v>2280</v>
      </c>
      <c r="G755" s="28">
        <v>31.1</v>
      </c>
      <c r="H755" s="66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2.75" customHeight="1">
      <c r="A756" s="28" t="s">
        <v>2281</v>
      </c>
      <c r="B756" s="28" t="s">
        <v>210</v>
      </c>
      <c r="C756" s="42" t="s">
        <v>2282</v>
      </c>
      <c r="D756" s="42" t="s">
        <v>349</v>
      </c>
      <c r="E756" s="42" t="s">
        <v>191</v>
      </c>
      <c r="F756" s="28" t="s">
        <v>2283</v>
      </c>
      <c r="G756" s="28">
        <v>19.1</v>
      </c>
      <c r="H756" s="66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2.75" customHeight="1">
      <c r="A757" s="28" t="s">
        <v>2284</v>
      </c>
      <c r="B757" s="28" t="s">
        <v>165</v>
      </c>
      <c r="C757" s="42" t="s">
        <v>2285</v>
      </c>
      <c r="D757" s="42" t="s">
        <v>185</v>
      </c>
      <c r="E757" s="42" t="s">
        <v>817</v>
      </c>
      <c r="F757" s="28" t="s">
        <v>2065</v>
      </c>
      <c r="G757" s="28">
        <v>25.3</v>
      </c>
      <c r="H757" s="66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2.75" customHeight="1">
      <c r="A758" s="28" t="s">
        <v>2286</v>
      </c>
      <c r="B758" s="28" t="s">
        <v>165</v>
      </c>
      <c r="C758" s="42" t="s">
        <v>2287</v>
      </c>
      <c r="D758" s="42" t="s">
        <v>633</v>
      </c>
      <c r="E758" s="42" t="s">
        <v>388</v>
      </c>
      <c r="F758" s="28" t="s">
        <v>2288</v>
      </c>
      <c r="G758" s="28">
        <v>14.8</v>
      </c>
      <c r="H758" s="66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2.75" customHeight="1">
      <c r="A759" s="28" t="s">
        <v>179</v>
      </c>
      <c r="B759" s="28" t="s">
        <v>210</v>
      </c>
      <c r="C759" s="42" t="s">
        <v>2289</v>
      </c>
      <c r="D759" s="42" t="s">
        <v>2290</v>
      </c>
      <c r="E759" s="42" t="s">
        <v>162</v>
      </c>
      <c r="F759" s="28" t="s">
        <v>2291</v>
      </c>
      <c r="G759" s="28">
        <v>21.4</v>
      </c>
      <c r="H759" s="66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2.75" customHeight="1">
      <c r="A760" s="28" t="s">
        <v>1350</v>
      </c>
      <c r="B760" s="28" t="s">
        <v>165</v>
      </c>
      <c r="C760" s="42" t="s">
        <v>2292</v>
      </c>
      <c r="D760" s="42" t="s">
        <v>2293</v>
      </c>
      <c r="E760" s="42" t="s">
        <v>162</v>
      </c>
      <c r="F760" s="28" t="s">
        <v>2294</v>
      </c>
      <c r="G760" s="28">
        <v>20.8</v>
      </c>
      <c r="H760" s="66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2.75" customHeight="1">
      <c r="A761" s="28" t="s">
        <v>2295</v>
      </c>
      <c r="B761" s="28" t="s">
        <v>165</v>
      </c>
      <c r="C761" s="42" t="s">
        <v>2296</v>
      </c>
      <c r="D761" s="42" t="s">
        <v>240</v>
      </c>
      <c r="E761" s="42" t="s">
        <v>2297</v>
      </c>
      <c r="F761" s="28" t="s">
        <v>1614</v>
      </c>
      <c r="G761" s="28">
        <v>27.3</v>
      </c>
      <c r="H761" s="66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2.75" customHeight="1">
      <c r="A762" s="28" t="s">
        <v>2298</v>
      </c>
      <c r="B762" s="28" t="s">
        <v>165</v>
      </c>
      <c r="C762" s="42" t="s">
        <v>2296</v>
      </c>
      <c r="D762" s="42" t="s">
        <v>141</v>
      </c>
      <c r="E762" s="42" t="s">
        <v>715</v>
      </c>
      <c r="F762" s="28" t="s">
        <v>2299</v>
      </c>
      <c r="G762" s="28">
        <v>20.6</v>
      </c>
      <c r="H762" s="66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2.75" customHeight="1">
      <c r="A763" s="28" t="s">
        <v>2300</v>
      </c>
      <c r="B763" s="28" t="s">
        <v>165</v>
      </c>
      <c r="C763" s="42" t="s">
        <v>2301</v>
      </c>
      <c r="D763" s="42" t="s">
        <v>251</v>
      </c>
      <c r="E763" s="42" t="s">
        <v>2302</v>
      </c>
      <c r="F763" s="28" t="s">
        <v>1541</v>
      </c>
      <c r="G763" s="28">
        <v>28.4</v>
      </c>
      <c r="H763" s="66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2.75" customHeight="1">
      <c r="A764" s="28" t="s">
        <v>2303</v>
      </c>
      <c r="B764" s="28" t="s">
        <v>165</v>
      </c>
      <c r="C764" s="42" t="s">
        <v>2304</v>
      </c>
      <c r="D764" s="42" t="s">
        <v>224</v>
      </c>
      <c r="E764" s="42" t="s">
        <v>489</v>
      </c>
      <c r="F764" s="28" t="s">
        <v>2305</v>
      </c>
      <c r="G764" s="28">
        <v>30.2</v>
      </c>
      <c r="H764" s="66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2.75" customHeight="1">
      <c r="A765" s="28" t="s">
        <v>179</v>
      </c>
      <c r="B765" s="28" t="s">
        <v>165</v>
      </c>
      <c r="C765" s="42" t="s">
        <v>2306</v>
      </c>
      <c r="D765" s="42" t="s">
        <v>2307</v>
      </c>
      <c r="E765" s="42" t="s">
        <v>255</v>
      </c>
      <c r="F765" s="28" t="s">
        <v>2308</v>
      </c>
      <c r="G765" s="28">
        <v>28.8</v>
      </c>
      <c r="H765" s="66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2.75" customHeight="1">
      <c r="A766" s="28" t="s">
        <v>2309</v>
      </c>
      <c r="B766" s="28" t="s">
        <v>165</v>
      </c>
      <c r="C766" s="42" t="s">
        <v>2310</v>
      </c>
      <c r="D766" s="42" t="s">
        <v>1621</v>
      </c>
      <c r="E766" s="42" t="s">
        <v>2311</v>
      </c>
      <c r="F766" s="28" t="s">
        <v>2312</v>
      </c>
      <c r="G766" s="28">
        <v>31.5</v>
      </c>
      <c r="H766" s="66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2.75" customHeight="1">
      <c r="A767" s="28" t="s">
        <v>442</v>
      </c>
      <c r="B767" s="28" t="s">
        <v>210</v>
      </c>
      <c r="C767" s="42" t="s">
        <v>2313</v>
      </c>
      <c r="D767" s="42" t="s">
        <v>995</v>
      </c>
      <c r="E767" s="42" t="s">
        <v>2314</v>
      </c>
      <c r="F767" s="28" t="s">
        <v>2315</v>
      </c>
      <c r="G767" s="28">
        <v>22.2</v>
      </c>
      <c r="H767" s="66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2.75" customHeight="1">
      <c r="A768" s="28" t="s">
        <v>907</v>
      </c>
      <c r="B768" s="28" t="s">
        <v>159</v>
      </c>
      <c r="C768" s="42" t="s">
        <v>2316</v>
      </c>
      <c r="D768" s="42" t="s">
        <v>141</v>
      </c>
      <c r="E768" s="42" t="s">
        <v>2317</v>
      </c>
      <c r="F768" s="28" t="s">
        <v>2318</v>
      </c>
      <c r="G768" s="28">
        <v>23.2</v>
      </c>
      <c r="H768" s="66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2.75" customHeight="1">
      <c r="A769" s="28" t="s">
        <v>372</v>
      </c>
      <c r="B769" s="28" t="s">
        <v>159</v>
      </c>
      <c r="C769" s="42" t="s">
        <v>2316</v>
      </c>
      <c r="D769" s="42" t="s">
        <v>251</v>
      </c>
      <c r="E769" s="42" t="s">
        <v>162</v>
      </c>
      <c r="F769" s="28" t="s">
        <v>556</v>
      </c>
      <c r="G769" s="28">
        <v>26.4</v>
      </c>
      <c r="H769" s="66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2.75" customHeight="1">
      <c r="A770" s="28" t="s">
        <v>2319</v>
      </c>
      <c r="B770" s="28" t="s">
        <v>165</v>
      </c>
      <c r="C770" s="42" t="s">
        <v>2316</v>
      </c>
      <c r="D770" s="42" t="s">
        <v>2320</v>
      </c>
      <c r="E770" s="42" t="s">
        <v>1524</v>
      </c>
      <c r="F770" s="28" t="s">
        <v>2321</v>
      </c>
      <c r="G770" s="28">
        <v>31.4</v>
      </c>
      <c r="H770" s="66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2.75" customHeight="1">
      <c r="A771" s="28" t="s">
        <v>2322</v>
      </c>
      <c r="B771" s="28" t="s">
        <v>165</v>
      </c>
      <c r="C771" s="42" t="s">
        <v>2316</v>
      </c>
      <c r="D771" s="42" t="s">
        <v>1145</v>
      </c>
      <c r="E771" s="42" t="s">
        <v>162</v>
      </c>
      <c r="F771" s="28" t="s">
        <v>2323</v>
      </c>
      <c r="G771" s="28">
        <v>28.9</v>
      </c>
      <c r="H771" s="66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2.75" customHeight="1">
      <c r="A772" s="28" t="s">
        <v>2324</v>
      </c>
      <c r="B772" s="28" t="s">
        <v>165</v>
      </c>
      <c r="C772" s="42" t="s">
        <v>2316</v>
      </c>
      <c r="D772" s="42" t="s">
        <v>259</v>
      </c>
      <c r="E772" s="42" t="s">
        <v>162</v>
      </c>
      <c r="F772" s="28" t="s">
        <v>2325</v>
      </c>
      <c r="G772" s="28">
        <v>32.3</v>
      </c>
      <c r="H772" s="66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2.75" customHeight="1">
      <c r="A773" s="28" t="s">
        <v>2326</v>
      </c>
      <c r="B773" s="28" t="s">
        <v>165</v>
      </c>
      <c r="C773" s="42" t="s">
        <v>2327</v>
      </c>
      <c r="D773" s="42" t="s">
        <v>1495</v>
      </c>
      <c r="E773" s="42" t="s">
        <v>2328</v>
      </c>
      <c r="F773" s="28" t="s">
        <v>2329</v>
      </c>
      <c r="G773" s="28">
        <v>22.2</v>
      </c>
      <c r="H773" s="66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2.75" customHeight="1">
      <c r="A774" s="28" t="s">
        <v>2330</v>
      </c>
      <c r="B774" s="28" t="s">
        <v>280</v>
      </c>
      <c r="C774" s="42" t="s">
        <v>2331</v>
      </c>
      <c r="D774" s="42" t="s">
        <v>534</v>
      </c>
      <c r="E774" s="42" t="s">
        <v>1412</v>
      </c>
      <c r="F774" s="28" t="s">
        <v>2332</v>
      </c>
      <c r="G774" s="28">
        <v>43.1</v>
      </c>
      <c r="H774" s="66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2.75" customHeight="1">
      <c r="A775" s="28" t="s">
        <v>2333</v>
      </c>
      <c r="B775" s="28" t="s">
        <v>165</v>
      </c>
      <c r="C775" s="42" t="s">
        <v>2334</v>
      </c>
      <c r="D775" s="42" t="s">
        <v>741</v>
      </c>
      <c r="E775" s="42" t="s">
        <v>1436</v>
      </c>
      <c r="F775" s="28" t="s">
        <v>2335</v>
      </c>
      <c r="G775" s="28">
        <v>34.7</v>
      </c>
      <c r="H775" s="66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2.75" customHeight="1">
      <c r="A776" s="28" t="s">
        <v>2336</v>
      </c>
      <c r="B776" s="28" t="s">
        <v>165</v>
      </c>
      <c r="C776" s="42" t="s">
        <v>2337</v>
      </c>
      <c r="D776" s="42" t="s">
        <v>665</v>
      </c>
      <c r="E776" s="42" t="s">
        <v>362</v>
      </c>
      <c r="F776" s="28" t="s">
        <v>2338</v>
      </c>
      <c r="G776" s="28">
        <v>23.8</v>
      </c>
      <c r="H776" s="66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2.75" customHeight="1">
      <c r="A777" s="28" t="s">
        <v>869</v>
      </c>
      <c r="B777" s="28" t="s">
        <v>602</v>
      </c>
      <c r="C777" s="42" t="s">
        <v>2339</v>
      </c>
      <c r="D777" s="42" t="s">
        <v>198</v>
      </c>
      <c r="E777" s="42" t="s">
        <v>511</v>
      </c>
      <c r="F777" s="28" t="s">
        <v>2340</v>
      </c>
      <c r="G777" s="28">
        <v>28.6</v>
      </c>
      <c r="H777" s="66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2.75" customHeight="1">
      <c r="A778" s="28" t="s">
        <v>2341</v>
      </c>
      <c r="B778" s="28" t="s">
        <v>165</v>
      </c>
      <c r="C778" s="42" t="s">
        <v>2342</v>
      </c>
      <c r="D778" s="42" t="s">
        <v>240</v>
      </c>
      <c r="E778" s="42" t="s">
        <v>162</v>
      </c>
      <c r="F778" s="28" t="s">
        <v>1089</v>
      </c>
      <c r="G778" s="28">
        <v>26.6</v>
      </c>
      <c r="H778" s="66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2.75" customHeight="1">
      <c r="A779" s="28" t="s">
        <v>2343</v>
      </c>
      <c r="B779" s="28" t="s">
        <v>165</v>
      </c>
      <c r="C779" s="42" t="s">
        <v>2342</v>
      </c>
      <c r="D779" s="42" t="s">
        <v>171</v>
      </c>
      <c r="E779" s="42" t="s">
        <v>162</v>
      </c>
      <c r="F779" s="28" t="s">
        <v>2344</v>
      </c>
      <c r="G779" s="28">
        <v>33.2</v>
      </c>
      <c r="H779" s="66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2.75" customHeight="1">
      <c r="A780" s="28" t="s">
        <v>2345</v>
      </c>
      <c r="B780" s="28" t="s">
        <v>165</v>
      </c>
      <c r="C780" s="42" t="s">
        <v>2342</v>
      </c>
      <c r="D780" s="42" t="s">
        <v>518</v>
      </c>
      <c r="E780" s="42" t="s">
        <v>162</v>
      </c>
      <c r="F780" s="28" t="s">
        <v>1220</v>
      </c>
      <c r="G780" s="28">
        <v>28.5</v>
      </c>
      <c r="H780" s="66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2.75" customHeight="1">
      <c r="A781" s="28" t="s">
        <v>425</v>
      </c>
      <c r="B781" s="28" t="s">
        <v>165</v>
      </c>
      <c r="C781" s="42" t="s">
        <v>2346</v>
      </c>
      <c r="D781" s="42" t="s">
        <v>240</v>
      </c>
      <c r="E781" s="42" t="s">
        <v>427</v>
      </c>
      <c r="F781" s="28" t="s">
        <v>2347</v>
      </c>
      <c r="G781" s="28">
        <v>13.0</v>
      </c>
      <c r="H781" s="66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2.75" customHeight="1">
      <c r="A782" s="28" t="s">
        <v>523</v>
      </c>
      <c r="B782" s="28" t="s">
        <v>159</v>
      </c>
      <c r="C782" s="42" t="s">
        <v>2348</v>
      </c>
      <c r="D782" s="42" t="s">
        <v>190</v>
      </c>
      <c r="E782" s="42" t="s">
        <v>162</v>
      </c>
      <c r="F782" s="28" t="s">
        <v>695</v>
      </c>
      <c r="G782" s="28">
        <v>26.4</v>
      </c>
      <c r="H782" s="66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2.75" customHeight="1">
      <c r="A783" s="28" t="s">
        <v>2349</v>
      </c>
      <c r="B783" s="28" t="s">
        <v>210</v>
      </c>
      <c r="C783" s="42" t="s">
        <v>2350</v>
      </c>
      <c r="D783" s="42" t="s">
        <v>2351</v>
      </c>
      <c r="E783" s="42" t="s">
        <v>722</v>
      </c>
      <c r="F783" s="28" t="s">
        <v>2352</v>
      </c>
      <c r="G783" s="28">
        <v>19.7</v>
      </c>
      <c r="H783" s="66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2.75" customHeight="1">
      <c r="A784" s="28" t="s">
        <v>515</v>
      </c>
      <c r="B784" s="28" t="s">
        <v>165</v>
      </c>
      <c r="C784" s="42" t="s">
        <v>2353</v>
      </c>
      <c r="D784" s="42" t="s">
        <v>431</v>
      </c>
      <c r="E784" s="42" t="s">
        <v>722</v>
      </c>
      <c r="F784" s="28" t="s">
        <v>1560</v>
      </c>
      <c r="G784" s="28">
        <v>20.3</v>
      </c>
      <c r="H784" s="66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2.75" customHeight="1">
      <c r="A785" s="28" t="s">
        <v>2354</v>
      </c>
      <c r="B785" s="28" t="s">
        <v>165</v>
      </c>
      <c r="C785" s="42" t="s">
        <v>2353</v>
      </c>
      <c r="D785" s="42" t="s">
        <v>799</v>
      </c>
      <c r="E785" s="42" t="s">
        <v>722</v>
      </c>
      <c r="F785" s="28" t="s">
        <v>1560</v>
      </c>
      <c r="G785" s="28">
        <v>20.3</v>
      </c>
      <c r="H785" s="66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2.75" customHeight="1">
      <c r="A786" s="28" t="s">
        <v>2355</v>
      </c>
      <c r="B786" s="28" t="s">
        <v>210</v>
      </c>
      <c r="C786" s="42" t="s">
        <v>2356</v>
      </c>
      <c r="D786" s="42" t="s">
        <v>2357</v>
      </c>
      <c r="E786" s="42" t="s">
        <v>653</v>
      </c>
      <c r="F786" s="28" t="s">
        <v>2358</v>
      </c>
      <c r="G786" s="28">
        <v>28.1</v>
      </c>
      <c r="H786" s="66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2.75" customHeight="1">
      <c r="A787" s="28" t="s">
        <v>1056</v>
      </c>
      <c r="B787" s="28" t="s">
        <v>165</v>
      </c>
      <c r="C787" s="42" t="s">
        <v>2359</v>
      </c>
      <c r="D787" s="42" t="s">
        <v>1142</v>
      </c>
      <c r="E787" s="42" t="s">
        <v>162</v>
      </c>
      <c r="F787" s="28" t="s">
        <v>2360</v>
      </c>
      <c r="G787" s="28">
        <v>27.2</v>
      </c>
      <c r="H787" s="66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2.75" customHeight="1">
      <c r="A788" s="28" t="s">
        <v>2361</v>
      </c>
      <c r="B788" s="28" t="s">
        <v>210</v>
      </c>
      <c r="C788" s="42" t="s">
        <v>2362</v>
      </c>
      <c r="D788" s="42" t="s">
        <v>675</v>
      </c>
      <c r="E788" s="42" t="s">
        <v>162</v>
      </c>
      <c r="F788" s="28" t="s">
        <v>918</v>
      </c>
      <c r="G788" s="28">
        <v>23.9</v>
      </c>
      <c r="H788" s="66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2.75" customHeight="1">
      <c r="A789" s="28" t="s">
        <v>2363</v>
      </c>
      <c r="B789" s="28" t="s">
        <v>165</v>
      </c>
      <c r="C789" s="42" t="s">
        <v>2364</v>
      </c>
      <c r="D789" s="42" t="s">
        <v>658</v>
      </c>
      <c r="E789" s="42" t="s">
        <v>162</v>
      </c>
      <c r="F789" s="28" t="s">
        <v>2365</v>
      </c>
      <c r="G789" s="28">
        <v>29.0</v>
      </c>
      <c r="H789" s="66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2.75" customHeight="1">
      <c r="A790" s="28" t="s">
        <v>2366</v>
      </c>
      <c r="B790" s="28" t="s">
        <v>165</v>
      </c>
      <c r="C790" s="42" t="s">
        <v>2364</v>
      </c>
      <c r="D790" s="42" t="s">
        <v>955</v>
      </c>
      <c r="E790" s="42" t="s">
        <v>162</v>
      </c>
      <c r="F790" s="28" t="s">
        <v>2367</v>
      </c>
      <c r="G790" s="28">
        <v>22.6</v>
      </c>
      <c r="H790" s="66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2.75" customHeight="1">
      <c r="A791" s="28" t="s">
        <v>589</v>
      </c>
      <c r="B791" s="28" t="s">
        <v>159</v>
      </c>
      <c r="C791" s="42" t="s">
        <v>2368</v>
      </c>
      <c r="D791" s="42" t="s">
        <v>224</v>
      </c>
      <c r="E791" s="42" t="s">
        <v>2369</v>
      </c>
      <c r="F791" s="28" t="s">
        <v>2370</v>
      </c>
      <c r="G791" s="28">
        <v>27.5</v>
      </c>
      <c r="H791" s="66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2.75" customHeight="1">
      <c r="A792" s="28" t="s">
        <v>577</v>
      </c>
      <c r="B792" s="28" t="s">
        <v>159</v>
      </c>
      <c r="C792" s="42" t="s">
        <v>2371</v>
      </c>
      <c r="D792" s="42" t="s">
        <v>1127</v>
      </c>
      <c r="E792" s="42" t="s">
        <v>722</v>
      </c>
      <c r="F792" s="28" t="s">
        <v>2372</v>
      </c>
      <c r="G792" s="28">
        <v>26.4</v>
      </c>
      <c r="H792" s="66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2.75" customHeight="1">
      <c r="A793" s="28" t="s">
        <v>896</v>
      </c>
      <c r="B793" s="28" t="s">
        <v>497</v>
      </c>
      <c r="C793" s="42" t="s">
        <v>2371</v>
      </c>
      <c r="D793" s="42" t="s">
        <v>290</v>
      </c>
      <c r="E793" s="42" t="s">
        <v>722</v>
      </c>
      <c r="F793" s="28" t="s">
        <v>2373</v>
      </c>
      <c r="G793" s="28">
        <v>18.3</v>
      </c>
      <c r="H793" s="66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2.75" customHeight="1">
      <c r="A794" s="28" t="s">
        <v>324</v>
      </c>
      <c r="B794" s="28" t="s">
        <v>165</v>
      </c>
      <c r="C794" s="42" t="s">
        <v>2374</v>
      </c>
      <c r="D794" s="42" t="s">
        <v>2375</v>
      </c>
      <c r="E794" s="42" t="s">
        <v>420</v>
      </c>
      <c r="F794" s="28" t="s">
        <v>2376</v>
      </c>
      <c r="G794" s="28">
        <v>30.8</v>
      </c>
      <c r="H794" s="66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2.75" customHeight="1">
      <c r="A795" s="28" t="s">
        <v>253</v>
      </c>
      <c r="B795" s="28" t="s">
        <v>165</v>
      </c>
      <c r="C795" s="42" t="s">
        <v>2377</v>
      </c>
      <c r="D795" s="42" t="s">
        <v>558</v>
      </c>
      <c r="E795" s="42" t="s">
        <v>2378</v>
      </c>
      <c r="F795" s="28" t="s">
        <v>2379</v>
      </c>
      <c r="G795" s="28">
        <v>35.0</v>
      </c>
      <c r="H795" s="66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2.75" customHeight="1">
      <c r="A796" s="28" t="s">
        <v>1107</v>
      </c>
      <c r="B796" s="28" t="s">
        <v>165</v>
      </c>
      <c r="C796" s="42" t="s">
        <v>2377</v>
      </c>
      <c r="D796" s="42" t="s">
        <v>2380</v>
      </c>
      <c r="E796" s="42" t="s">
        <v>436</v>
      </c>
      <c r="F796" s="28" t="s">
        <v>2381</v>
      </c>
      <c r="G796" s="28">
        <v>36.1</v>
      </c>
      <c r="H796" s="66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2.75" customHeight="1">
      <c r="A797" s="28" t="s">
        <v>1107</v>
      </c>
      <c r="B797" s="28" t="s">
        <v>165</v>
      </c>
      <c r="C797" s="42" t="s">
        <v>2382</v>
      </c>
      <c r="D797" s="42" t="s">
        <v>224</v>
      </c>
      <c r="E797" s="42" t="s">
        <v>156</v>
      </c>
      <c r="F797" s="28" t="s">
        <v>2383</v>
      </c>
      <c r="G797" s="28">
        <v>27.7</v>
      </c>
      <c r="H797" s="66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2.75" customHeight="1">
      <c r="A798" s="28" t="s">
        <v>2384</v>
      </c>
      <c r="B798" s="28" t="s">
        <v>319</v>
      </c>
      <c r="C798" s="42" t="s">
        <v>2385</v>
      </c>
      <c r="D798" s="42" t="s">
        <v>251</v>
      </c>
      <c r="E798" s="42" t="s">
        <v>162</v>
      </c>
      <c r="F798" s="28" t="s">
        <v>2386</v>
      </c>
      <c r="G798" s="28">
        <v>34.2</v>
      </c>
      <c r="H798" s="66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2.75" customHeight="1">
      <c r="A799" s="28" t="s">
        <v>265</v>
      </c>
      <c r="B799" s="28" t="s">
        <v>159</v>
      </c>
      <c r="C799" s="42" t="s">
        <v>2387</v>
      </c>
      <c r="D799" s="42" t="s">
        <v>939</v>
      </c>
      <c r="E799" s="42" t="s">
        <v>162</v>
      </c>
      <c r="F799" s="28" t="s">
        <v>2232</v>
      </c>
      <c r="G799" s="28">
        <v>20.5</v>
      </c>
      <c r="H799" s="66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2.75" customHeight="1">
      <c r="A800" s="28" t="s">
        <v>1056</v>
      </c>
      <c r="B800" s="28" t="s">
        <v>165</v>
      </c>
      <c r="C800" s="42" t="s">
        <v>2388</v>
      </c>
      <c r="D800" s="42" t="s">
        <v>321</v>
      </c>
      <c r="E800" s="42" t="s">
        <v>2389</v>
      </c>
      <c r="F800" s="28" t="s">
        <v>485</v>
      </c>
      <c r="G800" s="28">
        <v>27.6</v>
      </c>
      <c r="H800" s="66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2.75" customHeight="1">
      <c r="A801" s="28" t="s">
        <v>2390</v>
      </c>
      <c r="B801" s="28" t="s">
        <v>165</v>
      </c>
      <c r="C801" s="42" t="s">
        <v>2388</v>
      </c>
      <c r="D801" s="42" t="s">
        <v>401</v>
      </c>
      <c r="E801" s="42" t="s">
        <v>2391</v>
      </c>
      <c r="F801" s="28" t="s">
        <v>697</v>
      </c>
      <c r="G801" s="28">
        <v>28.2</v>
      </c>
      <c r="H801" s="66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2.75" customHeight="1">
      <c r="A802" s="28" t="s">
        <v>2392</v>
      </c>
      <c r="B802" s="28" t="s">
        <v>165</v>
      </c>
      <c r="C802" s="42" t="s">
        <v>2388</v>
      </c>
      <c r="D802" s="42" t="s">
        <v>240</v>
      </c>
      <c r="E802" s="42" t="s">
        <v>2391</v>
      </c>
      <c r="F802" s="28" t="s">
        <v>2393</v>
      </c>
      <c r="G802" s="28">
        <v>33.9</v>
      </c>
      <c r="H802" s="66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2.75" customHeight="1">
      <c r="A803" s="28" t="s">
        <v>2394</v>
      </c>
      <c r="B803" s="28" t="s">
        <v>165</v>
      </c>
      <c r="C803" s="42" t="s">
        <v>2395</v>
      </c>
      <c r="D803" s="42" t="s">
        <v>306</v>
      </c>
      <c r="E803" s="42" t="s">
        <v>162</v>
      </c>
      <c r="F803" s="28" t="s">
        <v>2396</v>
      </c>
      <c r="G803" s="28">
        <v>33.2</v>
      </c>
      <c r="H803" s="66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2.75" customHeight="1">
      <c r="A804" s="28" t="s">
        <v>2397</v>
      </c>
      <c r="B804" s="28" t="s">
        <v>165</v>
      </c>
      <c r="C804" s="42" t="s">
        <v>2398</v>
      </c>
      <c r="D804" s="42" t="s">
        <v>1276</v>
      </c>
      <c r="E804" s="42" t="s">
        <v>162</v>
      </c>
      <c r="F804" s="28" t="s">
        <v>2399</v>
      </c>
      <c r="G804" s="28">
        <v>26.8</v>
      </c>
      <c r="H804" s="66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2.75" customHeight="1">
      <c r="A805" s="28" t="s">
        <v>1194</v>
      </c>
      <c r="B805" s="28" t="s">
        <v>153</v>
      </c>
      <c r="C805" s="42" t="s">
        <v>2400</v>
      </c>
      <c r="D805" s="42" t="s">
        <v>2401</v>
      </c>
      <c r="E805" s="42" t="s">
        <v>1987</v>
      </c>
      <c r="F805" s="28" t="s">
        <v>2402</v>
      </c>
      <c r="G805" s="28">
        <v>18.8</v>
      </c>
      <c r="H805" s="66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2.75" customHeight="1">
      <c r="A806" s="28" t="s">
        <v>1194</v>
      </c>
      <c r="B806" s="28" t="s">
        <v>497</v>
      </c>
      <c r="C806" s="42" t="s">
        <v>2403</v>
      </c>
      <c r="D806" s="42" t="s">
        <v>2404</v>
      </c>
      <c r="E806" s="42" t="s">
        <v>1987</v>
      </c>
      <c r="F806" s="28" t="s">
        <v>2405</v>
      </c>
      <c r="G806" s="28">
        <v>21.2</v>
      </c>
      <c r="H806" s="66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2.75" customHeight="1">
      <c r="A807" s="28" t="s">
        <v>1194</v>
      </c>
      <c r="B807" s="28" t="s">
        <v>219</v>
      </c>
      <c r="C807" s="42" t="s">
        <v>2403</v>
      </c>
      <c r="D807" s="42" t="s">
        <v>2380</v>
      </c>
      <c r="E807" s="42" t="s">
        <v>1987</v>
      </c>
      <c r="F807" s="28" t="s">
        <v>2406</v>
      </c>
      <c r="G807" s="28">
        <v>21.1</v>
      </c>
      <c r="H807" s="66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2.75" customHeight="1">
      <c r="A808" s="28" t="s">
        <v>677</v>
      </c>
      <c r="B808" s="28" t="s">
        <v>159</v>
      </c>
      <c r="C808" s="42" t="s">
        <v>2407</v>
      </c>
      <c r="D808" s="42" t="s">
        <v>190</v>
      </c>
      <c r="E808" s="42" t="s">
        <v>1524</v>
      </c>
      <c r="F808" s="28" t="s">
        <v>2408</v>
      </c>
      <c r="G808" s="28">
        <v>33.2</v>
      </c>
      <c r="H808" s="66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2.75" customHeight="1">
      <c r="A809" s="28" t="s">
        <v>2409</v>
      </c>
      <c r="B809" s="28" t="s">
        <v>210</v>
      </c>
      <c r="C809" s="42" t="s">
        <v>2410</v>
      </c>
      <c r="D809" s="42" t="s">
        <v>2411</v>
      </c>
      <c r="E809" s="42" t="s">
        <v>255</v>
      </c>
      <c r="F809" s="28" t="s">
        <v>1925</v>
      </c>
      <c r="G809" s="28">
        <v>14.1</v>
      </c>
      <c r="H809" s="66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2.75" customHeight="1">
      <c r="A810" s="28" t="s">
        <v>960</v>
      </c>
      <c r="B810" s="28" t="s">
        <v>165</v>
      </c>
      <c r="C810" s="42" t="s">
        <v>2412</v>
      </c>
      <c r="D810" s="42" t="s">
        <v>586</v>
      </c>
      <c r="E810" s="42" t="s">
        <v>162</v>
      </c>
      <c r="F810" s="28" t="s">
        <v>2413</v>
      </c>
      <c r="G810" s="28">
        <v>33.7</v>
      </c>
      <c r="H810" s="66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2.75" customHeight="1">
      <c r="A811" s="28" t="s">
        <v>551</v>
      </c>
      <c r="B811" s="28" t="s">
        <v>165</v>
      </c>
      <c r="C811" s="42" t="s">
        <v>2414</v>
      </c>
      <c r="D811" s="42" t="s">
        <v>216</v>
      </c>
      <c r="E811" s="42" t="s">
        <v>1432</v>
      </c>
      <c r="F811" s="28" t="s">
        <v>2415</v>
      </c>
      <c r="G811" s="28">
        <v>34.2</v>
      </c>
      <c r="H811" s="66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2.75" customHeight="1">
      <c r="A812" s="28" t="s">
        <v>2416</v>
      </c>
      <c r="B812" s="28" t="s">
        <v>319</v>
      </c>
      <c r="C812" s="42" t="s">
        <v>2417</v>
      </c>
      <c r="D812" s="42" t="s">
        <v>447</v>
      </c>
      <c r="E812" s="42" t="s">
        <v>1219</v>
      </c>
      <c r="F812" s="28" t="s">
        <v>2418</v>
      </c>
      <c r="G812" s="28">
        <v>43.3</v>
      </c>
      <c r="H812" s="66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2.75" customHeight="1">
      <c r="A813" s="28" t="s">
        <v>2419</v>
      </c>
      <c r="B813" s="28" t="s">
        <v>165</v>
      </c>
      <c r="C813" s="42" t="s">
        <v>2420</v>
      </c>
      <c r="D813" s="42" t="s">
        <v>522</v>
      </c>
      <c r="E813" s="42" t="s">
        <v>1524</v>
      </c>
      <c r="F813" s="28" t="s">
        <v>1042</v>
      </c>
      <c r="G813" s="28">
        <v>29.4</v>
      </c>
      <c r="H813" s="66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2.75" customHeight="1">
      <c r="A814" s="28" t="s">
        <v>214</v>
      </c>
      <c r="B814" s="28" t="s">
        <v>159</v>
      </c>
      <c r="C814" s="42" t="s">
        <v>2421</v>
      </c>
      <c r="D814" s="42" t="s">
        <v>198</v>
      </c>
      <c r="E814" s="42" t="s">
        <v>1114</v>
      </c>
      <c r="F814" s="28" t="s">
        <v>2422</v>
      </c>
      <c r="G814" s="28">
        <v>33.8</v>
      </c>
      <c r="H814" s="66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2.75" customHeight="1">
      <c r="A815" s="28" t="s">
        <v>2423</v>
      </c>
      <c r="B815" s="28" t="s">
        <v>165</v>
      </c>
      <c r="C815" s="42" t="s">
        <v>2424</v>
      </c>
      <c r="D815" s="42" t="s">
        <v>2425</v>
      </c>
      <c r="E815" s="42" t="s">
        <v>1154</v>
      </c>
      <c r="F815" s="28" t="s">
        <v>2426</v>
      </c>
      <c r="G815" s="28">
        <v>34.0</v>
      </c>
      <c r="H815" s="66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2.75" customHeight="1">
      <c r="A816" s="28" t="s">
        <v>2427</v>
      </c>
      <c r="B816" s="28" t="s">
        <v>165</v>
      </c>
      <c r="C816" s="42" t="s">
        <v>2428</v>
      </c>
      <c r="D816" s="42" t="s">
        <v>1084</v>
      </c>
      <c r="E816" s="42" t="s">
        <v>722</v>
      </c>
      <c r="F816" s="28" t="s">
        <v>2429</v>
      </c>
      <c r="G816" s="28">
        <v>23.0</v>
      </c>
      <c r="H816" s="66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2.75" customHeight="1">
      <c r="A817" s="28" t="s">
        <v>2430</v>
      </c>
      <c r="B817" s="28" t="s">
        <v>210</v>
      </c>
      <c r="C817" s="42" t="s">
        <v>2431</v>
      </c>
      <c r="D817" s="42" t="s">
        <v>778</v>
      </c>
      <c r="E817" s="42" t="s">
        <v>2100</v>
      </c>
      <c r="F817" s="28" t="s">
        <v>2432</v>
      </c>
      <c r="G817" s="28">
        <v>21.6</v>
      </c>
      <c r="H817" s="66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2.75" customHeight="1">
      <c r="A818" s="28" t="s">
        <v>2433</v>
      </c>
      <c r="B818" s="28" t="s">
        <v>165</v>
      </c>
      <c r="C818" s="42" t="s">
        <v>2434</v>
      </c>
      <c r="D818" s="42" t="s">
        <v>415</v>
      </c>
      <c r="E818" s="42" t="s">
        <v>559</v>
      </c>
      <c r="F818" s="28" t="s">
        <v>2435</v>
      </c>
      <c r="G818" s="28">
        <v>27.5</v>
      </c>
      <c r="H818" s="66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2.75" customHeight="1">
      <c r="A819" s="28" t="s">
        <v>2436</v>
      </c>
      <c r="B819" s="28" t="s">
        <v>165</v>
      </c>
      <c r="C819" s="42" t="s">
        <v>2434</v>
      </c>
      <c r="D819" s="42" t="s">
        <v>2437</v>
      </c>
      <c r="E819" s="42" t="s">
        <v>559</v>
      </c>
      <c r="F819" s="28" t="s">
        <v>2438</v>
      </c>
      <c r="G819" s="28">
        <v>22.3</v>
      </c>
      <c r="H819" s="66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2.75" customHeight="1">
      <c r="A820" s="28" t="s">
        <v>540</v>
      </c>
      <c r="B820" s="28" t="s">
        <v>210</v>
      </c>
      <c r="C820" s="42" t="s">
        <v>2439</v>
      </c>
      <c r="D820" s="42" t="s">
        <v>999</v>
      </c>
      <c r="E820" s="42" t="s">
        <v>277</v>
      </c>
      <c r="F820" s="28" t="s">
        <v>2440</v>
      </c>
      <c r="G820" s="28">
        <v>19.3</v>
      </c>
      <c r="H820" s="66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2.75" customHeight="1">
      <c r="A821" s="28" t="s">
        <v>214</v>
      </c>
      <c r="B821" s="28" t="s">
        <v>153</v>
      </c>
      <c r="C821" s="42" t="s">
        <v>2439</v>
      </c>
      <c r="D821" s="42" t="s">
        <v>1343</v>
      </c>
      <c r="E821" s="42" t="s">
        <v>542</v>
      </c>
      <c r="F821" s="28" t="s">
        <v>2441</v>
      </c>
      <c r="G821" s="28">
        <v>18.8</v>
      </c>
      <c r="H821" s="66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2.75" customHeight="1">
      <c r="A822" s="28" t="s">
        <v>583</v>
      </c>
      <c r="B822" s="28" t="s">
        <v>219</v>
      </c>
      <c r="C822" s="42" t="s">
        <v>2442</v>
      </c>
      <c r="D822" s="42" t="s">
        <v>354</v>
      </c>
      <c r="E822" s="42" t="s">
        <v>162</v>
      </c>
      <c r="F822" s="28" t="s">
        <v>2443</v>
      </c>
      <c r="G822" s="28">
        <v>30.4</v>
      </c>
      <c r="H822" s="66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2.75" customHeight="1">
      <c r="A823" s="28" t="s">
        <v>265</v>
      </c>
      <c r="B823" s="28" t="s">
        <v>497</v>
      </c>
      <c r="C823" s="42" t="s">
        <v>2442</v>
      </c>
      <c r="D823" s="42" t="s">
        <v>240</v>
      </c>
      <c r="E823" s="42" t="s">
        <v>162</v>
      </c>
      <c r="F823" s="28" t="s">
        <v>2444</v>
      </c>
      <c r="G823" s="28">
        <v>25.8</v>
      </c>
      <c r="H823" s="66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2.75" customHeight="1">
      <c r="A824" s="28" t="s">
        <v>2445</v>
      </c>
      <c r="B824" s="28" t="s">
        <v>463</v>
      </c>
      <c r="C824" s="42" t="s">
        <v>2442</v>
      </c>
      <c r="D824" s="42" t="s">
        <v>224</v>
      </c>
      <c r="E824" s="42" t="s">
        <v>489</v>
      </c>
      <c r="F824" s="28" t="s">
        <v>2446</v>
      </c>
      <c r="G824" s="28">
        <v>39.4</v>
      </c>
      <c r="H824" s="66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2.75" customHeight="1">
      <c r="A825" s="28" t="s">
        <v>2447</v>
      </c>
      <c r="B825" s="28" t="s">
        <v>165</v>
      </c>
      <c r="C825" s="42" t="s">
        <v>2442</v>
      </c>
      <c r="D825" s="42" t="s">
        <v>243</v>
      </c>
      <c r="E825" s="42" t="s">
        <v>162</v>
      </c>
      <c r="F825" s="28" t="s">
        <v>1993</v>
      </c>
      <c r="G825" s="28">
        <v>29.3</v>
      </c>
      <c r="H825" s="66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2.75" customHeight="1">
      <c r="A826" s="28" t="s">
        <v>2448</v>
      </c>
      <c r="B826" s="28" t="s">
        <v>165</v>
      </c>
      <c r="C826" s="42" t="s">
        <v>2449</v>
      </c>
      <c r="D826" s="42" t="s">
        <v>1153</v>
      </c>
      <c r="E826" s="42" t="s">
        <v>255</v>
      </c>
      <c r="F826" s="28" t="s">
        <v>2450</v>
      </c>
      <c r="G826" s="28">
        <v>23.7</v>
      </c>
      <c r="H826" s="66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2.75" customHeight="1">
      <c r="A827" s="28" t="s">
        <v>2451</v>
      </c>
      <c r="B827" s="28" t="s">
        <v>210</v>
      </c>
      <c r="C827" s="42" t="s">
        <v>2452</v>
      </c>
      <c r="D827" s="42" t="s">
        <v>1096</v>
      </c>
      <c r="E827" s="42" t="s">
        <v>162</v>
      </c>
      <c r="F827" s="28" t="s">
        <v>2453</v>
      </c>
      <c r="G827" s="28">
        <v>29.0</v>
      </c>
      <c r="H827" s="66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2.75" customHeight="1">
      <c r="A828" s="28" t="s">
        <v>242</v>
      </c>
      <c r="B828" s="28" t="s">
        <v>210</v>
      </c>
      <c r="C828" s="42" t="s">
        <v>2454</v>
      </c>
      <c r="D828" s="42" t="s">
        <v>624</v>
      </c>
      <c r="E828" s="42" t="s">
        <v>156</v>
      </c>
      <c r="F828" s="28" t="s">
        <v>2455</v>
      </c>
      <c r="G828" s="28">
        <v>17.3</v>
      </c>
      <c r="H828" s="66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2.75" customHeight="1">
      <c r="A829" s="28" t="s">
        <v>480</v>
      </c>
      <c r="B829" s="28" t="s">
        <v>165</v>
      </c>
      <c r="C829" s="42" t="s">
        <v>2456</v>
      </c>
      <c r="D829" s="42" t="s">
        <v>407</v>
      </c>
      <c r="E829" s="42" t="s">
        <v>156</v>
      </c>
      <c r="F829" s="28" t="s">
        <v>2457</v>
      </c>
      <c r="G829" s="28">
        <v>17.2</v>
      </c>
      <c r="H829" s="66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2.75" customHeight="1">
      <c r="A830" s="28" t="s">
        <v>196</v>
      </c>
      <c r="B830" s="28" t="s">
        <v>219</v>
      </c>
      <c r="C830" s="42" t="s">
        <v>2456</v>
      </c>
      <c r="D830" s="42" t="s">
        <v>687</v>
      </c>
      <c r="E830" s="42" t="s">
        <v>199</v>
      </c>
      <c r="F830" s="28" t="s">
        <v>2458</v>
      </c>
      <c r="G830" s="28">
        <v>24.8</v>
      </c>
      <c r="H830" s="66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2.75" customHeight="1">
      <c r="A831" s="28" t="s">
        <v>238</v>
      </c>
      <c r="B831" s="28" t="s">
        <v>165</v>
      </c>
      <c r="C831" s="42" t="s">
        <v>2459</v>
      </c>
      <c r="D831" s="42" t="s">
        <v>611</v>
      </c>
      <c r="E831" s="42" t="s">
        <v>420</v>
      </c>
      <c r="F831" s="28" t="s">
        <v>1888</v>
      </c>
      <c r="G831" s="28">
        <v>27.2</v>
      </c>
      <c r="H831" s="66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2.75" customHeight="1">
      <c r="A832" s="28" t="s">
        <v>253</v>
      </c>
      <c r="B832" s="28" t="s">
        <v>210</v>
      </c>
      <c r="C832" s="42" t="s">
        <v>2460</v>
      </c>
      <c r="D832" s="42" t="s">
        <v>905</v>
      </c>
      <c r="E832" s="42" t="s">
        <v>722</v>
      </c>
      <c r="F832" s="28" t="s">
        <v>2461</v>
      </c>
      <c r="G832" s="28">
        <v>24.0</v>
      </c>
      <c r="H832" s="66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2.75" customHeight="1">
      <c r="A833" s="28" t="s">
        <v>2462</v>
      </c>
      <c r="B833" s="28" t="s">
        <v>165</v>
      </c>
      <c r="C833" s="42" t="s">
        <v>2463</v>
      </c>
      <c r="D833" s="42" t="s">
        <v>1986</v>
      </c>
      <c r="E833" s="42" t="s">
        <v>722</v>
      </c>
      <c r="F833" s="28" t="s">
        <v>2464</v>
      </c>
      <c r="G833" s="28">
        <v>22.9</v>
      </c>
      <c r="H833" s="66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2.75" customHeight="1">
      <c r="A834" s="28" t="s">
        <v>412</v>
      </c>
      <c r="B834" s="28" t="s">
        <v>165</v>
      </c>
      <c r="C834" s="42" t="s">
        <v>2465</v>
      </c>
      <c r="D834" s="42" t="s">
        <v>976</v>
      </c>
      <c r="E834" s="42" t="s">
        <v>2466</v>
      </c>
      <c r="F834" s="28" t="s">
        <v>2467</v>
      </c>
      <c r="G834" s="28">
        <v>30.2</v>
      </c>
      <c r="H834" s="66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2.75" customHeight="1">
      <c r="A835" s="28" t="s">
        <v>2468</v>
      </c>
      <c r="B835" s="28" t="s">
        <v>165</v>
      </c>
      <c r="C835" s="42" t="s">
        <v>2465</v>
      </c>
      <c r="D835" s="42" t="s">
        <v>2469</v>
      </c>
      <c r="E835" s="42" t="s">
        <v>2466</v>
      </c>
      <c r="F835" s="28" t="s">
        <v>2470</v>
      </c>
      <c r="G835" s="28">
        <v>29.1</v>
      </c>
      <c r="H835" s="66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2.75" customHeight="1">
      <c r="A836" s="28" t="s">
        <v>253</v>
      </c>
      <c r="B836" s="28" t="s">
        <v>165</v>
      </c>
      <c r="C836" s="42" t="s">
        <v>2471</v>
      </c>
      <c r="D836" s="42" t="s">
        <v>141</v>
      </c>
      <c r="E836" s="42" t="s">
        <v>162</v>
      </c>
      <c r="F836" s="28" t="s">
        <v>2472</v>
      </c>
      <c r="G836" s="28">
        <v>33.7</v>
      </c>
      <c r="H836" s="66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2.75" customHeight="1">
      <c r="A837" s="28" t="s">
        <v>2473</v>
      </c>
      <c r="B837" s="28" t="s">
        <v>165</v>
      </c>
      <c r="C837" s="42" t="s">
        <v>2474</v>
      </c>
      <c r="D837" s="42" t="s">
        <v>251</v>
      </c>
      <c r="E837" s="42" t="s">
        <v>650</v>
      </c>
      <c r="F837" s="28" t="s">
        <v>2475</v>
      </c>
      <c r="G837" s="28">
        <v>27.4</v>
      </c>
      <c r="H837" s="66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2.75" customHeight="1">
      <c r="A838" s="28" t="s">
        <v>589</v>
      </c>
      <c r="B838" s="28" t="s">
        <v>159</v>
      </c>
      <c r="C838" s="42" t="s">
        <v>2476</v>
      </c>
      <c r="D838" s="42" t="s">
        <v>633</v>
      </c>
      <c r="E838" s="42" t="s">
        <v>2477</v>
      </c>
      <c r="F838" s="28" t="s">
        <v>1603</v>
      </c>
      <c r="G838" s="28">
        <v>29.2</v>
      </c>
      <c r="H838" s="66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2.75" customHeight="1">
      <c r="A839" s="28" t="s">
        <v>2478</v>
      </c>
      <c r="B839" s="28" t="s">
        <v>165</v>
      </c>
      <c r="C839" s="42" t="s">
        <v>2476</v>
      </c>
      <c r="D839" s="42" t="s">
        <v>240</v>
      </c>
      <c r="E839" s="42" t="s">
        <v>1554</v>
      </c>
      <c r="F839" s="28" t="s">
        <v>2109</v>
      </c>
      <c r="G839" s="28">
        <v>21.7</v>
      </c>
      <c r="H839" s="66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2.75" customHeight="1">
      <c r="A840" s="28" t="s">
        <v>480</v>
      </c>
      <c r="B840" s="28" t="s">
        <v>165</v>
      </c>
      <c r="C840" s="42" t="s">
        <v>2479</v>
      </c>
      <c r="D840" s="42" t="s">
        <v>224</v>
      </c>
      <c r="E840" s="42" t="s">
        <v>2480</v>
      </c>
      <c r="F840" s="28" t="s">
        <v>2481</v>
      </c>
      <c r="G840" s="28">
        <v>21.3</v>
      </c>
      <c r="H840" s="66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2.75" customHeight="1">
      <c r="A841" s="28" t="s">
        <v>515</v>
      </c>
      <c r="B841" s="28" t="s">
        <v>165</v>
      </c>
      <c r="C841" s="42" t="s">
        <v>2479</v>
      </c>
      <c r="D841" s="42" t="s">
        <v>250</v>
      </c>
      <c r="E841" s="42" t="s">
        <v>162</v>
      </c>
      <c r="F841" s="28" t="s">
        <v>2482</v>
      </c>
      <c r="G841" s="28">
        <v>16.5</v>
      </c>
      <c r="H841" s="66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2.75" customHeight="1">
      <c r="A842" s="28" t="s">
        <v>242</v>
      </c>
      <c r="B842" s="28" t="s">
        <v>165</v>
      </c>
      <c r="C842" s="42" t="s">
        <v>2479</v>
      </c>
      <c r="D842" s="42" t="s">
        <v>357</v>
      </c>
      <c r="E842" s="42" t="s">
        <v>2480</v>
      </c>
      <c r="F842" s="28" t="s">
        <v>2483</v>
      </c>
      <c r="G842" s="28">
        <v>21.3</v>
      </c>
      <c r="H842" s="66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2.75" customHeight="1">
      <c r="A843" s="28" t="s">
        <v>2484</v>
      </c>
      <c r="B843" s="28" t="s">
        <v>165</v>
      </c>
      <c r="C843" s="42" t="s">
        <v>2479</v>
      </c>
      <c r="D843" s="42" t="s">
        <v>290</v>
      </c>
      <c r="E843" s="42" t="s">
        <v>162</v>
      </c>
      <c r="F843" s="28" t="s">
        <v>2482</v>
      </c>
      <c r="G843" s="28">
        <v>16.5</v>
      </c>
      <c r="H843" s="66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2.75" customHeight="1">
      <c r="A844" s="28" t="s">
        <v>2485</v>
      </c>
      <c r="B844" s="28" t="s">
        <v>165</v>
      </c>
      <c r="C844" s="42" t="s">
        <v>2479</v>
      </c>
      <c r="D844" s="42" t="s">
        <v>321</v>
      </c>
      <c r="E844" s="42" t="s">
        <v>162</v>
      </c>
      <c r="F844" s="28" t="s">
        <v>645</v>
      </c>
      <c r="G844" s="28">
        <v>25.2</v>
      </c>
      <c r="H844" s="66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2.75" customHeight="1">
      <c r="A845" s="28" t="s">
        <v>636</v>
      </c>
      <c r="B845" s="28" t="s">
        <v>159</v>
      </c>
      <c r="C845" s="42" t="s">
        <v>2486</v>
      </c>
      <c r="D845" s="42" t="s">
        <v>167</v>
      </c>
      <c r="E845" s="42" t="s">
        <v>1312</v>
      </c>
      <c r="F845" s="28" t="s">
        <v>2487</v>
      </c>
      <c r="G845" s="28">
        <v>25.6</v>
      </c>
      <c r="H845" s="66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2.75" customHeight="1">
      <c r="A846" s="28" t="s">
        <v>636</v>
      </c>
      <c r="B846" s="28" t="s">
        <v>219</v>
      </c>
      <c r="C846" s="42" t="s">
        <v>2486</v>
      </c>
      <c r="D846" s="42" t="s">
        <v>2488</v>
      </c>
      <c r="E846" s="42" t="s">
        <v>307</v>
      </c>
      <c r="F846" s="28" t="s">
        <v>2489</v>
      </c>
      <c r="G846" s="28">
        <v>25.1</v>
      </c>
      <c r="H846" s="66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2.75" customHeight="1">
      <c r="A847" s="28" t="s">
        <v>2490</v>
      </c>
      <c r="B847" s="28" t="s">
        <v>165</v>
      </c>
      <c r="C847" s="42" t="s">
        <v>2491</v>
      </c>
      <c r="D847" s="42" t="s">
        <v>190</v>
      </c>
      <c r="E847" s="42" t="s">
        <v>162</v>
      </c>
      <c r="F847" s="28" t="s">
        <v>2492</v>
      </c>
      <c r="G847" s="28">
        <v>32.0</v>
      </c>
      <c r="H847" s="66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2.75" customHeight="1">
      <c r="A848" s="28" t="s">
        <v>2493</v>
      </c>
      <c r="B848" s="28" t="s">
        <v>210</v>
      </c>
      <c r="C848" s="42" t="s">
        <v>2494</v>
      </c>
      <c r="D848" s="42" t="s">
        <v>2495</v>
      </c>
      <c r="E848" s="42" t="s">
        <v>653</v>
      </c>
      <c r="F848" s="28" t="s">
        <v>2496</v>
      </c>
      <c r="G848" s="28">
        <v>20.2</v>
      </c>
      <c r="H848" s="66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2.75" customHeight="1">
      <c r="A849" s="28" t="s">
        <v>2497</v>
      </c>
      <c r="B849" s="28" t="s">
        <v>210</v>
      </c>
      <c r="C849" s="42" t="s">
        <v>2494</v>
      </c>
      <c r="D849" s="42" t="s">
        <v>2498</v>
      </c>
      <c r="E849" s="42" t="s">
        <v>653</v>
      </c>
      <c r="F849" s="28" t="s">
        <v>2499</v>
      </c>
      <c r="G849" s="28">
        <v>26.0</v>
      </c>
      <c r="H849" s="66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2.75" customHeight="1">
      <c r="A850" s="28" t="s">
        <v>515</v>
      </c>
      <c r="B850" s="28" t="s">
        <v>165</v>
      </c>
      <c r="C850" s="42" t="s">
        <v>2500</v>
      </c>
      <c r="D850" s="42" t="s">
        <v>141</v>
      </c>
      <c r="E850" s="42" t="s">
        <v>653</v>
      </c>
      <c r="F850" s="28" t="s">
        <v>2501</v>
      </c>
      <c r="G850" s="28">
        <v>20.7</v>
      </c>
      <c r="H850" s="66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2.75" customHeight="1">
      <c r="A851" s="28" t="s">
        <v>2502</v>
      </c>
      <c r="B851" s="28" t="s">
        <v>165</v>
      </c>
      <c r="C851" s="42" t="s">
        <v>2500</v>
      </c>
      <c r="D851" s="42" t="s">
        <v>357</v>
      </c>
      <c r="E851" s="42" t="s">
        <v>653</v>
      </c>
      <c r="F851" s="28" t="s">
        <v>2503</v>
      </c>
      <c r="G851" s="28">
        <v>20.7</v>
      </c>
      <c r="H851" s="66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2.75" customHeight="1">
      <c r="A852" s="28" t="s">
        <v>2504</v>
      </c>
      <c r="B852" s="28" t="s">
        <v>165</v>
      </c>
      <c r="C852" s="42" t="s">
        <v>2505</v>
      </c>
      <c r="D852" s="42" t="s">
        <v>1247</v>
      </c>
      <c r="E852" s="42" t="s">
        <v>388</v>
      </c>
      <c r="F852" s="28" t="s">
        <v>278</v>
      </c>
      <c r="G852" s="28">
        <v>20.0</v>
      </c>
      <c r="H852" s="66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2.75" customHeight="1">
      <c r="A853" s="28" t="s">
        <v>1056</v>
      </c>
      <c r="B853" s="28" t="s">
        <v>165</v>
      </c>
      <c r="C853" s="42" t="s">
        <v>2506</v>
      </c>
      <c r="D853" s="42" t="s">
        <v>240</v>
      </c>
      <c r="E853" s="42" t="s">
        <v>1264</v>
      </c>
      <c r="F853" s="28" t="s">
        <v>2507</v>
      </c>
      <c r="G853" s="28">
        <v>24.0</v>
      </c>
      <c r="H853" s="66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2.75" customHeight="1">
      <c r="A854" s="28" t="s">
        <v>2508</v>
      </c>
      <c r="B854" s="28" t="s">
        <v>165</v>
      </c>
      <c r="C854" s="42" t="s">
        <v>2509</v>
      </c>
      <c r="D854" s="42" t="s">
        <v>939</v>
      </c>
      <c r="E854" s="42" t="s">
        <v>650</v>
      </c>
      <c r="F854" s="28" t="s">
        <v>2510</v>
      </c>
      <c r="G854" s="28">
        <v>30.6</v>
      </c>
      <c r="H854" s="66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2.75" customHeight="1">
      <c r="A855" s="28" t="s">
        <v>2511</v>
      </c>
      <c r="B855" s="28" t="s">
        <v>210</v>
      </c>
      <c r="C855" s="42" t="s">
        <v>2512</v>
      </c>
      <c r="D855" s="42" t="s">
        <v>2513</v>
      </c>
      <c r="E855" s="42" t="s">
        <v>162</v>
      </c>
      <c r="F855" s="28" t="s">
        <v>2514</v>
      </c>
      <c r="G855" s="28">
        <v>28.7</v>
      </c>
      <c r="H855" s="66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2.75" customHeight="1">
      <c r="A856" s="28" t="s">
        <v>960</v>
      </c>
      <c r="B856" s="28" t="s">
        <v>159</v>
      </c>
      <c r="C856" s="42" t="s">
        <v>2515</v>
      </c>
      <c r="D856" s="42" t="s">
        <v>208</v>
      </c>
      <c r="E856" s="42" t="s">
        <v>162</v>
      </c>
      <c r="F856" s="28" t="s">
        <v>2074</v>
      </c>
      <c r="G856" s="28">
        <v>27.4</v>
      </c>
      <c r="H856" s="66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2.75" customHeight="1">
      <c r="A857" s="28" t="s">
        <v>2516</v>
      </c>
      <c r="B857" s="28" t="s">
        <v>165</v>
      </c>
      <c r="C857" s="42" t="s">
        <v>2515</v>
      </c>
      <c r="D857" s="42" t="s">
        <v>240</v>
      </c>
      <c r="E857" s="42" t="s">
        <v>162</v>
      </c>
      <c r="F857" s="28" t="s">
        <v>1280</v>
      </c>
      <c r="G857" s="28">
        <v>22.1</v>
      </c>
      <c r="H857" s="66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2.75" customHeight="1">
      <c r="A858" s="28" t="s">
        <v>540</v>
      </c>
      <c r="B858" s="28" t="s">
        <v>210</v>
      </c>
      <c r="C858" s="42" t="s">
        <v>2517</v>
      </c>
      <c r="D858" s="42" t="s">
        <v>867</v>
      </c>
      <c r="E858" s="42" t="s">
        <v>162</v>
      </c>
      <c r="F858" s="28" t="s">
        <v>2518</v>
      </c>
      <c r="G858" s="28">
        <v>20.6</v>
      </c>
      <c r="H858" s="66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2.75" customHeight="1">
      <c r="A859" s="28" t="s">
        <v>540</v>
      </c>
      <c r="B859" s="28" t="s">
        <v>165</v>
      </c>
      <c r="C859" s="42" t="s">
        <v>2519</v>
      </c>
      <c r="D859" s="42" t="s">
        <v>306</v>
      </c>
      <c r="E859" s="42" t="s">
        <v>162</v>
      </c>
      <c r="F859" s="28" t="s">
        <v>2520</v>
      </c>
      <c r="G859" s="28">
        <v>20.2</v>
      </c>
      <c r="H859" s="66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2.75" customHeight="1">
      <c r="A860" s="28" t="s">
        <v>1056</v>
      </c>
      <c r="B860" s="28" t="s">
        <v>165</v>
      </c>
      <c r="C860" s="42" t="s">
        <v>2521</v>
      </c>
      <c r="D860" s="42" t="s">
        <v>633</v>
      </c>
      <c r="E860" s="42" t="s">
        <v>2522</v>
      </c>
      <c r="F860" s="28" t="s">
        <v>2523</v>
      </c>
      <c r="G860" s="28">
        <v>16.3</v>
      </c>
      <c r="H860" s="66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2.75" customHeight="1">
      <c r="A861" s="28" t="s">
        <v>2524</v>
      </c>
      <c r="B861" s="28" t="s">
        <v>165</v>
      </c>
      <c r="C861" s="42" t="s">
        <v>2525</v>
      </c>
      <c r="D861" s="42" t="s">
        <v>185</v>
      </c>
      <c r="E861" s="42" t="s">
        <v>1462</v>
      </c>
      <c r="F861" s="28" t="s">
        <v>2526</v>
      </c>
      <c r="G861" s="28">
        <v>27.1</v>
      </c>
      <c r="H861" s="66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2.75" customHeight="1">
      <c r="A862" s="28" t="s">
        <v>2527</v>
      </c>
      <c r="B862" s="28" t="s">
        <v>165</v>
      </c>
      <c r="C862" s="42" t="s">
        <v>2525</v>
      </c>
      <c r="D862" s="42" t="s">
        <v>2528</v>
      </c>
      <c r="E862" s="42" t="s">
        <v>388</v>
      </c>
      <c r="F862" s="28" t="s">
        <v>2529</v>
      </c>
      <c r="G862" s="28">
        <v>22.5</v>
      </c>
      <c r="H862" s="66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2.75" customHeight="1">
      <c r="A863" s="28" t="s">
        <v>2530</v>
      </c>
      <c r="B863" s="28" t="s">
        <v>165</v>
      </c>
      <c r="C863" s="42" t="s">
        <v>2531</v>
      </c>
      <c r="D863" s="42" t="s">
        <v>185</v>
      </c>
      <c r="E863" s="42" t="s">
        <v>168</v>
      </c>
      <c r="F863" s="28" t="s">
        <v>2532</v>
      </c>
      <c r="G863" s="28">
        <v>25.8</v>
      </c>
      <c r="H863" s="66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2.75" customHeight="1">
      <c r="A864" s="28" t="s">
        <v>390</v>
      </c>
      <c r="B864" s="28" t="s">
        <v>159</v>
      </c>
      <c r="C864" s="42" t="s">
        <v>2533</v>
      </c>
      <c r="D864" s="42" t="s">
        <v>240</v>
      </c>
      <c r="E864" s="42" t="s">
        <v>162</v>
      </c>
      <c r="F864" s="28" t="s">
        <v>2534</v>
      </c>
      <c r="G864" s="28">
        <v>26.9</v>
      </c>
      <c r="H864" s="66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2.75" customHeight="1">
      <c r="A865" s="28" t="s">
        <v>2535</v>
      </c>
      <c r="B865" s="28" t="s">
        <v>487</v>
      </c>
      <c r="C865" s="42" t="s">
        <v>2533</v>
      </c>
      <c r="D865" s="42" t="s">
        <v>240</v>
      </c>
      <c r="E865" s="42" t="s">
        <v>862</v>
      </c>
      <c r="F865" s="28" t="s">
        <v>2536</v>
      </c>
      <c r="G865" s="28">
        <v>42.3</v>
      </c>
      <c r="H865" s="66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2.75" customHeight="1">
      <c r="A866" s="28" t="s">
        <v>1038</v>
      </c>
      <c r="B866" s="28" t="s">
        <v>210</v>
      </c>
      <c r="C866" s="42" t="s">
        <v>2537</v>
      </c>
      <c r="D866" s="42" t="s">
        <v>813</v>
      </c>
      <c r="E866" s="42" t="s">
        <v>2538</v>
      </c>
      <c r="F866" s="28" t="s">
        <v>2539</v>
      </c>
      <c r="G866" s="28">
        <v>19.0</v>
      </c>
      <c r="H866" s="66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2.75" customHeight="1">
      <c r="A867" s="28" t="s">
        <v>214</v>
      </c>
      <c r="B867" s="28" t="s">
        <v>159</v>
      </c>
      <c r="C867" s="42" t="s">
        <v>2540</v>
      </c>
      <c r="D867" s="42" t="s">
        <v>251</v>
      </c>
      <c r="E867" s="42" t="s">
        <v>650</v>
      </c>
      <c r="F867" s="28" t="s">
        <v>2541</v>
      </c>
      <c r="G867" s="28">
        <v>20.1</v>
      </c>
      <c r="H867" s="66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2.75" customHeight="1">
      <c r="A868" s="28" t="s">
        <v>214</v>
      </c>
      <c r="B868" s="28" t="s">
        <v>219</v>
      </c>
      <c r="C868" s="42" t="s">
        <v>2540</v>
      </c>
      <c r="D868" s="42" t="s">
        <v>354</v>
      </c>
      <c r="E868" s="42" t="s">
        <v>1327</v>
      </c>
      <c r="F868" s="28" t="s">
        <v>2542</v>
      </c>
      <c r="G868" s="28">
        <v>21.4</v>
      </c>
      <c r="H868" s="66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2.75" customHeight="1">
      <c r="A869" s="28" t="s">
        <v>2543</v>
      </c>
      <c r="B869" s="28" t="s">
        <v>210</v>
      </c>
      <c r="C869" s="42" t="s">
        <v>2544</v>
      </c>
      <c r="D869" s="42" t="s">
        <v>778</v>
      </c>
      <c r="E869" s="42" t="s">
        <v>255</v>
      </c>
      <c r="F869" s="28" t="s">
        <v>1507</v>
      </c>
      <c r="G869" s="28">
        <v>22.8</v>
      </c>
      <c r="H869" s="66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2.75" customHeight="1">
      <c r="A870" s="28" t="s">
        <v>2545</v>
      </c>
      <c r="B870" s="28" t="s">
        <v>165</v>
      </c>
      <c r="C870" s="42" t="s">
        <v>2546</v>
      </c>
      <c r="D870" s="42" t="s">
        <v>741</v>
      </c>
      <c r="E870" s="42" t="s">
        <v>255</v>
      </c>
      <c r="F870" s="28" t="s">
        <v>1507</v>
      </c>
      <c r="G870" s="28">
        <v>22.8</v>
      </c>
      <c r="H870" s="66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2.75" customHeight="1">
      <c r="A871" s="28" t="s">
        <v>589</v>
      </c>
      <c r="B871" s="28" t="s">
        <v>159</v>
      </c>
      <c r="C871" s="42" t="s">
        <v>2547</v>
      </c>
      <c r="D871" s="42" t="s">
        <v>741</v>
      </c>
      <c r="E871" s="42" t="s">
        <v>255</v>
      </c>
      <c r="F871" s="28" t="s">
        <v>2548</v>
      </c>
      <c r="G871" s="28">
        <v>25.6</v>
      </c>
      <c r="H871" s="66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2.75" customHeight="1">
      <c r="A872" s="28" t="s">
        <v>1199</v>
      </c>
      <c r="B872" s="28" t="s">
        <v>159</v>
      </c>
      <c r="C872" s="42" t="s">
        <v>2549</v>
      </c>
      <c r="D872" s="42" t="s">
        <v>488</v>
      </c>
      <c r="E872" s="42" t="s">
        <v>162</v>
      </c>
      <c r="F872" s="28" t="s">
        <v>2550</v>
      </c>
      <c r="G872" s="28">
        <v>31.0</v>
      </c>
      <c r="H872" s="66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2.75" customHeight="1">
      <c r="A873" s="28" t="s">
        <v>773</v>
      </c>
      <c r="B873" s="28" t="s">
        <v>159</v>
      </c>
      <c r="C873" s="42" t="s">
        <v>2551</v>
      </c>
      <c r="D873" s="42" t="s">
        <v>167</v>
      </c>
      <c r="E873" s="42" t="s">
        <v>162</v>
      </c>
      <c r="F873" s="28" t="s">
        <v>2552</v>
      </c>
      <c r="G873" s="28">
        <v>31.0</v>
      </c>
      <c r="H873" s="66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2.75" customHeight="1">
      <c r="A874" s="28" t="s">
        <v>412</v>
      </c>
      <c r="B874" s="28" t="s">
        <v>159</v>
      </c>
      <c r="C874" s="42" t="s">
        <v>2553</v>
      </c>
      <c r="D874" s="42" t="s">
        <v>224</v>
      </c>
      <c r="E874" s="42" t="s">
        <v>162</v>
      </c>
      <c r="F874" s="28" t="s">
        <v>2554</v>
      </c>
      <c r="G874" s="28">
        <v>17.9</v>
      </c>
      <c r="H874" s="66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2.75" customHeight="1">
      <c r="A875" s="28" t="s">
        <v>2555</v>
      </c>
      <c r="B875" s="28" t="s">
        <v>165</v>
      </c>
      <c r="C875" s="42" t="s">
        <v>2556</v>
      </c>
      <c r="D875" s="42" t="s">
        <v>161</v>
      </c>
      <c r="E875" s="42" t="s">
        <v>162</v>
      </c>
      <c r="F875" s="28" t="s">
        <v>2557</v>
      </c>
      <c r="G875" s="28">
        <v>31.5</v>
      </c>
      <c r="H875" s="66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2.75" customHeight="1">
      <c r="A876" s="28" t="s">
        <v>2558</v>
      </c>
      <c r="B876" s="28" t="s">
        <v>457</v>
      </c>
      <c r="C876" s="42" t="s">
        <v>2559</v>
      </c>
      <c r="D876" s="42" t="s">
        <v>1422</v>
      </c>
      <c r="E876" s="42" t="s">
        <v>670</v>
      </c>
      <c r="F876" s="28" t="s">
        <v>1531</v>
      </c>
      <c r="G876" s="28">
        <v>43.2</v>
      </c>
      <c r="H876" s="66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2.75" customHeight="1">
      <c r="A877" s="28" t="s">
        <v>636</v>
      </c>
      <c r="B877" s="28" t="s">
        <v>497</v>
      </c>
      <c r="C877" s="42" t="s">
        <v>2560</v>
      </c>
      <c r="D877" s="42" t="s">
        <v>240</v>
      </c>
      <c r="E877" s="42" t="s">
        <v>420</v>
      </c>
      <c r="F877" s="28" t="s">
        <v>2561</v>
      </c>
      <c r="G877" s="28">
        <v>29.0</v>
      </c>
      <c r="H877" s="66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2.75" customHeight="1">
      <c r="A878" s="28" t="s">
        <v>2562</v>
      </c>
      <c r="B878" s="28" t="s">
        <v>165</v>
      </c>
      <c r="C878" s="42" t="s">
        <v>2560</v>
      </c>
      <c r="D878" s="42" t="s">
        <v>2563</v>
      </c>
      <c r="E878" s="42" t="s">
        <v>1867</v>
      </c>
      <c r="F878" s="28" t="s">
        <v>1916</v>
      </c>
      <c r="G878" s="28">
        <v>20.5</v>
      </c>
      <c r="H878" s="66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2.75" customHeight="1">
      <c r="A879" s="28" t="s">
        <v>2564</v>
      </c>
      <c r="B879" s="28" t="s">
        <v>165</v>
      </c>
      <c r="C879" s="42" t="s">
        <v>2565</v>
      </c>
      <c r="D879" s="42" t="s">
        <v>955</v>
      </c>
      <c r="E879" s="42" t="s">
        <v>162</v>
      </c>
      <c r="F879" s="28" t="s">
        <v>2566</v>
      </c>
      <c r="G879" s="28">
        <v>29.3</v>
      </c>
      <c r="H879" s="66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2.75" customHeight="1">
      <c r="A880" s="28" t="s">
        <v>2567</v>
      </c>
      <c r="B880" s="28" t="s">
        <v>497</v>
      </c>
      <c r="C880" s="42" t="s">
        <v>2568</v>
      </c>
      <c r="D880" s="42" t="s">
        <v>171</v>
      </c>
      <c r="E880" s="42" t="s">
        <v>2569</v>
      </c>
      <c r="F880" s="28" t="s">
        <v>2570</v>
      </c>
      <c r="G880" s="28">
        <v>17.1</v>
      </c>
      <c r="H880" s="66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2.75" customHeight="1">
      <c r="A881" s="28" t="s">
        <v>601</v>
      </c>
      <c r="B881" s="28" t="s">
        <v>219</v>
      </c>
      <c r="C881" s="42" t="s">
        <v>2571</v>
      </c>
      <c r="D881" s="42" t="s">
        <v>171</v>
      </c>
      <c r="E881" s="42" t="s">
        <v>650</v>
      </c>
      <c r="F881" s="28" t="s">
        <v>2572</v>
      </c>
      <c r="G881" s="28">
        <v>30.2</v>
      </c>
      <c r="H881" s="66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2.75" customHeight="1">
      <c r="A882" s="28" t="s">
        <v>2573</v>
      </c>
      <c r="B882" s="28" t="s">
        <v>165</v>
      </c>
      <c r="C882" s="42" t="s">
        <v>2574</v>
      </c>
      <c r="D882" s="42" t="s">
        <v>290</v>
      </c>
      <c r="E882" s="42" t="s">
        <v>653</v>
      </c>
      <c r="F882" s="28" t="s">
        <v>2575</v>
      </c>
      <c r="G882" s="28">
        <v>23.9</v>
      </c>
      <c r="H882" s="66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2.75" customHeight="1">
      <c r="A883" s="28" t="s">
        <v>2576</v>
      </c>
      <c r="B883" s="28" t="s">
        <v>165</v>
      </c>
      <c r="C883" s="42" t="s">
        <v>2577</v>
      </c>
      <c r="D883" s="42" t="s">
        <v>2578</v>
      </c>
      <c r="E883" s="42" t="s">
        <v>2579</v>
      </c>
      <c r="F883" s="28" t="s">
        <v>2580</v>
      </c>
      <c r="G883" s="28">
        <v>31.3</v>
      </c>
      <c r="H883" s="66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2.75" customHeight="1">
      <c r="A884" s="28" t="s">
        <v>2581</v>
      </c>
      <c r="B884" s="28" t="s">
        <v>210</v>
      </c>
      <c r="C884" s="42" t="s">
        <v>2582</v>
      </c>
      <c r="D884" s="42" t="s">
        <v>2583</v>
      </c>
      <c r="E884" s="42" t="s">
        <v>162</v>
      </c>
      <c r="F884" s="28" t="s">
        <v>2020</v>
      </c>
      <c r="G884" s="28">
        <v>22.2</v>
      </c>
      <c r="H884" s="66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2.75" customHeight="1">
      <c r="A885" s="28" t="s">
        <v>1199</v>
      </c>
      <c r="B885" s="28" t="s">
        <v>219</v>
      </c>
      <c r="C885" s="42" t="s">
        <v>2584</v>
      </c>
      <c r="D885" s="42" t="s">
        <v>190</v>
      </c>
      <c r="E885" s="42" t="s">
        <v>162</v>
      </c>
      <c r="F885" s="28" t="s">
        <v>2585</v>
      </c>
      <c r="G885" s="28">
        <v>30.9</v>
      </c>
      <c r="H885" s="66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2.75" customHeight="1">
      <c r="A886" s="28" t="s">
        <v>503</v>
      </c>
      <c r="B886" s="28" t="s">
        <v>215</v>
      </c>
      <c r="C886" s="42" t="s">
        <v>2584</v>
      </c>
      <c r="D886" s="42" t="s">
        <v>702</v>
      </c>
      <c r="E886" s="42" t="s">
        <v>162</v>
      </c>
      <c r="F886" s="28" t="s">
        <v>1072</v>
      </c>
      <c r="G886" s="28">
        <v>29.1</v>
      </c>
      <c r="H886" s="66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2.75" customHeight="1">
      <c r="A887" s="28" t="s">
        <v>2586</v>
      </c>
      <c r="B887" s="28" t="s">
        <v>210</v>
      </c>
      <c r="C887" s="42" t="s">
        <v>2587</v>
      </c>
      <c r="D887" s="42" t="s">
        <v>630</v>
      </c>
      <c r="E887" s="42" t="s">
        <v>2588</v>
      </c>
      <c r="F887" s="28" t="s">
        <v>2589</v>
      </c>
      <c r="G887" s="28">
        <v>27.1</v>
      </c>
      <c r="H887" s="66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2.75" customHeight="1">
      <c r="A888" s="28" t="s">
        <v>2590</v>
      </c>
      <c r="B888" s="28" t="s">
        <v>210</v>
      </c>
      <c r="C888" s="42" t="s">
        <v>2591</v>
      </c>
      <c r="D888" s="42" t="s">
        <v>2592</v>
      </c>
      <c r="E888" s="42" t="s">
        <v>255</v>
      </c>
      <c r="F888" s="28" t="s">
        <v>2593</v>
      </c>
      <c r="G888" s="28">
        <v>15.6</v>
      </c>
      <c r="H888" s="66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2.75" customHeight="1">
      <c r="A889" s="28" t="s">
        <v>2594</v>
      </c>
      <c r="B889" s="28" t="s">
        <v>210</v>
      </c>
      <c r="C889" s="42" t="s">
        <v>2595</v>
      </c>
      <c r="D889" s="42" t="s">
        <v>2596</v>
      </c>
      <c r="E889" s="42" t="s">
        <v>162</v>
      </c>
      <c r="F889" s="28" t="s">
        <v>2597</v>
      </c>
      <c r="G889" s="28">
        <v>23.9</v>
      </c>
      <c r="H889" s="66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2.75" customHeight="1">
      <c r="A890" s="28" t="s">
        <v>2598</v>
      </c>
      <c r="B890" s="28" t="s">
        <v>165</v>
      </c>
      <c r="C890" s="42" t="s">
        <v>2599</v>
      </c>
      <c r="D890" s="42" t="s">
        <v>832</v>
      </c>
      <c r="E890" s="42" t="s">
        <v>162</v>
      </c>
      <c r="F890" s="28" t="s">
        <v>802</v>
      </c>
      <c r="G890" s="28">
        <v>19.3</v>
      </c>
      <c r="H890" s="66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2.75" customHeight="1">
      <c r="A891" s="28" t="s">
        <v>515</v>
      </c>
      <c r="B891" s="28" t="s">
        <v>165</v>
      </c>
      <c r="C891" s="42" t="s">
        <v>2600</v>
      </c>
      <c r="D891" s="42" t="s">
        <v>2601</v>
      </c>
      <c r="E891" s="42" t="s">
        <v>1391</v>
      </c>
      <c r="F891" s="28" t="s">
        <v>789</v>
      </c>
      <c r="G891" s="28">
        <v>17.3</v>
      </c>
      <c r="H891" s="66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2.75" customHeight="1">
      <c r="A892" s="28" t="s">
        <v>2602</v>
      </c>
      <c r="B892" s="28" t="s">
        <v>165</v>
      </c>
      <c r="C892" s="42" t="s">
        <v>2600</v>
      </c>
      <c r="D892" s="42" t="s">
        <v>1817</v>
      </c>
      <c r="E892" s="42" t="s">
        <v>1391</v>
      </c>
      <c r="F892" s="28" t="s">
        <v>2603</v>
      </c>
      <c r="G892" s="28">
        <v>17.3</v>
      </c>
      <c r="H892" s="66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2.75" customHeight="1">
      <c r="A893" s="28" t="s">
        <v>2604</v>
      </c>
      <c r="B893" s="28" t="s">
        <v>165</v>
      </c>
      <c r="C893" s="42" t="s">
        <v>2605</v>
      </c>
      <c r="D893" s="42" t="s">
        <v>240</v>
      </c>
      <c r="E893" s="42" t="s">
        <v>2606</v>
      </c>
      <c r="F893" s="28" t="s">
        <v>237</v>
      </c>
      <c r="G893" s="28">
        <v>27.7</v>
      </c>
      <c r="H893" s="66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2.75" customHeight="1">
      <c r="A894" s="28" t="s">
        <v>2607</v>
      </c>
      <c r="B894" s="28" t="s">
        <v>165</v>
      </c>
      <c r="C894" s="42" t="s">
        <v>2608</v>
      </c>
      <c r="D894" s="42" t="s">
        <v>1067</v>
      </c>
      <c r="E894" s="42" t="s">
        <v>162</v>
      </c>
      <c r="F894" s="28" t="s">
        <v>2609</v>
      </c>
      <c r="G894" s="28">
        <v>23.8</v>
      </c>
      <c r="H894" s="66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2.75" customHeight="1">
      <c r="A895" s="28" t="s">
        <v>729</v>
      </c>
      <c r="B895" s="28" t="s">
        <v>219</v>
      </c>
      <c r="C895" s="42" t="s">
        <v>2610</v>
      </c>
      <c r="D895" s="42" t="s">
        <v>181</v>
      </c>
      <c r="E895" s="42" t="s">
        <v>760</v>
      </c>
      <c r="F895" s="28" t="s">
        <v>2611</v>
      </c>
      <c r="G895" s="28">
        <v>34.4</v>
      </c>
      <c r="H895" s="66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2.75" customHeight="1">
      <c r="A896" s="28" t="s">
        <v>238</v>
      </c>
      <c r="B896" s="28" t="s">
        <v>165</v>
      </c>
      <c r="C896" s="42" t="s">
        <v>2612</v>
      </c>
      <c r="D896" s="42" t="s">
        <v>240</v>
      </c>
      <c r="E896" s="42" t="s">
        <v>156</v>
      </c>
      <c r="F896" s="28" t="s">
        <v>2613</v>
      </c>
      <c r="G896" s="28">
        <v>25.7</v>
      </c>
      <c r="H896" s="66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2.75" customHeight="1">
      <c r="A897" s="28" t="s">
        <v>2614</v>
      </c>
      <c r="B897" s="28" t="s">
        <v>210</v>
      </c>
      <c r="C897" s="42" t="s">
        <v>2615</v>
      </c>
      <c r="D897" s="42" t="s">
        <v>326</v>
      </c>
      <c r="E897" s="42" t="s">
        <v>162</v>
      </c>
      <c r="F897" s="28" t="s">
        <v>2616</v>
      </c>
      <c r="G897" s="28">
        <v>20.2</v>
      </c>
      <c r="H897" s="66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2.75" customHeight="1">
      <c r="A898" s="28" t="s">
        <v>2617</v>
      </c>
      <c r="B898" s="28" t="s">
        <v>165</v>
      </c>
      <c r="C898" s="42" t="s">
        <v>2618</v>
      </c>
      <c r="D898" s="42" t="s">
        <v>2619</v>
      </c>
      <c r="E898" s="42" t="s">
        <v>162</v>
      </c>
      <c r="F898" s="28" t="s">
        <v>1644</v>
      </c>
      <c r="G898" s="28">
        <v>27.9</v>
      </c>
      <c r="H898" s="66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2.75" customHeight="1">
      <c r="A899" s="28" t="s">
        <v>1107</v>
      </c>
      <c r="B899" s="28" t="s">
        <v>165</v>
      </c>
      <c r="C899" s="42" t="s">
        <v>2620</v>
      </c>
      <c r="D899" s="42" t="s">
        <v>401</v>
      </c>
      <c r="E899" s="42" t="s">
        <v>162</v>
      </c>
      <c r="F899" s="28" t="s">
        <v>2621</v>
      </c>
      <c r="G899" s="28">
        <v>35.7</v>
      </c>
      <c r="H899" s="66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2.75" customHeight="1">
      <c r="A900" s="28" t="s">
        <v>2622</v>
      </c>
      <c r="B900" s="28" t="s">
        <v>210</v>
      </c>
      <c r="C900" s="42" t="s">
        <v>2623</v>
      </c>
      <c r="D900" s="42" t="s">
        <v>2624</v>
      </c>
      <c r="E900" s="42" t="s">
        <v>162</v>
      </c>
      <c r="F900" s="28" t="s">
        <v>2625</v>
      </c>
      <c r="G900" s="28">
        <v>23.0</v>
      </c>
      <c r="H900" s="66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2.75" customHeight="1">
      <c r="A901" s="28" t="s">
        <v>551</v>
      </c>
      <c r="B901" s="28" t="s">
        <v>153</v>
      </c>
      <c r="C901" s="42" t="s">
        <v>2626</v>
      </c>
      <c r="D901" s="42" t="s">
        <v>2627</v>
      </c>
      <c r="E901" s="42" t="s">
        <v>650</v>
      </c>
      <c r="F901" s="28" t="s">
        <v>2628</v>
      </c>
      <c r="G901" s="28">
        <v>17.0</v>
      </c>
      <c r="H901" s="66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2.75" customHeight="1">
      <c r="A902" s="28" t="s">
        <v>2629</v>
      </c>
      <c r="B902" s="28" t="s">
        <v>210</v>
      </c>
      <c r="C902" s="42" t="s">
        <v>2626</v>
      </c>
      <c r="D902" s="42" t="s">
        <v>2630</v>
      </c>
      <c r="E902" s="42" t="s">
        <v>650</v>
      </c>
      <c r="F902" s="28" t="s">
        <v>2631</v>
      </c>
      <c r="G902" s="28">
        <v>18.0</v>
      </c>
      <c r="H902" s="66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2.75" customHeight="1">
      <c r="A903" s="28" t="s">
        <v>2632</v>
      </c>
      <c r="B903" s="28" t="s">
        <v>210</v>
      </c>
      <c r="C903" s="42" t="s">
        <v>2626</v>
      </c>
      <c r="D903" s="42" t="s">
        <v>2633</v>
      </c>
      <c r="E903" s="42" t="s">
        <v>1261</v>
      </c>
      <c r="F903" s="28" t="s">
        <v>2634</v>
      </c>
      <c r="G903" s="28">
        <v>25.6</v>
      </c>
      <c r="H903" s="66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2.75" customHeight="1">
      <c r="A904" s="28" t="s">
        <v>2635</v>
      </c>
      <c r="B904" s="28" t="s">
        <v>210</v>
      </c>
      <c r="C904" s="42" t="s">
        <v>2626</v>
      </c>
      <c r="D904" s="42" t="s">
        <v>2636</v>
      </c>
      <c r="E904" s="42" t="s">
        <v>162</v>
      </c>
      <c r="F904" s="28" t="s">
        <v>2625</v>
      </c>
      <c r="G904" s="28">
        <v>23.0</v>
      </c>
      <c r="H904" s="66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2.75" customHeight="1">
      <c r="A905" s="28" t="s">
        <v>2637</v>
      </c>
      <c r="B905" s="28" t="s">
        <v>210</v>
      </c>
      <c r="C905" s="42" t="s">
        <v>2626</v>
      </c>
      <c r="D905" s="42" t="s">
        <v>2638</v>
      </c>
      <c r="E905" s="42" t="s">
        <v>162</v>
      </c>
      <c r="F905" s="28" t="s">
        <v>560</v>
      </c>
      <c r="G905" s="28">
        <v>25.1</v>
      </c>
      <c r="H905" s="66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2.75" customHeight="1">
      <c r="A906" s="28" t="s">
        <v>231</v>
      </c>
      <c r="B906" s="28" t="s">
        <v>165</v>
      </c>
      <c r="C906" s="42" t="s">
        <v>2639</v>
      </c>
      <c r="D906" s="42" t="s">
        <v>2640</v>
      </c>
      <c r="E906" s="42" t="s">
        <v>2140</v>
      </c>
      <c r="F906" s="28" t="s">
        <v>2641</v>
      </c>
      <c r="G906" s="28">
        <v>26.5</v>
      </c>
      <c r="H906" s="66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2.75" customHeight="1">
      <c r="A907" s="28" t="s">
        <v>580</v>
      </c>
      <c r="B907" s="28" t="s">
        <v>602</v>
      </c>
      <c r="C907" s="42" t="s">
        <v>2639</v>
      </c>
      <c r="D907" s="42" t="s">
        <v>1164</v>
      </c>
      <c r="E907" s="42" t="s">
        <v>307</v>
      </c>
      <c r="F907" s="28" t="s">
        <v>2642</v>
      </c>
      <c r="G907" s="28">
        <v>31.9</v>
      </c>
      <c r="H907" s="66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2.75" customHeight="1">
      <c r="A908" s="28" t="s">
        <v>580</v>
      </c>
      <c r="B908" s="28" t="s">
        <v>602</v>
      </c>
      <c r="C908" s="42" t="s">
        <v>2639</v>
      </c>
      <c r="D908" s="42" t="s">
        <v>354</v>
      </c>
      <c r="E908" s="42" t="s">
        <v>1300</v>
      </c>
      <c r="F908" s="28" t="s">
        <v>2175</v>
      </c>
      <c r="G908" s="28">
        <v>32.6</v>
      </c>
      <c r="H908" s="66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2.75" customHeight="1">
      <c r="A909" s="28" t="s">
        <v>406</v>
      </c>
      <c r="B909" s="28" t="s">
        <v>219</v>
      </c>
      <c r="C909" s="42" t="s">
        <v>2639</v>
      </c>
      <c r="D909" s="42" t="s">
        <v>407</v>
      </c>
      <c r="E909" s="42" t="s">
        <v>1300</v>
      </c>
      <c r="F909" s="28" t="s">
        <v>2643</v>
      </c>
      <c r="G909" s="28">
        <v>31.8</v>
      </c>
      <c r="H909" s="66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2.75" customHeight="1">
      <c r="A910" s="28" t="s">
        <v>523</v>
      </c>
      <c r="B910" s="28" t="s">
        <v>215</v>
      </c>
      <c r="C910" s="42" t="s">
        <v>2639</v>
      </c>
      <c r="D910" s="42" t="s">
        <v>665</v>
      </c>
      <c r="E910" s="42" t="s">
        <v>307</v>
      </c>
      <c r="F910" s="28" t="s">
        <v>2644</v>
      </c>
      <c r="G910" s="28">
        <v>29.7</v>
      </c>
      <c r="H910" s="66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2.75" customHeight="1">
      <c r="A911" s="28" t="s">
        <v>390</v>
      </c>
      <c r="B911" s="28" t="s">
        <v>215</v>
      </c>
      <c r="C911" s="42" t="s">
        <v>2639</v>
      </c>
      <c r="D911" s="42" t="s">
        <v>2645</v>
      </c>
      <c r="E911" s="42" t="s">
        <v>162</v>
      </c>
      <c r="F911" s="28" t="s">
        <v>2646</v>
      </c>
      <c r="G911" s="28">
        <v>27.5</v>
      </c>
      <c r="H911" s="66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2.75" customHeight="1">
      <c r="A912" s="28" t="s">
        <v>672</v>
      </c>
      <c r="B912" s="28" t="s">
        <v>219</v>
      </c>
      <c r="C912" s="42" t="s">
        <v>2639</v>
      </c>
      <c r="D912" s="42" t="s">
        <v>290</v>
      </c>
      <c r="E912" s="42" t="s">
        <v>162</v>
      </c>
      <c r="F912" s="28" t="s">
        <v>2647</v>
      </c>
      <c r="G912" s="28">
        <v>21.5</v>
      </c>
      <c r="H912" s="66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2.75" customHeight="1">
      <c r="A913" s="28" t="s">
        <v>551</v>
      </c>
      <c r="B913" s="28" t="s">
        <v>159</v>
      </c>
      <c r="C913" s="42" t="s">
        <v>2639</v>
      </c>
      <c r="D913" s="42" t="s">
        <v>2648</v>
      </c>
      <c r="E913" s="42" t="s">
        <v>650</v>
      </c>
      <c r="F913" s="28" t="s">
        <v>2649</v>
      </c>
      <c r="G913" s="28">
        <v>20.4</v>
      </c>
      <c r="H913" s="66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2.75" customHeight="1">
      <c r="A914" s="28" t="s">
        <v>1036</v>
      </c>
      <c r="B914" s="28" t="s">
        <v>165</v>
      </c>
      <c r="C914" s="42" t="s">
        <v>2639</v>
      </c>
      <c r="D914" s="42" t="s">
        <v>306</v>
      </c>
      <c r="E914" s="42" t="s">
        <v>559</v>
      </c>
      <c r="F914" s="28" t="s">
        <v>2650</v>
      </c>
      <c r="G914" s="28">
        <v>33.3</v>
      </c>
      <c r="H914" s="66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2.75" customHeight="1">
      <c r="A915" s="28" t="s">
        <v>2651</v>
      </c>
      <c r="B915" s="28" t="s">
        <v>165</v>
      </c>
      <c r="C915" s="42" t="s">
        <v>2639</v>
      </c>
      <c r="D915" s="42" t="s">
        <v>447</v>
      </c>
      <c r="E915" s="42" t="s">
        <v>2652</v>
      </c>
      <c r="F915" s="28" t="s">
        <v>2653</v>
      </c>
      <c r="G915" s="28">
        <v>24.1</v>
      </c>
      <c r="H915" s="66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2.75" customHeight="1">
      <c r="A916" s="28" t="s">
        <v>2654</v>
      </c>
      <c r="B916" s="28" t="s">
        <v>165</v>
      </c>
      <c r="C916" s="42" t="s">
        <v>2639</v>
      </c>
      <c r="D916" s="42" t="s">
        <v>2655</v>
      </c>
      <c r="E916" s="42" t="s">
        <v>255</v>
      </c>
      <c r="F916" s="28" t="s">
        <v>2656</v>
      </c>
      <c r="G916" s="28">
        <v>15.9</v>
      </c>
      <c r="H916" s="66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2.75" customHeight="1">
      <c r="A917" s="28" t="s">
        <v>2657</v>
      </c>
      <c r="B917" s="28" t="s">
        <v>165</v>
      </c>
      <c r="C917" s="42" t="s">
        <v>2639</v>
      </c>
      <c r="D917" s="42" t="s">
        <v>181</v>
      </c>
      <c r="E917" s="42" t="s">
        <v>162</v>
      </c>
      <c r="F917" s="28" t="s">
        <v>2658</v>
      </c>
      <c r="G917" s="28">
        <v>36.5</v>
      </c>
      <c r="H917" s="66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2.75" customHeight="1">
      <c r="A918" s="28" t="s">
        <v>907</v>
      </c>
      <c r="B918" s="28" t="s">
        <v>159</v>
      </c>
      <c r="C918" s="42" t="s">
        <v>2659</v>
      </c>
      <c r="D918" s="42" t="s">
        <v>240</v>
      </c>
      <c r="E918" s="42" t="s">
        <v>404</v>
      </c>
      <c r="F918" s="28" t="s">
        <v>2660</v>
      </c>
      <c r="G918" s="28">
        <v>32.3</v>
      </c>
      <c r="H918" s="66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2.75" customHeight="1">
      <c r="A919" s="28" t="s">
        <v>677</v>
      </c>
      <c r="B919" s="28" t="s">
        <v>497</v>
      </c>
      <c r="C919" s="42" t="s">
        <v>2659</v>
      </c>
      <c r="D919" s="42" t="s">
        <v>2661</v>
      </c>
      <c r="E919" s="42" t="s">
        <v>420</v>
      </c>
      <c r="F919" s="28" t="s">
        <v>2662</v>
      </c>
      <c r="G919" s="28">
        <v>18.8</v>
      </c>
      <c r="H919" s="66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2.75" customHeight="1">
      <c r="A920" s="28" t="s">
        <v>412</v>
      </c>
      <c r="B920" s="28" t="s">
        <v>219</v>
      </c>
      <c r="C920" s="42" t="s">
        <v>2659</v>
      </c>
      <c r="D920" s="42" t="s">
        <v>2663</v>
      </c>
      <c r="E920" s="42" t="s">
        <v>420</v>
      </c>
      <c r="F920" s="28" t="s">
        <v>2664</v>
      </c>
      <c r="G920" s="28">
        <v>29.4</v>
      </c>
      <c r="H920" s="66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2.75" customHeight="1">
      <c r="A921" s="28" t="s">
        <v>214</v>
      </c>
      <c r="B921" s="28" t="s">
        <v>262</v>
      </c>
      <c r="C921" s="42" t="s">
        <v>2659</v>
      </c>
      <c r="D921" s="42" t="s">
        <v>198</v>
      </c>
      <c r="E921" s="42" t="s">
        <v>156</v>
      </c>
      <c r="F921" s="28" t="s">
        <v>2665</v>
      </c>
      <c r="G921" s="28">
        <v>25.6</v>
      </c>
      <c r="H921" s="66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2.75" customHeight="1">
      <c r="A922" s="28" t="s">
        <v>2666</v>
      </c>
      <c r="B922" s="28" t="s">
        <v>165</v>
      </c>
      <c r="C922" s="42" t="s">
        <v>2659</v>
      </c>
      <c r="D922" s="42" t="s">
        <v>243</v>
      </c>
      <c r="E922" s="42" t="s">
        <v>378</v>
      </c>
      <c r="F922" s="28" t="s">
        <v>2667</v>
      </c>
      <c r="G922" s="28">
        <v>33.6</v>
      </c>
      <c r="H922" s="66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2.75" customHeight="1">
      <c r="A923" s="28" t="s">
        <v>2668</v>
      </c>
      <c r="B923" s="28" t="s">
        <v>165</v>
      </c>
      <c r="C923" s="42" t="s">
        <v>2659</v>
      </c>
      <c r="D923" s="42" t="s">
        <v>447</v>
      </c>
      <c r="E923" s="42" t="s">
        <v>378</v>
      </c>
      <c r="F923" s="28" t="s">
        <v>2669</v>
      </c>
      <c r="G923" s="28">
        <v>33.9</v>
      </c>
      <c r="H923" s="66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2.75" customHeight="1">
      <c r="A924" s="28" t="s">
        <v>2670</v>
      </c>
      <c r="B924" s="28" t="s">
        <v>165</v>
      </c>
      <c r="C924" s="42" t="s">
        <v>2659</v>
      </c>
      <c r="D924" s="42" t="s">
        <v>435</v>
      </c>
      <c r="E924" s="42" t="s">
        <v>162</v>
      </c>
      <c r="F924" s="28" t="s">
        <v>2671</v>
      </c>
      <c r="G924" s="28">
        <v>28.5</v>
      </c>
      <c r="H924" s="66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2.75" customHeight="1">
      <c r="A925" s="28" t="s">
        <v>2672</v>
      </c>
      <c r="B925" s="28" t="s">
        <v>165</v>
      </c>
      <c r="C925" s="42" t="s">
        <v>2659</v>
      </c>
      <c r="D925" s="42" t="s">
        <v>141</v>
      </c>
      <c r="E925" s="42" t="s">
        <v>162</v>
      </c>
      <c r="F925" s="28" t="s">
        <v>2673</v>
      </c>
      <c r="G925" s="28">
        <v>22.2</v>
      </c>
      <c r="H925" s="66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2.75" customHeight="1">
      <c r="A926" s="28" t="s">
        <v>2674</v>
      </c>
      <c r="B926" s="28" t="s">
        <v>165</v>
      </c>
      <c r="C926" s="42" t="s">
        <v>2659</v>
      </c>
      <c r="D926" s="42" t="s">
        <v>208</v>
      </c>
      <c r="E926" s="42" t="s">
        <v>162</v>
      </c>
      <c r="F926" s="28" t="s">
        <v>2675</v>
      </c>
      <c r="G926" s="28">
        <v>26.0</v>
      </c>
      <c r="H926" s="66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2.75" customHeight="1">
      <c r="A927" s="28" t="s">
        <v>2676</v>
      </c>
      <c r="B927" s="28" t="s">
        <v>165</v>
      </c>
      <c r="C927" s="42" t="s">
        <v>2659</v>
      </c>
      <c r="D927" s="42" t="s">
        <v>198</v>
      </c>
      <c r="E927" s="42" t="s">
        <v>162</v>
      </c>
      <c r="F927" s="28" t="s">
        <v>2677</v>
      </c>
      <c r="G927" s="28">
        <v>33.1</v>
      </c>
      <c r="H927" s="66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2.75" customHeight="1">
      <c r="A928" s="28" t="s">
        <v>2678</v>
      </c>
      <c r="B928" s="28" t="s">
        <v>165</v>
      </c>
      <c r="C928" s="42" t="s">
        <v>2659</v>
      </c>
      <c r="D928" s="42" t="s">
        <v>240</v>
      </c>
      <c r="E928" s="42" t="s">
        <v>162</v>
      </c>
      <c r="F928" s="28" t="s">
        <v>475</v>
      </c>
      <c r="G928" s="28">
        <v>27.8</v>
      </c>
      <c r="H928" s="66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2.75" customHeight="1">
      <c r="A929" s="28" t="s">
        <v>843</v>
      </c>
      <c r="B929" s="28" t="s">
        <v>159</v>
      </c>
      <c r="C929" s="42" t="s">
        <v>2679</v>
      </c>
      <c r="D929" s="42" t="s">
        <v>286</v>
      </c>
      <c r="E929" s="42" t="s">
        <v>2680</v>
      </c>
      <c r="F929" s="28" t="s">
        <v>2681</v>
      </c>
      <c r="G929" s="28">
        <v>27.2</v>
      </c>
      <c r="H929" s="66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2.75" customHeight="1">
      <c r="A930" s="28" t="s">
        <v>843</v>
      </c>
      <c r="B930" s="28" t="s">
        <v>159</v>
      </c>
      <c r="C930" s="42" t="s">
        <v>2679</v>
      </c>
      <c r="D930" s="42" t="s">
        <v>290</v>
      </c>
      <c r="E930" s="42" t="s">
        <v>2680</v>
      </c>
      <c r="F930" s="28" t="s">
        <v>2682</v>
      </c>
      <c r="G930" s="28">
        <v>33.4</v>
      </c>
      <c r="H930" s="66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2.75" customHeight="1">
      <c r="A931" s="28" t="s">
        <v>2683</v>
      </c>
      <c r="B931" s="28" t="s">
        <v>210</v>
      </c>
      <c r="C931" s="42" t="s">
        <v>2679</v>
      </c>
      <c r="D931" s="42" t="s">
        <v>155</v>
      </c>
      <c r="E931" s="42" t="s">
        <v>162</v>
      </c>
      <c r="F931" s="28" t="s">
        <v>2684</v>
      </c>
      <c r="G931" s="28">
        <v>27.7</v>
      </c>
      <c r="H931" s="66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2.75" customHeight="1">
      <c r="A932" s="28" t="s">
        <v>2685</v>
      </c>
      <c r="B932" s="28" t="s">
        <v>210</v>
      </c>
      <c r="C932" s="42" t="s">
        <v>2679</v>
      </c>
      <c r="D932" s="42" t="s">
        <v>796</v>
      </c>
      <c r="E932" s="42" t="s">
        <v>2652</v>
      </c>
      <c r="F932" s="28" t="s">
        <v>1101</v>
      </c>
      <c r="G932" s="28">
        <v>25.9</v>
      </c>
      <c r="H932" s="66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2.75" customHeight="1">
      <c r="A933" s="28" t="s">
        <v>324</v>
      </c>
      <c r="B933" s="28" t="s">
        <v>165</v>
      </c>
      <c r="C933" s="42" t="s">
        <v>2686</v>
      </c>
      <c r="D933" s="42" t="s">
        <v>669</v>
      </c>
      <c r="E933" s="42" t="s">
        <v>156</v>
      </c>
      <c r="F933" s="28" t="s">
        <v>2687</v>
      </c>
      <c r="G933" s="28">
        <v>23.3</v>
      </c>
      <c r="H933" s="66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2.75" customHeight="1">
      <c r="A934" s="28" t="s">
        <v>682</v>
      </c>
      <c r="B934" s="28" t="s">
        <v>165</v>
      </c>
      <c r="C934" s="42" t="s">
        <v>2686</v>
      </c>
      <c r="D934" s="42" t="s">
        <v>2688</v>
      </c>
      <c r="E934" s="42" t="s">
        <v>2652</v>
      </c>
      <c r="F934" s="28" t="s">
        <v>2689</v>
      </c>
      <c r="G934" s="28">
        <v>35.5</v>
      </c>
      <c r="H934" s="66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2.75" customHeight="1">
      <c r="A935" s="28" t="s">
        <v>333</v>
      </c>
      <c r="B935" s="28" t="s">
        <v>165</v>
      </c>
      <c r="C935" s="42" t="s">
        <v>2686</v>
      </c>
      <c r="D935" s="42" t="s">
        <v>240</v>
      </c>
      <c r="E935" s="42" t="s">
        <v>162</v>
      </c>
      <c r="F935" s="28" t="s">
        <v>2690</v>
      </c>
      <c r="G935" s="28">
        <v>33.9</v>
      </c>
      <c r="H935" s="66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2.75" customHeight="1">
      <c r="A936" s="28" t="s">
        <v>2691</v>
      </c>
      <c r="B936" s="28" t="s">
        <v>165</v>
      </c>
      <c r="C936" s="42" t="s">
        <v>2686</v>
      </c>
      <c r="D936" s="42" t="s">
        <v>642</v>
      </c>
      <c r="E936" s="42" t="s">
        <v>162</v>
      </c>
      <c r="F936" s="28" t="s">
        <v>2692</v>
      </c>
      <c r="G936" s="28">
        <v>27.4</v>
      </c>
      <c r="H936" s="66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2.75" customHeight="1">
      <c r="A937" s="28" t="s">
        <v>2693</v>
      </c>
      <c r="B937" s="28" t="s">
        <v>165</v>
      </c>
      <c r="C937" s="42" t="s">
        <v>2694</v>
      </c>
      <c r="D937" s="42" t="s">
        <v>415</v>
      </c>
      <c r="E937" s="42" t="s">
        <v>2695</v>
      </c>
      <c r="F937" s="28" t="s">
        <v>2696</v>
      </c>
      <c r="G937" s="28">
        <v>23.4</v>
      </c>
      <c r="H937" s="66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2.75" customHeight="1">
      <c r="A938" s="28" t="s">
        <v>284</v>
      </c>
      <c r="B938" s="28" t="s">
        <v>159</v>
      </c>
      <c r="C938" s="42" t="s">
        <v>2697</v>
      </c>
      <c r="D938" s="42" t="s">
        <v>240</v>
      </c>
      <c r="E938" s="42" t="s">
        <v>162</v>
      </c>
      <c r="F938" s="28" t="s">
        <v>2698</v>
      </c>
      <c r="G938" s="28">
        <v>30.8</v>
      </c>
      <c r="H938" s="66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2.75" customHeight="1">
      <c r="A939" s="28" t="s">
        <v>869</v>
      </c>
      <c r="B939" s="28" t="s">
        <v>219</v>
      </c>
      <c r="C939" s="42" t="s">
        <v>2699</v>
      </c>
      <c r="D939" s="42" t="s">
        <v>611</v>
      </c>
      <c r="E939" s="42" t="s">
        <v>162</v>
      </c>
      <c r="F939" s="28" t="s">
        <v>2700</v>
      </c>
      <c r="G939" s="28">
        <v>27.7</v>
      </c>
      <c r="H939" s="66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2.75" customHeight="1">
      <c r="A940" s="28" t="s">
        <v>672</v>
      </c>
      <c r="B940" s="28" t="s">
        <v>215</v>
      </c>
      <c r="C940" s="42" t="s">
        <v>2699</v>
      </c>
      <c r="D940" s="42" t="s">
        <v>1218</v>
      </c>
      <c r="E940" s="42" t="s">
        <v>162</v>
      </c>
      <c r="F940" s="28" t="s">
        <v>2701</v>
      </c>
      <c r="G940" s="28">
        <v>24.0</v>
      </c>
      <c r="H940" s="66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2.75" customHeight="1">
      <c r="A941" s="28" t="s">
        <v>2702</v>
      </c>
      <c r="B941" s="28" t="s">
        <v>457</v>
      </c>
      <c r="C941" s="42" t="s">
        <v>2703</v>
      </c>
      <c r="D941" s="42" t="s">
        <v>2704</v>
      </c>
      <c r="E941" s="42" t="s">
        <v>1513</v>
      </c>
      <c r="F941" s="28" t="s">
        <v>933</v>
      </c>
      <c r="G941" s="28">
        <v>43.4</v>
      </c>
      <c r="H941" s="66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2.75" customHeight="1">
      <c r="A942" s="28" t="s">
        <v>765</v>
      </c>
      <c r="B942" s="28" t="s">
        <v>219</v>
      </c>
      <c r="C942" s="42" t="s">
        <v>2705</v>
      </c>
      <c r="D942" s="42" t="s">
        <v>224</v>
      </c>
      <c r="E942" s="42" t="s">
        <v>156</v>
      </c>
      <c r="F942" s="28" t="s">
        <v>1522</v>
      </c>
      <c r="G942" s="28">
        <v>24.1</v>
      </c>
      <c r="H942" s="66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2.75" customHeight="1">
      <c r="A943" s="28" t="s">
        <v>2706</v>
      </c>
      <c r="B943" s="28" t="s">
        <v>210</v>
      </c>
      <c r="C943" s="42" t="s">
        <v>2707</v>
      </c>
      <c r="D943" s="42" t="s">
        <v>2708</v>
      </c>
      <c r="E943" s="42" t="s">
        <v>2709</v>
      </c>
      <c r="F943" s="28" t="s">
        <v>323</v>
      </c>
      <c r="G943" s="28">
        <v>21.5</v>
      </c>
      <c r="H943" s="66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2.75" customHeight="1">
      <c r="A944" s="28" t="s">
        <v>2710</v>
      </c>
      <c r="B944" s="28" t="s">
        <v>165</v>
      </c>
      <c r="C944" s="42" t="s">
        <v>2711</v>
      </c>
      <c r="D944" s="42" t="s">
        <v>401</v>
      </c>
      <c r="E944" s="42" t="s">
        <v>653</v>
      </c>
      <c r="F944" s="28" t="s">
        <v>2712</v>
      </c>
      <c r="G944" s="28">
        <v>30.9</v>
      </c>
      <c r="H944" s="66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2.75" customHeight="1">
      <c r="A945" s="28" t="s">
        <v>2713</v>
      </c>
      <c r="B945" s="28" t="s">
        <v>165</v>
      </c>
      <c r="C945" s="42" t="s">
        <v>2714</v>
      </c>
      <c r="D945" s="42" t="s">
        <v>2715</v>
      </c>
      <c r="E945" s="42" t="s">
        <v>727</v>
      </c>
      <c r="F945" s="28" t="s">
        <v>2716</v>
      </c>
      <c r="G945" s="28">
        <v>21.9</v>
      </c>
      <c r="H945" s="66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2.75" customHeight="1">
      <c r="A946" s="28" t="s">
        <v>847</v>
      </c>
      <c r="B946" s="28" t="s">
        <v>159</v>
      </c>
      <c r="C946" s="42" t="s">
        <v>2717</v>
      </c>
      <c r="D946" s="42" t="s">
        <v>435</v>
      </c>
      <c r="E946" s="42" t="s">
        <v>2718</v>
      </c>
      <c r="F946" s="28" t="s">
        <v>2719</v>
      </c>
      <c r="G946" s="28">
        <v>27.6</v>
      </c>
      <c r="H946" s="66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2.75" customHeight="1">
      <c r="A947" s="28" t="s">
        <v>773</v>
      </c>
      <c r="B947" s="28" t="s">
        <v>602</v>
      </c>
      <c r="C947" s="42" t="s">
        <v>2720</v>
      </c>
      <c r="D947" s="42" t="s">
        <v>2721</v>
      </c>
      <c r="E947" s="42" t="s">
        <v>1987</v>
      </c>
      <c r="F947" s="28" t="s">
        <v>2142</v>
      </c>
      <c r="G947" s="28">
        <v>29.4</v>
      </c>
      <c r="H947" s="66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2.75" customHeight="1">
      <c r="A948" s="28" t="s">
        <v>466</v>
      </c>
      <c r="B948" s="28" t="s">
        <v>497</v>
      </c>
      <c r="C948" s="42" t="s">
        <v>2720</v>
      </c>
      <c r="D948" s="42" t="s">
        <v>2722</v>
      </c>
      <c r="E948" s="42" t="s">
        <v>1987</v>
      </c>
      <c r="F948" s="28" t="s">
        <v>1982</v>
      </c>
      <c r="G948" s="28">
        <v>20.6</v>
      </c>
      <c r="H948" s="66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2.75" customHeight="1">
      <c r="A949" s="28" t="s">
        <v>288</v>
      </c>
      <c r="B949" s="28" t="s">
        <v>210</v>
      </c>
      <c r="C949" s="42" t="s">
        <v>2723</v>
      </c>
      <c r="D949" s="42" t="s">
        <v>361</v>
      </c>
      <c r="E949" s="42" t="s">
        <v>156</v>
      </c>
      <c r="F949" s="28" t="s">
        <v>2724</v>
      </c>
      <c r="G949" s="28">
        <v>17.9</v>
      </c>
      <c r="H949" s="66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2.75" customHeight="1">
      <c r="A950" s="28" t="s">
        <v>729</v>
      </c>
      <c r="B950" s="28" t="s">
        <v>159</v>
      </c>
      <c r="C950" s="42" t="s">
        <v>2725</v>
      </c>
      <c r="D950" s="42" t="s">
        <v>181</v>
      </c>
      <c r="E950" s="42" t="s">
        <v>156</v>
      </c>
      <c r="F950" s="28" t="s">
        <v>2726</v>
      </c>
      <c r="G950" s="28">
        <v>16.8</v>
      </c>
      <c r="H950" s="66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2.75" customHeight="1">
      <c r="A951" s="28" t="s">
        <v>2727</v>
      </c>
      <c r="B951" s="28" t="s">
        <v>165</v>
      </c>
      <c r="C951" s="42" t="s">
        <v>2728</v>
      </c>
      <c r="D951" s="42" t="s">
        <v>240</v>
      </c>
      <c r="E951" s="42" t="s">
        <v>653</v>
      </c>
      <c r="F951" s="28" t="s">
        <v>2729</v>
      </c>
      <c r="G951" s="28">
        <v>30.9</v>
      </c>
      <c r="H951" s="66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2.75" customHeight="1">
      <c r="A952" s="28" t="s">
        <v>2730</v>
      </c>
      <c r="B952" s="28" t="s">
        <v>210</v>
      </c>
      <c r="C952" s="42" t="s">
        <v>2731</v>
      </c>
      <c r="D952" s="42" t="s">
        <v>1288</v>
      </c>
      <c r="E952" s="42" t="s">
        <v>162</v>
      </c>
      <c r="F952" s="28" t="s">
        <v>2732</v>
      </c>
      <c r="G952" s="28">
        <v>23.4</v>
      </c>
      <c r="H952" s="66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2.75" customHeight="1">
      <c r="A953" s="28" t="s">
        <v>324</v>
      </c>
      <c r="B953" s="28" t="s">
        <v>210</v>
      </c>
      <c r="C953" s="42" t="s">
        <v>2733</v>
      </c>
      <c r="D953" s="42" t="s">
        <v>2734</v>
      </c>
      <c r="E953" s="42" t="s">
        <v>2735</v>
      </c>
      <c r="F953" s="28" t="s">
        <v>2736</v>
      </c>
      <c r="G953" s="28">
        <v>23.5</v>
      </c>
      <c r="H953" s="66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2.75" customHeight="1">
      <c r="A954" s="28" t="s">
        <v>923</v>
      </c>
      <c r="B954" s="28" t="s">
        <v>210</v>
      </c>
      <c r="C954" s="42" t="s">
        <v>2733</v>
      </c>
      <c r="D954" s="42" t="s">
        <v>2737</v>
      </c>
      <c r="E954" s="42" t="s">
        <v>162</v>
      </c>
      <c r="F954" s="28" t="s">
        <v>2738</v>
      </c>
      <c r="G954" s="28">
        <v>18.6</v>
      </c>
      <c r="H954" s="66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2.75" customHeight="1">
      <c r="A955" s="28" t="s">
        <v>2739</v>
      </c>
      <c r="B955" s="28" t="s">
        <v>210</v>
      </c>
      <c r="C955" s="42" t="s">
        <v>2733</v>
      </c>
      <c r="D955" s="42" t="s">
        <v>796</v>
      </c>
      <c r="E955" s="42" t="s">
        <v>653</v>
      </c>
      <c r="F955" s="28" t="s">
        <v>2740</v>
      </c>
      <c r="G955" s="28">
        <v>19.6</v>
      </c>
      <c r="H955" s="66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2.75" customHeight="1">
      <c r="A956" s="28" t="s">
        <v>923</v>
      </c>
      <c r="B956" s="28" t="s">
        <v>165</v>
      </c>
      <c r="C956" s="42" t="s">
        <v>2741</v>
      </c>
      <c r="D956" s="42" t="s">
        <v>240</v>
      </c>
      <c r="E956" s="42" t="s">
        <v>162</v>
      </c>
      <c r="F956" s="28" t="s">
        <v>2738</v>
      </c>
      <c r="G956" s="28">
        <v>18.6</v>
      </c>
      <c r="H956" s="66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2.75" customHeight="1">
      <c r="A957" s="28" t="s">
        <v>515</v>
      </c>
      <c r="B957" s="28" t="s">
        <v>165</v>
      </c>
      <c r="C957" s="42" t="s">
        <v>2741</v>
      </c>
      <c r="D957" s="42" t="s">
        <v>665</v>
      </c>
      <c r="E957" s="42" t="s">
        <v>653</v>
      </c>
      <c r="F957" s="28" t="s">
        <v>2742</v>
      </c>
      <c r="G957" s="28">
        <v>27.8</v>
      </c>
      <c r="H957" s="66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2.75" customHeight="1">
      <c r="A958" s="28" t="s">
        <v>158</v>
      </c>
      <c r="B958" s="28" t="s">
        <v>165</v>
      </c>
      <c r="C958" s="42" t="s">
        <v>2741</v>
      </c>
      <c r="D958" s="42" t="s">
        <v>1218</v>
      </c>
      <c r="E958" s="42" t="s">
        <v>162</v>
      </c>
      <c r="F958" s="28" t="s">
        <v>2743</v>
      </c>
      <c r="G958" s="28">
        <v>35.8</v>
      </c>
      <c r="H958" s="66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2.75" customHeight="1">
      <c r="A959" s="28" t="s">
        <v>2744</v>
      </c>
      <c r="B959" s="28" t="s">
        <v>165</v>
      </c>
      <c r="C959" s="42" t="s">
        <v>2741</v>
      </c>
      <c r="D959" s="42" t="s">
        <v>240</v>
      </c>
      <c r="E959" s="42" t="s">
        <v>162</v>
      </c>
      <c r="F959" s="28" t="s">
        <v>344</v>
      </c>
      <c r="G959" s="28">
        <v>33.3</v>
      </c>
      <c r="H959" s="66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2.75" customHeight="1">
      <c r="A960" s="28" t="s">
        <v>183</v>
      </c>
      <c r="B960" s="28" t="s">
        <v>159</v>
      </c>
      <c r="C960" s="42" t="s">
        <v>2745</v>
      </c>
      <c r="D960" s="42" t="s">
        <v>1688</v>
      </c>
      <c r="E960" s="42" t="s">
        <v>408</v>
      </c>
      <c r="F960" s="28" t="s">
        <v>2746</v>
      </c>
      <c r="G960" s="28">
        <v>25.4</v>
      </c>
      <c r="H960" s="66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2.75" customHeight="1">
      <c r="A961" s="28" t="s">
        <v>2747</v>
      </c>
      <c r="B961" s="28" t="s">
        <v>165</v>
      </c>
      <c r="C961" s="42" t="s">
        <v>2745</v>
      </c>
      <c r="D961" s="42" t="s">
        <v>1153</v>
      </c>
      <c r="E961" s="42" t="s">
        <v>162</v>
      </c>
      <c r="F961" s="28" t="s">
        <v>2748</v>
      </c>
      <c r="G961" s="28">
        <v>32.0</v>
      </c>
      <c r="H961" s="66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2.75" customHeight="1">
      <c r="A962" s="28" t="s">
        <v>2749</v>
      </c>
      <c r="B962" s="28" t="s">
        <v>487</v>
      </c>
      <c r="C962" s="42" t="s">
        <v>2750</v>
      </c>
      <c r="D962" s="42" t="s">
        <v>558</v>
      </c>
      <c r="E962" s="42" t="s">
        <v>1959</v>
      </c>
      <c r="F962" s="28" t="s">
        <v>2751</v>
      </c>
      <c r="G962" s="28">
        <v>42.9</v>
      </c>
      <c r="H962" s="66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2.75" customHeight="1">
      <c r="A963" s="28" t="s">
        <v>2752</v>
      </c>
      <c r="B963" s="28" t="s">
        <v>210</v>
      </c>
      <c r="C963" s="42" t="s">
        <v>2753</v>
      </c>
      <c r="D963" s="42" t="s">
        <v>995</v>
      </c>
      <c r="E963" s="42" t="s">
        <v>653</v>
      </c>
      <c r="F963" s="28" t="s">
        <v>2754</v>
      </c>
      <c r="G963" s="28">
        <v>22.2</v>
      </c>
      <c r="H963" s="66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2.75" customHeight="1">
      <c r="A964" s="28" t="s">
        <v>2063</v>
      </c>
      <c r="B964" s="28" t="s">
        <v>215</v>
      </c>
      <c r="C964" s="42" t="s">
        <v>2755</v>
      </c>
      <c r="D964" s="42" t="s">
        <v>1314</v>
      </c>
      <c r="E964" s="42" t="s">
        <v>156</v>
      </c>
      <c r="F964" s="28" t="s">
        <v>2756</v>
      </c>
      <c r="G964" s="28">
        <v>20.4</v>
      </c>
      <c r="H964" s="66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2.75" customHeight="1">
      <c r="A965" s="28" t="s">
        <v>2757</v>
      </c>
      <c r="B965" s="28" t="s">
        <v>210</v>
      </c>
      <c r="C965" s="42" t="s">
        <v>2758</v>
      </c>
      <c r="D965" s="42" t="s">
        <v>1656</v>
      </c>
      <c r="E965" s="42" t="s">
        <v>1947</v>
      </c>
      <c r="F965" s="28" t="s">
        <v>2759</v>
      </c>
      <c r="G965" s="28">
        <v>27.4</v>
      </c>
      <c r="H965" s="66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2.75" customHeight="1">
      <c r="A966" s="28" t="s">
        <v>2760</v>
      </c>
      <c r="B966" s="28" t="s">
        <v>165</v>
      </c>
      <c r="C966" s="42" t="s">
        <v>2761</v>
      </c>
      <c r="D966" s="42" t="s">
        <v>220</v>
      </c>
      <c r="E966" s="42" t="s">
        <v>1947</v>
      </c>
      <c r="F966" s="28" t="s">
        <v>2759</v>
      </c>
      <c r="G966" s="28">
        <v>27.4</v>
      </c>
      <c r="H966" s="66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2.75" customHeight="1">
      <c r="A967" s="28" t="s">
        <v>2762</v>
      </c>
      <c r="B967" s="28" t="s">
        <v>165</v>
      </c>
      <c r="C967" s="42" t="s">
        <v>2761</v>
      </c>
      <c r="D967" s="42" t="s">
        <v>522</v>
      </c>
      <c r="E967" s="42" t="s">
        <v>1947</v>
      </c>
      <c r="F967" s="28" t="s">
        <v>2763</v>
      </c>
      <c r="G967" s="28">
        <v>27.4</v>
      </c>
      <c r="H967" s="66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2.75" customHeight="1">
      <c r="A968" s="28" t="s">
        <v>2764</v>
      </c>
      <c r="B968" s="28" t="s">
        <v>165</v>
      </c>
      <c r="C968" s="42" t="s">
        <v>2761</v>
      </c>
      <c r="D968" s="42" t="s">
        <v>240</v>
      </c>
      <c r="E968" s="42" t="s">
        <v>1947</v>
      </c>
      <c r="F968" s="28" t="s">
        <v>2765</v>
      </c>
      <c r="G968" s="28">
        <v>27.4</v>
      </c>
      <c r="H968" s="66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2.75" customHeight="1">
      <c r="A969" s="28" t="s">
        <v>2766</v>
      </c>
      <c r="B969" s="28" t="s">
        <v>487</v>
      </c>
      <c r="C969" s="42" t="s">
        <v>2767</v>
      </c>
      <c r="D969" s="42" t="s">
        <v>2404</v>
      </c>
      <c r="E969" s="42" t="s">
        <v>2768</v>
      </c>
      <c r="F969" s="28" t="s">
        <v>2769</v>
      </c>
      <c r="G969" s="28">
        <v>42.9</v>
      </c>
      <c r="H969" s="66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2.75" customHeight="1">
      <c r="A970" s="28" t="s">
        <v>2770</v>
      </c>
      <c r="B970" s="28" t="s">
        <v>319</v>
      </c>
      <c r="C970" s="42" t="s">
        <v>2771</v>
      </c>
      <c r="D970" s="42" t="s">
        <v>691</v>
      </c>
      <c r="E970" s="42" t="s">
        <v>162</v>
      </c>
      <c r="F970" s="28" t="s">
        <v>2772</v>
      </c>
      <c r="G970" s="28">
        <v>42.8</v>
      </c>
      <c r="H970" s="66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2.75" customHeight="1">
      <c r="A971" s="28" t="s">
        <v>1873</v>
      </c>
      <c r="B971" s="28" t="s">
        <v>219</v>
      </c>
      <c r="C971" s="42" t="s">
        <v>2773</v>
      </c>
      <c r="D971" s="42" t="s">
        <v>2774</v>
      </c>
      <c r="E971" s="42" t="s">
        <v>1165</v>
      </c>
      <c r="F971" s="28" t="s">
        <v>2775</v>
      </c>
      <c r="G971" s="28">
        <v>30.6</v>
      </c>
      <c r="H971" s="66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2.75" customHeight="1">
      <c r="A972" s="28" t="s">
        <v>2776</v>
      </c>
      <c r="B972" s="28" t="s">
        <v>165</v>
      </c>
      <c r="C972" s="42" t="s">
        <v>2773</v>
      </c>
      <c r="D972" s="42" t="s">
        <v>240</v>
      </c>
      <c r="E972" s="42" t="s">
        <v>1165</v>
      </c>
      <c r="F972" s="28" t="s">
        <v>2777</v>
      </c>
      <c r="G972" s="28">
        <v>22.4</v>
      </c>
      <c r="H972" s="66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2.75" customHeight="1">
      <c r="A973" s="28" t="s">
        <v>2778</v>
      </c>
      <c r="B973" s="28" t="s">
        <v>487</v>
      </c>
      <c r="C973" s="42" t="s">
        <v>2779</v>
      </c>
      <c r="D973" s="42" t="s">
        <v>447</v>
      </c>
      <c r="E973" s="42" t="s">
        <v>2780</v>
      </c>
      <c r="F973" s="28" t="s">
        <v>2781</v>
      </c>
      <c r="G973" s="28">
        <v>42.7</v>
      </c>
      <c r="H973" s="66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2.75" customHeight="1">
      <c r="A974" s="28" t="s">
        <v>2782</v>
      </c>
      <c r="B974" s="28" t="s">
        <v>319</v>
      </c>
      <c r="C974" s="42" t="s">
        <v>2779</v>
      </c>
      <c r="D974" s="42" t="s">
        <v>518</v>
      </c>
      <c r="E974" s="42" t="s">
        <v>162</v>
      </c>
      <c r="F974" s="28" t="s">
        <v>1682</v>
      </c>
      <c r="G974" s="28">
        <v>43.1</v>
      </c>
      <c r="H974" s="66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2.75" customHeight="1">
      <c r="A975" s="28" t="s">
        <v>2783</v>
      </c>
      <c r="B975" s="28" t="s">
        <v>210</v>
      </c>
      <c r="C975" s="42" t="s">
        <v>2784</v>
      </c>
      <c r="D975" s="42" t="s">
        <v>1466</v>
      </c>
      <c r="E975" s="42" t="s">
        <v>653</v>
      </c>
      <c r="F975" s="28" t="s">
        <v>2785</v>
      </c>
      <c r="G975" s="28">
        <v>22.2</v>
      </c>
      <c r="H975" s="66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2.75" customHeight="1">
      <c r="A976" s="28" t="s">
        <v>2786</v>
      </c>
      <c r="B976" s="28" t="s">
        <v>165</v>
      </c>
      <c r="C976" s="42" t="s">
        <v>2787</v>
      </c>
      <c r="D976" s="42" t="s">
        <v>447</v>
      </c>
      <c r="E976" s="42" t="s">
        <v>817</v>
      </c>
      <c r="F976" s="28" t="s">
        <v>1797</v>
      </c>
      <c r="G976" s="28">
        <v>22.8</v>
      </c>
      <c r="H976" s="66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2.75" customHeight="1">
      <c r="A977" s="28" t="s">
        <v>2788</v>
      </c>
      <c r="B977" s="28" t="s">
        <v>165</v>
      </c>
      <c r="C977" s="42" t="s">
        <v>2789</v>
      </c>
      <c r="D977" s="42" t="s">
        <v>2790</v>
      </c>
      <c r="E977" s="42" t="s">
        <v>162</v>
      </c>
      <c r="F977" s="28" t="s">
        <v>2791</v>
      </c>
      <c r="G977" s="28">
        <v>30.1</v>
      </c>
      <c r="H977" s="66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2.75" customHeight="1">
      <c r="A978" s="28" t="s">
        <v>1882</v>
      </c>
      <c r="B978" s="28" t="s">
        <v>165</v>
      </c>
      <c r="C978" s="42" t="s">
        <v>2792</v>
      </c>
      <c r="D978" s="42" t="s">
        <v>1621</v>
      </c>
      <c r="E978" s="42" t="s">
        <v>156</v>
      </c>
      <c r="F978" s="28" t="s">
        <v>2793</v>
      </c>
      <c r="G978" s="28">
        <v>25.0</v>
      </c>
      <c r="H978" s="66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2.75" customHeight="1">
      <c r="A979" s="28" t="s">
        <v>919</v>
      </c>
      <c r="B979" s="28" t="s">
        <v>165</v>
      </c>
      <c r="C979" s="42" t="s">
        <v>2794</v>
      </c>
      <c r="D979" s="42" t="s">
        <v>447</v>
      </c>
      <c r="E979" s="42" t="s">
        <v>162</v>
      </c>
      <c r="F979" s="28" t="s">
        <v>2795</v>
      </c>
      <c r="G979" s="28">
        <v>21.5</v>
      </c>
      <c r="H979" s="66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2.75" customHeight="1">
      <c r="A980" s="28" t="s">
        <v>923</v>
      </c>
      <c r="B980" s="28" t="s">
        <v>165</v>
      </c>
      <c r="C980" s="42" t="s">
        <v>2794</v>
      </c>
      <c r="D980" s="42" t="s">
        <v>354</v>
      </c>
      <c r="E980" s="42" t="s">
        <v>162</v>
      </c>
      <c r="F980" s="28" t="s">
        <v>2796</v>
      </c>
      <c r="G980" s="28">
        <v>22.1</v>
      </c>
      <c r="H980" s="66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2.75" customHeight="1">
      <c r="A981" s="28" t="s">
        <v>2797</v>
      </c>
      <c r="B981" s="28" t="s">
        <v>165</v>
      </c>
      <c r="C981" s="42" t="s">
        <v>2798</v>
      </c>
      <c r="D981" s="42" t="s">
        <v>171</v>
      </c>
      <c r="E981" s="42" t="s">
        <v>1867</v>
      </c>
      <c r="F981" s="28" t="s">
        <v>978</v>
      </c>
      <c r="G981" s="28">
        <v>27.6</v>
      </c>
      <c r="H981" s="66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2.75" customHeight="1">
      <c r="A982" s="28" t="s">
        <v>577</v>
      </c>
      <c r="B982" s="28" t="s">
        <v>602</v>
      </c>
      <c r="C982" s="42" t="s">
        <v>2799</v>
      </c>
      <c r="D982" s="42" t="s">
        <v>2800</v>
      </c>
      <c r="E982" s="42" t="s">
        <v>511</v>
      </c>
      <c r="F982" s="28" t="s">
        <v>2801</v>
      </c>
      <c r="G982" s="28">
        <v>33.2</v>
      </c>
      <c r="H982" s="66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2.75" customHeight="1">
      <c r="A983" s="28" t="s">
        <v>2802</v>
      </c>
      <c r="B983" s="28" t="s">
        <v>165</v>
      </c>
      <c r="C983" s="42" t="s">
        <v>2803</v>
      </c>
      <c r="D983" s="42" t="s">
        <v>240</v>
      </c>
      <c r="E983" s="42" t="s">
        <v>653</v>
      </c>
      <c r="F983" s="28" t="s">
        <v>332</v>
      </c>
      <c r="G983" s="28">
        <v>29.1</v>
      </c>
      <c r="H983" s="66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2.75" customHeight="1">
      <c r="A984" s="28" t="s">
        <v>672</v>
      </c>
      <c r="B984" s="28" t="s">
        <v>153</v>
      </c>
      <c r="C984" s="42" t="s">
        <v>2804</v>
      </c>
      <c r="D984" s="42" t="s">
        <v>228</v>
      </c>
      <c r="E984" s="42" t="s">
        <v>162</v>
      </c>
      <c r="F984" s="28" t="s">
        <v>2805</v>
      </c>
      <c r="G984" s="28">
        <v>15.4</v>
      </c>
      <c r="H984" s="66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2.75" customHeight="1">
      <c r="A985" s="28" t="s">
        <v>847</v>
      </c>
      <c r="B985" s="28" t="s">
        <v>219</v>
      </c>
      <c r="C985" s="42" t="s">
        <v>2806</v>
      </c>
      <c r="D985" s="42" t="s">
        <v>642</v>
      </c>
      <c r="E985" s="42" t="s">
        <v>162</v>
      </c>
      <c r="F985" s="28" t="s">
        <v>2807</v>
      </c>
      <c r="G985" s="28">
        <v>27.5</v>
      </c>
      <c r="H985" s="66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2.75" customHeight="1">
      <c r="A986" s="28" t="s">
        <v>2808</v>
      </c>
      <c r="B986" s="28" t="s">
        <v>165</v>
      </c>
      <c r="C986" s="42" t="s">
        <v>2809</v>
      </c>
      <c r="D986" s="42" t="s">
        <v>185</v>
      </c>
      <c r="E986" s="42" t="s">
        <v>2810</v>
      </c>
      <c r="F986" s="28" t="s">
        <v>2811</v>
      </c>
      <c r="G986" s="28">
        <v>22.8</v>
      </c>
      <c r="H986" s="66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2.75" customHeight="1">
      <c r="A987" s="28" t="s">
        <v>2812</v>
      </c>
      <c r="B987" s="28" t="s">
        <v>165</v>
      </c>
      <c r="C987" s="42" t="s">
        <v>2809</v>
      </c>
      <c r="D987" s="42" t="s">
        <v>447</v>
      </c>
      <c r="E987" s="42" t="s">
        <v>2813</v>
      </c>
      <c r="F987" s="28" t="s">
        <v>2814</v>
      </c>
      <c r="G987" s="28">
        <v>23.8</v>
      </c>
      <c r="H987" s="66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2.75" customHeight="1">
      <c r="A988" s="28" t="s">
        <v>2063</v>
      </c>
      <c r="B988" s="28" t="s">
        <v>165</v>
      </c>
      <c r="C988" s="42" t="s">
        <v>2815</v>
      </c>
      <c r="D988" s="42" t="s">
        <v>741</v>
      </c>
      <c r="E988" s="42" t="s">
        <v>162</v>
      </c>
      <c r="F988" s="28" t="s">
        <v>2658</v>
      </c>
      <c r="G988" s="28">
        <v>36.5</v>
      </c>
      <c r="H988" s="66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2.75" customHeight="1">
      <c r="A989" s="28" t="s">
        <v>748</v>
      </c>
      <c r="B989" s="28" t="s">
        <v>159</v>
      </c>
      <c r="C989" s="42" t="s">
        <v>2816</v>
      </c>
      <c r="D989" s="42" t="s">
        <v>224</v>
      </c>
      <c r="E989" s="42" t="s">
        <v>722</v>
      </c>
      <c r="F989" s="28" t="s">
        <v>2817</v>
      </c>
      <c r="G989" s="28">
        <v>27.5</v>
      </c>
      <c r="H989" s="66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2.75" customHeight="1">
      <c r="A990" s="28" t="s">
        <v>288</v>
      </c>
      <c r="B990" s="28" t="s">
        <v>165</v>
      </c>
      <c r="C990" s="42" t="s">
        <v>2818</v>
      </c>
      <c r="D990" s="42" t="s">
        <v>691</v>
      </c>
      <c r="E990" s="42" t="s">
        <v>156</v>
      </c>
      <c r="F990" s="28" t="s">
        <v>2819</v>
      </c>
      <c r="G990" s="28">
        <v>22.5</v>
      </c>
      <c r="H990" s="66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2.75" customHeight="1">
      <c r="A991" s="28" t="s">
        <v>773</v>
      </c>
      <c r="B991" s="28" t="s">
        <v>159</v>
      </c>
      <c r="C991" s="42" t="s">
        <v>2820</v>
      </c>
      <c r="D991" s="42" t="s">
        <v>240</v>
      </c>
      <c r="E991" s="42" t="s">
        <v>162</v>
      </c>
      <c r="F991" s="28" t="s">
        <v>2821</v>
      </c>
      <c r="G991" s="28">
        <v>30.2</v>
      </c>
      <c r="H991" s="66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2.75" customHeight="1">
      <c r="A992" s="28" t="s">
        <v>2666</v>
      </c>
      <c r="B992" s="28" t="s">
        <v>159</v>
      </c>
      <c r="C992" s="42" t="s">
        <v>2822</v>
      </c>
      <c r="D992" s="42" t="s">
        <v>401</v>
      </c>
      <c r="E992" s="42" t="s">
        <v>420</v>
      </c>
      <c r="F992" s="28" t="s">
        <v>2823</v>
      </c>
      <c r="G992" s="28">
        <v>17.8</v>
      </c>
      <c r="H992" s="66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2.75" customHeight="1">
      <c r="A993" s="28" t="s">
        <v>729</v>
      </c>
      <c r="B993" s="28" t="s">
        <v>497</v>
      </c>
      <c r="C993" s="42" t="s">
        <v>2824</v>
      </c>
      <c r="D993" s="42" t="s">
        <v>1201</v>
      </c>
      <c r="E993" s="42" t="s">
        <v>732</v>
      </c>
      <c r="F993" s="28" t="s">
        <v>2825</v>
      </c>
      <c r="G993" s="28">
        <v>25.8</v>
      </c>
      <c r="H993" s="66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2.75" customHeight="1">
      <c r="A994" s="28" t="s">
        <v>324</v>
      </c>
      <c r="B994" s="28" t="s">
        <v>165</v>
      </c>
      <c r="C994" s="42" t="s">
        <v>2826</v>
      </c>
      <c r="D994" s="42" t="s">
        <v>447</v>
      </c>
      <c r="E994" s="42" t="s">
        <v>277</v>
      </c>
      <c r="F994" s="28" t="s">
        <v>2308</v>
      </c>
      <c r="G994" s="28">
        <v>28.8</v>
      </c>
      <c r="H994" s="66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2.75" customHeight="1">
      <c r="A995" s="28" t="s">
        <v>523</v>
      </c>
      <c r="B995" s="28" t="s">
        <v>153</v>
      </c>
      <c r="C995" s="42" t="s">
        <v>2827</v>
      </c>
      <c r="D995" s="42" t="s">
        <v>361</v>
      </c>
      <c r="E995" s="42" t="s">
        <v>1995</v>
      </c>
      <c r="F995" s="28" t="s">
        <v>807</v>
      </c>
      <c r="G995" s="28">
        <v>25.6</v>
      </c>
      <c r="H995" s="66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2.75" customHeight="1">
      <c r="A996" s="28" t="s">
        <v>748</v>
      </c>
      <c r="B996" s="28" t="s">
        <v>497</v>
      </c>
      <c r="C996" s="42" t="s">
        <v>2827</v>
      </c>
      <c r="D996" s="42" t="s">
        <v>481</v>
      </c>
      <c r="E996" s="42" t="s">
        <v>1996</v>
      </c>
      <c r="F996" s="28" t="s">
        <v>2828</v>
      </c>
      <c r="G996" s="28">
        <v>27.6</v>
      </c>
      <c r="H996" s="66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2.75" customHeight="1">
      <c r="A997" s="28" t="s">
        <v>551</v>
      </c>
      <c r="B997" s="28" t="s">
        <v>602</v>
      </c>
      <c r="C997" s="42" t="s">
        <v>2829</v>
      </c>
      <c r="D997" s="42" t="s">
        <v>431</v>
      </c>
      <c r="E997" s="42" t="s">
        <v>511</v>
      </c>
      <c r="F997" s="28" t="s">
        <v>2830</v>
      </c>
      <c r="G997" s="28">
        <v>35.4</v>
      </c>
      <c r="H997" s="66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2.75" customHeight="1">
      <c r="A998" s="28" t="s">
        <v>773</v>
      </c>
      <c r="B998" s="28" t="s">
        <v>497</v>
      </c>
      <c r="C998" s="42" t="s">
        <v>2831</v>
      </c>
      <c r="D998" s="42" t="s">
        <v>208</v>
      </c>
      <c r="E998" s="42" t="s">
        <v>1762</v>
      </c>
      <c r="F998" s="28" t="s">
        <v>2832</v>
      </c>
      <c r="G998" s="28">
        <v>29.0</v>
      </c>
      <c r="H998" s="66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2.75" customHeight="1">
      <c r="A999" s="28" t="s">
        <v>1882</v>
      </c>
      <c r="B999" s="28" t="s">
        <v>165</v>
      </c>
      <c r="C999" s="42" t="s">
        <v>2833</v>
      </c>
      <c r="D999" s="42" t="s">
        <v>198</v>
      </c>
      <c r="E999" s="42" t="s">
        <v>1987</v>
      </c>
      <c r="F999" s="28" t="s">
        <v>1580</v>
      </c>
      <c r="G999" s="28">
        <v>27.3</v>
      </c>
      <c r="H999" s="66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2.75" customHeight="1">
      <c r="A1000" s="28" t="s">
        <v>2834</v>
      </c>
      <c r="B1000" s="28" t="s">
        <v>165</v>
      </c>
      <c r="C1000" s="42" t="s">
        <v>2833</v>
      </c>
      <c r="D1000" s="42" t="s">
        <v>321</v>
      </c>
      <c r="E1000" s="42" t="s">
        <v>162</v>
      </c>
      <c r="F1000" s="28" t="s">
        <v>2835</v>
      </c>
      <c r="G1000" s="28">
        <v>28.0</v>
      </c>
      <c r="H1000" s="66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ht="12.75" customHeight="1">
      <c r="A1001" s="28" t="s">
        <v>2836</v>
      </c>
      <c r="B1001" s="28" t="s">
        <v>165</v>
      </c>
      <c r="C1001" s="42" t="s">
        <v>2833</v>
      </c>
      <c r="D1001" s="42" t="s">
        <v>240</v>
      </c>
      <c r="E1001" s="42" t="s">
        <v>162</v>
      </c>
      <c r="F1001" s="28" t="s">
        <v>1594</v>
      </c>
      <c r="G1001" s="28">
        <v>28.6</v>
      </c>
      <c r="H1001" s="66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ht="12.75" customHeight="1">
      <c r="A1002" s="28" t="s">
        <v>667</v>
      </c>
      <c r="B1002" s="28" t="s">
        <v>159</v>
      </c>
      <c r="C1002" s="42" t="s">
        <v>2837</v>
      </c>
      <c r="D1002" s="42" t="s">
        <v>251</v>
      </c>
      <c r="E1002" s="42" t="s">
        <v>295</v>
      </c>
      <c r="F1002" s="28" t="s">
        <v>2838</v>
      </c>
      <c r="G1002" s="28">
        <v>26.2</v>
      </c>
      <c r="H1002" s="66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ht="12.75" customHeight="1">
      <c r="A1003" s="28" t="s">
        <v>515</v>
      </c>
      <c r="B1003" s="28" t="s">
        <v>165</v>
      </c>
      <c r="C1003" s="42" t="s">
        <v>2839</v>
      </c>
      <c r="D1003" s="42" t="s">
        <v>270</v>
      </c>
      <c r="E1003" s="42" t="s">
        <v>162</v>
      </c>
      <c r="F1003" s="28" t="s">
        <v>2840</v>
      </c>
      <c r="G1003" s="28">
        <v>24.4</v>
      </c>
      <c r="H1003" s="66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ht="12.75" customHeight="1">
      <c r="A1004" s="28" t="s">
        <v>412</v>
      </c>
      <c r="B1004" s="28" t="s">
        <v>219</v>
      </c>
      <c r="C1004" s="42" t="s">
        <v>2839</v>
      </c>
      <c r="D1004" s="42" t="s">
        <v>240</v>
      </c>
      <c r="E1004" s="42" t="s">
        <v>162</v>
      </c>
      <c r="F1004" s="28" t="s">
        <v>2841</v>
      </c>
      <c r="G1004" s="28">
        <v>27.1</v>
      </c>
      <c r="H1004" s="66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ht="12.75" customHeight="1">
      <c r="A1005" s="28" t="s">
        <v>2842</v>
      </c>
      <c r="B1005" s="28" t="s">
        <v>165</v>
      </c>
      <c r="C1005" s="42" t="s">
        <v>2839</v>
      </c>
      <c r="D1005" s="42" t="s">
        <v>235</v>
      </c>
      <c r="E1005" s="42" t="s">
        <v>2843</v>
      </c>
      <c r="F1005" s="28" t="s">
        <v>2844</v>
      </c>
      <c r="G1005" s="28">
        <v>32.2</v>
      </c>
      <c r="H1005" s="66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 ht="12.75" customHeight="1">
      <c r="A1006" s="28" t="s">
        <v>2845</v>
      </c>
      <c r="B1006" s="28" t="s">
        <v>210</v>
      </c>
      <c r="C1006" s="42" t="s">
        <v>2846</v>
      </c>
      <c r="D1006" s="42" t="s">
        <v>708</v>
      </c>
      <c r="E1006" s="42" t="s">
        <v>162</v>
      </c>
      <c r="F1006" s="28" t="s">
        <v>1635</v>
      </c>
      <c r="G1006" s="28">
        <v>23.1</v>
      </c>
      <c r="H1006" s="66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 ht="12.75" customHeight="1">
      <c r="A1007" s="28" t="s">
        <v>2847</v>
      </c>
      <c r="B1007" s="28" t="s">
        <v>165</v>
      </c>
      <c r="C1007" s="42" t="s">
        <v>2848</v>
      </c>
      <c r="D1007" s="42" t="s">
        <v>185</v>
      </c>
      <c r="E1007" s="42" t="s">
        <v>162</v>
      </c>
      <c r="F1007" s="28" t="s">
        <v>2849</v>
      </c>
      <c r="G1007" s="28">
        <v>29.4</v>
      </c>
      <c r="H1007" s="66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 ht="12.75" customHeight="1">
      <c r="A1008" s="28" t="s">
        <v>2850</v>
      </c>
      <c r="B1008" s="28" t="s">
        <v>165</v>
      </c>
      <c r="C1008" s="42" t="s">
        <v>2848</v>
      </c>
      <c r="D1008" s="42" t="s">
        <v>357</v>
      </c>
      <c r="E1008" s="42" t="s">
        <v>162</v>
      </c>
      <c r="F1008" s="28" t="s">
        <v>2851</v>
      </c>
      <c r="G1008" s="28">
        <v>25.0</v>
      </c>
      <c r="H1008" s="66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  <row r="1009" ht="12.75" customHeight="1">
      <c r="A1009" s="28" t="s">
        <v>2852</v>
      </c>
      <c r="B1009" s="28" t="s">
        <v>165</v>
      </c>
      <c r="C1009" s="42" t="s">
        <v>2853</v>
      </c>
      <c r="D1009" s="42" t="s">
        <v>633</v>
      </c>
      <c r="E1009" s="42" t="s">
        <v>255</v>
      </c>
      <c r="F1009" s="28" t="s">
        <v>2854</v>
      </c>
      <c r="G1009" s="28">
        <v>29.9</v>
      </c>
      <c r="H1009" s="66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</row>
    <row r="1010" ht="12.75" customHeight="1">
      <c r="A1010" s="28" t="s">
        <v>614</v>
      </c>
      <c r="B1010" s="28" t="s">
        <v>165</v>
      </c>
      <c r="C1010" s="42" t="s">
        <v>2855</v>
      </c>
      <c r="D1010" s="42" t="s">
        <v>447</v>
      </c>
      <c r="E1010" s="42" t="s">
        <v>156</v>
      </c>
      <c r="F1010" s="28" t="s">
        <v>2856</v>
      </c>
      <c r="G1010" s="28">
        <v>25.6</v>
      </c>
      <c r="H1010" s="66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</row>
    <row r="1011" ht="12.75" customHeight="1">
      <c r="A1011" s="28" t="s">
        <v>583</v>
      </c>
      <c r="B1011" s="28" t="s">
        <v>159</v>
      </c>
      <c r="C1011" s="42" t="s">
        <v>2857</v>
      </c>
      <c r="D1011" s="42" t="s">
        <v>240</v>
      </c>
      <c r="E1011" s="42" t="s">
        <v>587</v>
      </c>
      <c r="F1011" s="28" t="s">
        <v>502</v>
      </c>
      <c r="G1011" s="28">
        <v>30.2</v>
      </c>
      <c r="H1011" s="66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</row>
    <row r="1012" ht="12.75" customHeight="1">
      <c r="A1012" s="28" t="s">
        <v>2858</v>
      </c>
      <c r="B1012" s="28" t="s">
        <v>165</v>
      </c>
      <c r="C1012" s="42" t="s">
        <v>2859</v>
      </c>
      <c r="D1012" s="42" t="s">
        <v>224</v>
      </c>
      <c r="E1012" s="42" t="s">
        <v>1867</v>
      </c>
      <c r="F1012" s="28" t="s">
        <v>2860</v>
      </c>
      <c r="G1012" s="28">
        <v>17.3</v>
      </c>
      <c r="H1012" s="66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</row>
    <row r="1013" ht="12.75" customHeight="1">
      <c r="A1013" s="28" t="s">
        <v>2063</v>
      </c>
      <c r="B1013" s="28" t="s">
        <v>497</v>
      </c>
      <c r="C1013" s="42" t="s">
        <v>2861</v>
      </c>
      <c r="D1013" s="42" t="s">
        <v>939</v>
      </c>
      <c r="E1013" s="42" t="s">
        <v>700</v>
      </c>
      <c r="F1013" s="28" t="s">
        <v>2862</v>
      </c>
      <c r="G1013" s="28">
        <v>28.5</v>
      </c>
      <c r="H1013" s="66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</row>
    <row r="1014" ht="12.75" customHeight="1">
      <c r="A1014" s="28" t="s">
        <v>2063</v>
      </c>
      <c r="B1014" s="28" t="s">
        <v>215</v>
      </c>
      <c r="C1014" s="42" t="s">
        <v>2861</v>
      </c>
      <c r="D1014" s="42" t="s">
        <v>185</v>
      </c>
      <c r="E1014" s="42" t="s">
        <v>700</v>
      </c>
      <c r="F1014" s="28" t="s">
        <v>2863</v>
      </c>
      <c r="G1014" s="28">
        <v>32.3</v>
      </c>
      <c r="H1014" s="66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</row>
    <row r="1015" ht="12.75" customHeight="1">
      <c r="A1015" s="28" t="s">
        <v>2864</v>
      </c>
      <c r="B1015" s="28" t="s">
        <v>210</v>
      </c>
      <c r="C1015" s="42" t="s">
        <v>2865</v>
      </c>
      <c r="D1015" s="42" t="s">
        <v>2866</v>
      </c>
      <c r="E1015" s="42" t="s">
        <v>404</v>
      </c>
      <c r="F1015" s="28" t="s">
        <v>2867</v>
      </c>
      <c r="G1015" s="28">
        <v>18.7</v>
      </c>
      <c r="H1015" s="66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</row>
    <row r="1016" ht="12.75" customHeight="1">
      <c r="A1016" s="28" t="s">
        <v>2868</v>
      </c>
      <c r="B1016" s="28" t="s">
        <v>210</v>
      </c>
      <c r="C1016" s="42" t="s">
        <v>2869</v>
      </c>
      <c r="D1016" s="42" t="s">
        <v>813</v>
      </c>
      <c r="E1016" s="42" t="s">
        <v>162</v>
      </c>
      <c r="F1016" s="28" t="s">
        <v>2870</v>
      </c>
      <c r="G1016" s="28">
        <v>22.1</v>
      </c>
      <c r="H1016" s="66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</row>
    <row r="1017" ht="12.75" customHeight="1">
      <c r="A1017" s="28" t="s">
        <v>2871</v>
      </c>
      <c r="B1017" s="28" t="s">
        <v>165</v>
      </c>
      <c r="C1017" s="42" t="s">
        <v>2872</v>
      </c>
      <c r="D1017" s="42" t="s">
        <v>946</v>
      </c>
      <c r="E1017" s="42" t="s">
        <v>162</v>
      </c>
      <c r="F1017" s="28" t="s">
        <v>2873</v>
      </c>
      <c r="G1017" s="28">
        <v>26.3</v>
      </c>
      <c r="H1017" s="66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</row>
    <row r="1018" ht="12.75" customHeight="1">
      <c r="A1018" s="28" t="s">
        <v>2874</v>
      </c>
      <c r="B1018" s="28" t="s">
        <v>165</v>
      </c>
      <c r="C1018" s="42" t="s">
        <v>2872</v>
      </c>
      <c r="D1018" s="42" t="s">
        <v>141</v>
      </c>
      <c r="E1018" s="42" t="s">
        <v>162</v>
      </c>
      <c r="F1018" s="28" t="s">
        <v>2873</v>
      </c>
      <c r="G1018" s="28">
        <v>26.3</v>
      </c>
      <c r="H1018" s="66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</row>
    <row r="1019" ht="12.75" customHeight="1">
      <c r="A1019" s="28" t="s">
        <v>2875</v>
      </c>
      <c r="B1019" s="28" t="s">
        <v>165</v>
      </c>
      <c r="C1019" s="42" t="s">
        <v>2876</v>
      </c>
      <c r="D1019" s="42" t="s">
        <v>190</v>
      </c>
      <c r="E1019" s="42" t="s">
        <v>653</v>
      </c>
      <c r="F1019" s="28" t="s">
        <v>2877</v>
      </c>
      <c r="G1019" s="28">
        <v>24.0</v>
      </c>
      <c r="H1019" s="66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</row>
    <row r="1020" ht="12.75" customHeight="1">
      <c r="A1020" s="28" t="s">
        <v>911</v>
      </c>
      <c r="B1020" s="28" t="s">
        <v>497</v>
      </c>
      <c r="C1020" s="42" t="s">
        <v>2878</v>
      </c>
      <c r="D1020" s="42" t="s">
        <v>357</v>
      </c>
      <c r="E1020" s="42" t="s">
        <v>670</v>
      </c>
      <c r="F1020" s="28" t="s">
        <v>2879</v>
      </c>
      <c r="G1020" s="28">
        <v>32.6</v>
      </c>
      <c r="H1020" s="66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</row>
    <row r="1021" ht="12.75" customHeight="1">
      <c r="A1021" s="28" t="s">
        <v>2880</v>
      </c>
      <c r="B1021" s="28" t="s">
        <v>165</v>
      </c>
      <c r="C1021" s="42" t="s">
        <v>2881</v>
      </c>
      <c r="D1021" s="42" t="s">
        <v>495</v>
      </c>
      <c r="E1021" s="42" t="s">
        <v>168</v>
      </c>
      <c r="F1021" s="28" t="s">
        <v>2882</v>
      </c>
      <c r="G1021" s="28">
        <v>32.4</v>
      </c>
      <c r="H1021" s="66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</row>
    <row r="1022" ht="12.75" customHeight="1">
      <c r="A1022" s="28" t="s">
        <v>1038</v>
      </c>
      <c r="B1022" s="28" t="s">
        <v>165</v>
      </c>
      <c r="C1022" s="42" t="s">
        <v>2883</v>
      </c>
      <c r="D1022" s="42" t="s">
        <v>976</v>
      </c>
      <c r="E1022" s="42" t="s">
        <v>1593</v>
      </c>
      <c r="F1022" s="28" t="s">
        <v>2884</v>
      </c>
      <c r="G1022" s="28">
        <v>22.8</v>
      </c>
      <c r="H1022" s="66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</row>
    <row r="1023" ht="12.75" customHeight="1">
      <c r="A1023" s="28" t="s">
        <v>2885</v>
      </c>
      <c r="B1023" s="28" t="s">
        <v>165</v>
      </c>
      <c r="C1023" s="42" t="s">
        <v>2886</v>
      </c>
      <c r="D1023" s="42" t="s">
        <v>1749</v>
      </c>
      <c r="E1023" s="42" t="s">
        <v>162</v>
      </c>
      <c r="F1023" s="28" t="s">
        <v>1190</v>
      </c>
      <c r="G1023" s="28">
        <v>30.8</v>
      </c>
      <c r="H1023" s="66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</row>
    <row r="1024" ht="12.75" customHeight="1">
      <c r="A1024" s="28" t="s">
        <v>2887</v>
      </c>
      <c r="B1024" s="28" t="s">
        <v>487</v>
      </c>
      <c r="C1024" s="42" t="s">
        <v>2888</v>
      </c>
      <c r="D1024" s="42" t="s">
        <v>642</v>
      </c>
      <c r="E1024" s="42" t="s">
        <v>2780</v>
      </c>
      <c r="F1024" s="28" t="s">
        <v>2889</v>
      </c>
      <c r="G1024" s="28">
        <v>43.0</v>
      </c>
      <c r="H1024" s="66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</row>
    <row r="1025" ht="12.75" customHeight="1">
      <c r="A1025" s="28" t="s">
        <v>2890</v>
      </c>
      <c r="B1025" s="28" t="s">
        <v>280</v>
      </c>
      <c r="C1025" s="42" t="s">
        <v>2891</v>
      </c>
      <c r="D1025" s="42" t="s">
        <v>240</v>
      </c>
      <c r="E1025" s="42" t="s">
        <v>162</v>
      </c>
      <c r="F1025" s="28" t="s">
        <v>2892</v>
      </c>
      <c r="G1025" s="28">
        <v>40.3</v>
      </c>
      <c r="H1025" s="66"/>
      <c r="I1025" s="42"/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  <c r="Z1025" s="42"/>
    </row>
    <row r="1026" ht="12.75" customHeight="1">
      <c r="A1026" s="28" t="s">
        <v>2893</v>
      </c>
      <c r="B1026" s="28" t="s">
        <v>165</v>
      </c>
      <c r="C1026" s="42" t="s">
        <v>2891</v>
      </c>
      <c r="D1026" s="42" t="s">
        <v>939</v>
      </c>
      <c r="E1026" s="42" t="s">
        <v>2735</v>
      </c>
      <c r="F1026" s="28" t="s">
        <v>2894</v>
      </c>
      <c r="G1026" s="28">
        <v>25.6</v>
      </c>
      <c r="H1026" s="66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</row>
    <row r="1027" ht="12.75" customHeight="1">
      <c r="A1027" s="28" t="s">
        <v>2895</v>
      </c>
      <c r="B1027" s="28" t="s">
        <v>165</v>
      </c>
      <c r="C1027" s="42" t="s">
        <v>2891</v>
      </c>
      <c r="D1027" s="42" t="s">
        <v>633</v>
      </c>
      <c r="E1027" s="42" t="s">
        <v>2735</v>
      </c>
      <c r="F1027" s="28" t="s">
        <v>2896</v>
      </c>
      <c r="G1027" s="28">
        <v>30.7</v>
      </c>
      <c r="H1027" s="66"/>
      <c r="I1027" s="42"/>
      <c r="J1027" s="42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2"/>
      <c r="Z1027" s="42"/>
    </row>
    <row r="1028" ht="12.75" customHeight="1">
      <c r="A1028" s="28" t="s">
        <v>2897</v>
      </c>
      <c r="B1028" s="28" t="s">
        <v>165</v>
      </c>
      <c r="C1028" s="42" t="s">
        <v>2898</v>
      </c>
      <c r="D1028" s="42" t="s">
        <v>2380</v>
      </c>
      <c r="E1028" s="42" t="s">
        <v>162</v>
      </c>
      <c r="F1028" s="28" t="s">
        <v>2899</v>
      </c>
      <c r="G1028" s="28">
        <v>33.1</v>
      </c>
      <c r="H1028" s="66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</row>
    <row r="1029" ht="12.75" customHeight="1">
      <c r="A1029" s="28" t="s">
        <v>2900</v>
      </c>
      <c r="B1029" s="28" t="s">
        <v>165</v>
      </c>
      <c r="C1029" s="42" t="s">
        <v>2898</v>
      </c>
      <c r="D1029" s="42" t="s">
        <v>505</v>
      </c>
      <c r="E1029" s="42" t="s">
        <v>316</v>
      </c>
      <c r="F1029" s="28" t="s">
        <v>2901</v>
      </c>
      <c r="G1029" s="28">
        <v>36.4</v>
      </c>
      <c r="H1029" s="66"/>
      <c r="I1029" s="42"/>
      <c r="J1029" s="42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</row>
    <row r="1030" ht="12.75" customHeight="1">
      <c r="A1030" s="28" t="s">
        <v>869</v>
      </c>
      <c r="B1030" s="28" t="s">
        <v>159</v>
      </c>
      <c r="C1030" s="42" t="s">
        <v>2902</v>
      </c>
      <c r="D1030" s="42" t="s">
        <v>939</v>
      </c>
      <c r="E1030" s="42" t="s">
        <v>255</v>
      </c>
      <c r="F1030" s="28" t="s">
        <v>1207</v>
      </c>
      <c r="G1030" s="28">
        <v>28.4</v>
      </c>
      <c r="H1030" s="66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</row>
    <row r="1031" ht="12.75" customHeight="1">
      <c r="A1031" s="28" t="s">
        <v>919</v>
      </c>
      <c r="B1031" s="28" t="s">
        <v>210</v>
      </c>
      <c r="C1031" s="42" t="s">
        <v>2903</v>
      </c>
      <c r="D1031" s="42" t="s">
        <v>228</v>
      </c>
      <c r="E1031" s="42" t="s">
        <v>162</v>
      </c>
      <c r="F1031" s="28" t="s">
        <v>1262</v>
      </c>
      <c r="G1031" s="28">
        <v>21.7</v>
      </c>
      <c r="H1031" s="66"/>
      <c r="I1031" s="42"/>
      <c r="J1031" s="42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</row>
    <row r="1032" ht="12.75" customHeight="1">
      <c r="A1032" s="28" t="s">
        <v>2904</v>
      </c>
      <c r="B1032" s="28" t="s">
        <v>280</v>
      </c>
      <c r="C1032" s="42" t="s">
        <v>2905</v>
      </c>
      <c r="D1032" s="42" t="s">
        <v>354</v>
      </c>
      <c r="E1032" s="42" t="s">
        <v>322</v>
      </c>
      <c r="F1032" s="28" t="s">
        <v>2906</v>
      </c>
      <c r="G1032" s="28">
        <v>42.9</v>
      </c>
      <c r="H1032" s="66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</row>
    <row r="1033" ht="12.75" customHeight="1">
      <c r="A1033" s="28" t="s">
        <v>580</v>
      </c>
      <c r="B1033" s="28" t="s">
        <v>159</v>
      </c>
      <c r="C1033" s="42" t="s">
        <v>2907</v>
      </c>
      <c r="D1033" s="42" t="s">
        <v>270</v>
      </c>
      <c r="E1033" s="42" t="s">
        <v>511</v>
      </c>
      <c r="F1033" s="28" t="s">
        <v>2873</v>
      </c>
      <c r="G1033" s="28">
        <v>27.0</v>
      </c>
      <c r="H1033" s="66"/>
      <c r="I1033" s="42"/>
      <c r="J1033" s="42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  <c r="Z1033" s="42"/>
    </row>
    <row r="1034" ht="12.75" customHeight="1">
      <c r="A1034" s="28" t="s">
        <v>1038</v>
      </c>
      <c r="B1034" s="28" t="s">
        <v>165</v>
      </c>
      <c r="C1034" s="42" t="s">
        <v>2908</v>
      </c>
      <c r="D1034" s="42" t="s">
        <v>198</v>
      </c>
      <c r="E1034" s="42" t="s">
        <v>2909</v>
      </c>
      <c r="F1034" s="28" t="s">
        <v>2910</v>
      </c>
      <c r="G1034" s="28">
        <v>22.2</v>
      </c>
      <c r="H1034" s="66"/>
      <c r="I1034" s="42"/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</row>
    <row r="1035" ht="12.75" customHeight="1">
      <c r="A1035" s="28" t="s">
        <v>2911</v>
      </c>
      <c r="B1035" s="28" t="s">
        <v>876</v>
      </c>
      <c r="C1035" s="42" t="s">
        <v>2912</v>
      </c>
      <c r="D1035" s="42" t="s">
        <v>1631</v>
      </c>
      <c r="E1035" s="42" t="s">
        <v>1412</v>
      </c>
      <c r="F1035" s="28" t="s">
        <v>2913</v>
      </c>
      <c r="G1035" s="28">
        <v>40.2</v>
      </c>
      <c r="H1035" s="66"/>
      <c r="I1035" s="42"/>
      <c r="J1035" s="42"/>
      <c r="K1035" s="42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  <c r="Y1035" s="42"/>
      <c r="Z1035" s="42"/>
    </row>
    <row r="1036" ht="12.75" customHeight="1">
      <c r="A1036" s="28" t="s">
        <v>2914</v>
      </c>
      <c r="B1036" s="28" t="s">
        <v>210</v>
      </c>
      <c r="C1036" s="42" t="s">
        <v>2915</v>
      </c>
      <c r="D1036" s="42" t="s">
        <v>995</v>
      </c>
      <c r="E1036" s="42" t="s">
        <v>650</v>
      </c>
      <c r="F1036" s="28" t="s">
        <v>2536</v>
      </c>
      <c r="G1036" s="28">
        <v>20.7</v>
      </c>
      <c r="H1036" s="66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</row>
    <row r="1037" ht="12.75" customHeight="1">
      <c r="A1037" s="28" t="s">
        <v>206</v>
      </c>
      <c r="B1037" s="28" t="s">
        <v>210</v>
      </c>
      <c r="C1037" s="42" t="s">
        <v>2916</v>
      </c>
      <c r="D1037" s="42" t="s">
        <v>902</v>
      </c>
      <c r="E1037" s="42" t="s">
        <v>156</v>
      </c>
      <c r="F1037" s="28" t="s">
        <v>2740</v>
      </c>
      <c r="G1037" s="28">
        <v>19.6</v>
      </c>
      <c r="H1037" s="66"/>
      <c r="I1037" s="42"/>
      <c r="J1037" s="42"/>
      <c r="K1037" s="42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  <c r="Z1037" s="42"/>
    </row>
    <row r="1038" ht="12.75" customHeight="1">
      <c r="A1038" s="28" t="s">
        <v>206</v>
      </c>
      <c r="B1038" s="28" t="s">
        <v>165</v>
      </c>
      <c r="C1038" s="42" t="s">
        <v>2917</v>
      </c>
      <c r="D1038" s="42" t="s">
        <v>354</v>
      </c>
      <c r="E1038" s="42" t="s">
        <v>156</v>
      </c>
      <c r="F1038" s="28" t="s">
        <v>2918</v>
      </c>
      <c r="G1038" s="28">
        <v>19.6</v>
      </c>
      <c r="H1038" s="66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</row>
    <row r="1039" ht="12.75" customHeight="1">
      <c r="A1039" s="28" t="s">
        <v>218</v>
      </c>
      <c r="B1039" s="28" t="s">
        <v>159</v>
      </c>
      <c r="C1039" s="42" t="s">
        <v>2917</v>
      </c>
      <c r="D1039" s="42" t="s">
        <v>171</v>
      </c>
      <c r="E1039" s="42" t="s">
        <v>156</v>
      </c>
      <c r="F1039" s="28" t="s">
        <v>2919</v>
      </c>
      <c r="G1039" s="28">
        <v>26.6</v>
      </c>
      <c r="H1039" s="66"/>
      <c r="I1039" s="42"/>
      <c r="J1039" s="42"/>
      <c r="K1039" s="42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  <c r="Z1039" s="42"/>
    </row>
    <row r="1040" ht="12.75" customHeight="1">
      <c r="A1040" s="28" t="s">
        <v>2920</v>
      </c>
      <c r="B1040" s="28" t="s">
        <v>210</v>
      </c>
      <c r="C1040" s="42" t="s">
        <v>2921</v>
      </c>
      <c r="D1040" s="42" t="s">
        <v>813</v>
      </c>
      <c r="E1040" s="42" t="s">
        <v>650</v>
      </c>
      <c r="F1040" s="28" t="s">
        <v>2922</v>
      </c>
      <c r="G1040" s="28">
        <v>24.0</v>
      </c>
      <c r="H1040" s="66"/>
      <c r="I1040" s="42"/>
      <c r="J1040" s="4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</row>
    <row r="1041" ht="12.75" customHeight="1">
      <c r="A1041" s="28" t="s">
        <v>523</v>
      </c>
      <c r="B1041" s="28" t="s">
        <v>159</v>
      </c>
      <c r="C1041" s="42" t="s">
        <v>2923</v>
      </c>
      <c r="D1041" s="42" t="s">
        <v>198</v>
      </c>
      <c r="E1041" s="42" t="s">
        <v>650</v>
      </c>
      <c r="F1041" s="28" t="s">
        <v>2924</v>
      </c>
      <c r="G1041" s="28">
        <v>24.6</v>
      </c>
      <c r="H1041" s="66"/>
      <c r="I1041" s="42"/>
      <c r="J1041" s="42"/>
      <c r="K1041" s="42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  <c r="Y1041" s="42"/>
      <c r="Z1041" s="42"/>
    </row>
    <row r="1042" ht="12.75" customHeight="1">
      <c r="A1042" s="28" t="s">
        <v>2925</v>
      </c>
      <c r="B1042" s="28" t="s">
        <v>165</v>
      </c>
      <c r="C1042" s="42" t="s">
        <v>2923</v>
      </c>
      <c r="D1042" s="42" t="s">
        <v>286</v>
      </c>
      <c r="E1042" s="42" t="s">
        <v>650</v>
      </c>
      <c r="F1042" s="28" t="s">
        <v>2926</v>
      </c>
      <c r="G1042" s="28">
        <v>23.1</v>
      </c>
      <c r="H1042" s="66"/>
      <c r="I1042" s="42"/>
      <c r="J1042" s="4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</row>
    <row r="1043" ht="12.75" customHeight="1">
      <c r="A1043" s="28" t="s">
        <v>231</v>
      </c>
      <c r="B1043" s="28" t="s">
        <v>165</v>
      </c>
      <c r="C1043" s="42" t="s">
        <v>2927</v>
      </c>
      <c r="D1043" s="42" t="s">
        <v>454</v>
      </c>
      <c r="E1043" s="42" t="s">
        <v>1006</v>
      </c>
      <c r="F1043" s="28" t="s">
        <v>2928</v>
      </c>
      <c r="G1043" s="28">
        <v>23.7</v>
      </c>
      <c r="H1043" s="66"/>
      <c r="I1043" s="42"/>
      <c r="J1043" s="42"/>
      <c r="K1043" s="42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  <c r="Y1043" s="42"/>
      <c r="Z1043" s="42"/>
    </row>
    <row r="1044" ht="12.75" customHeight="1">
      <c r="A1044" s="28" t="s">
        <v>907</v>
      </c>
      <c r="B1044" s="28" t="s">
        <v>159</v>
      </c>
      <c r="C1044" s="42" t="s">
        <v>2929</v>
      </c>
      <c r="D1044" s="42" t="s">
        <v>240</v>
      </c>
      <c r="E1044" s="42" t="s">
        <v>1165</v>
      </c>
      <c r="F1044" s="28" t="s">
        <v>2930</v>
      </c>
      <c r="G1044" s="28">
        <v>30.5</v>
      </c>
      <c r="H1044" s="66"/>
      <c r="I1044" s="42"/>
      <c r="J1044" s="4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</row>
    <row r="1045" ht="12.75" customHeight="1">
      <c r="A1045" s="28" t="s">
        <v>2931</v>
      </c>
      <c r="B1045" s="28" t="s">
        <v>210</v>
      </c>
      <c r="C1045" s="42" t="s">
        <v>2929</v>
      </c>
      <c r="D1045" s="42" t="s">
        <v>2932</v>
      </c>
      <c r="E1045" s="42" t="s">
        <v>172</v>
      </c>
      <c r="F1045" s="28" t="s">
        <v>2933</v>
      </c>
      <c r="G1045" s="28">
        <v>27.1</v>
      </c>
      <c r="H1045" s="66"/>
      <c r="I1045" s="42"/>
      <c r="J1045" s="42"/>
      <c r="K1045" s="42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2"/>
      <c r="Z1045" s="42"/>
    </row>
    <row r="1046" ht="12.75" customHeight="1">
      <c r="A1046" s="28" t="s">
        <v>2934</v>
      </c>
      <c r="B1046" s="28" t="s">
        <v>165</v>
      </c>
      <c r="C1046" s="42" t="s">
        <v>2935</v>
      </c>
      <c r="D1046" s="42" t="s">
        <v>224</v>
      </c>
      <c r="E1046" s="42" t="s">
        <v>1219</v>
      </c>
      <c r="F1046" s="28" t="s">
        <v>2936</v>
      </c>
      <c r="G1046" s="28">
        <v>23.9</v>
      </c>
      <c r="H1046" s="66"/>
      <c r="I1046" s="42"/>
      <c r="J1046" s="42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</row>
    <row r="1047" ht="12.75" customHeight="1">
      <c r="A1047" s="28" t="s">
        <v>2937</v>
      </c>
      <c r="B1047" s="28" t="s">
        <v>210</v>
      </c>
      <c r="C1047" s="42" t="s">
        <v>2938</v>
      </c>
      <c r="D1047" s="42" t="s">
        <v>2939</v>
      </c>
      <c r="E1047" s="42" t="s">
        <v>162</v>
      </c>
      <c r="F1047" s="28" t="s">
        <v>2940</v>
      </c>
      <c r="G1047" s="28">
        <v>21.1</v>
      </c>
      <c r="H1047" s="66"/>
      <c r="I1047" s="42"/>
      <c r="J1047" s="42"/>
      <c r="K1047" s="42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2"/>
      <c r="Z1047" s="42"/>
    </row>
    <row r="1048" ht="12.75" customHeight="1">
      <c r="A1048" s="28" t="s">
        <v>449</v>
      </c>
      <c r="B1048" s="28" t="s">
        <v>165</v>
      </c>
      <c r="C1048" s="42" t="s">
        <v>2941</v>
      </c>
      <c r="D1048" s="42" t="s">
        <v>270</v>
      </c>
      <c r="E1048" s="42" t="s">
        <v>156</v>
      </c>
      <c r="F1048" s="28" t="s">
        <v>2942</v>
      </c>
      <c r="G1048" s="28">
        <v>24.3</v>
      </c>
      <c r="H1048" s="66"/>
      <c r="I1048" s="42"/>
      <c r="J1048" s="42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  <c r="Z1048" s="42"/>
    </row>
    <row r="1049" ht="12.75" customHeight="1">
      <c r="A1049" s="28" t="s">
        <v>284</v>
      </c>
      <c r="B1049" s="28" t="s">
        <v>215</v>
      </c>
      <c r="C1049" s="42" t="s">
        <v>2941</v>
      </c>
      <c r="D1049" s="42" t="s">
        <v>401</v>
      </c>
      <c r="E1049" s="42" t="s">
        <v>162</v>
      </c>
      <c r="F1049" s="28" t="s">
        <v>2943</v>
      </c>
      <c r="G1049" s="28">
        <v>28.0</v>
      </c>
      <c r="H1049" s="66"/>
      <c r="I1049" s="42"/>
      <c r="J1049" s="42"/>
      <c r="K1049" s="42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  <c r="Y1049" s="42"/>
      <c r="Z1049" s="42"/>
    </row>
    <row r="1050" ht="12.75" customHeight="1">
      <c r="A1050" s="28" t="s">
        <v>284</v>
      </c>
      <c r="B1050" s="28" t="s">
        <v>262</v>
      </c>
      <c r="C1050" s="42" t="s">
        <v>2941</v>
      </c>
      <c r="D1050" s="42" t="s">
        <v>665</v>
      </c>
      <c r="E1050" s="42" t="s">
        <v>162</v>
      </c>
      <c r="F1050" s="28" t="s">
        <v>2944</v>
      </c>
      <c r="G1050" s="28">
        <v>25.9</v>
      </c>
      <c r="H1050" s="66"/>
      <c r="I1050" s="42"/>
      <c r="J1050" s="42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  <c r="Z1050" s="42"/>
    </row>
    <row r="1051" ht="12.75" customHeight="1">
      <c r="A1051" s="28" t="s">
        <v>2945</v>
      </c>
      <c r="B1051" s="28" t="s">
        <v>165</v>
      </c>
      <c r="C1051" s="42" t="s">
        <v>2941</v>
      </c>
      <c r="D1051" s="42" t="s">
        <v>454</v>
      </c>
      <c r="E1051" s="42" t="s">
        <v>162</v>
      </c>
      <c r="F1051" s="28" t="s">
        <v>2946</v>
      </c>
      <c r="G1051" s="28">
        <v>22.6</v>
      </c>
      <c r="H1051" s="66"/>
      <c r="I1051" s="42"/>
      <c r="J1051" s="42"/>
      <c r="K1051" s="42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</row>
    <row r="1052" ht="12.75" customHeight="1">
      <c r="A1052" s="28" t="s">
        <v>907</v>
      </c>
      <c r="B1052" s="28" t="s">
        <v>165</v>
      </c>
      <c r="C1052" s="42" t="s">
        <v>2947</v>
      </c>
      <c r="D1052" s="42" t="s">
        <v>1426</v>
      </c>
      <c r="E1052" s="42" t="s">
        <v>1183</v>
      </c>
      <c r="F1052" s="28" t="s">
        <v>2948</v>
      </c>
      <c r="G1052" s="28">
        <v>36.7</v>
      </c>
      <c r="H1052" s="66"/>
      <c r="I1052" s="42"/>
      <c r="J1052" s="42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  <c r="Z1052" s="42"/>
    </row>
    <row r="1053" ht="12.75" customHeight="1">
      <c r="A1053" s="28" t="s">
        <v>601</v>
      </c>
      <c r="B1053" s="28" t="s">
        <v>219</v>
      </c>
      <c r="C1053" s="42" t="s">
        <v>2949</v>
      </c>
      <c r="D1053" s="42" t="s">
        <v>321</v>
      </c>
      <c r="E1053" s="42" t="s">
        <v>162</v>
      </c>
      <c r="F1053" s="28" t="s">
        <v>2950</v>
      </c>
      <c r="G1053" s="28">
        <v>30.9</v>
      </c>
      <c r="H1053" s="66"/>
      <c r="I1053" s="42"/>
      <c r="J1053" s="42"/>
      <c r="K1053" s="42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2"/>
      <c r="Z1053" s="42"/>
    </row>
    <row r="1054" ht="12.75" customHeight="1">
      <c r="A1054" s="28" t="s">
        <v>2951</v>
      </c>
      <c r="B1054" s="28" t="s">
        <v>210</v>
      </c>
      <c r="C1054" s="42" t="s">
        <v>2952</v>
      </c>
      <c r="D1054" s="42" t="s">
        <v>886</v>
      </c>
      <c r="E1054" s="42" t="s">
        <v>362</v>
      </c>
      <c r="F1054" s="28" t="s">
        <v>2953</v>
      </c>
      <c r="G1054" s="28">
        <v>23.3</v>
      </c>
      <c r="H1054" s="66"/>
      <c r="I1054" s="42"/>
      <c r="J1054" s="42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</row>
    <row r="1055" ht="12.75" customHeight="1">
      <c r="A1055" s="28" t="s">
        <v>2954</v>
      </c>
      <c r="B1055" s="28" t="s">
        <v>165</v>
      </c>
      <c r="C1055" s="42" t="s">
        <v>2952</v>
      </c>
      <c r="D1055" s="42" t="s">
        <v>1889</v>
      </c>
      <c r="E1055" s="42" t="s">
        <v>362</v>
      </c>
      <c r="F1055" s="28" t="s">
        <v>2840</v>
      </c>
      <c r="G1055" s="28">
        <v>24.4</v>
      </c>
      <c r="H1055" s="66"/>
      <c r="I1055" s="42"/>
      <c r="J1055" s="42"/>
      <c r="K1055" s="42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2"/>
      <c r="Z1055" s="42"/>
    </row>
    <row r="1056" ht="12.75" customHeight="1">
      <c r="A1056" s="28" t="s">
        <v>2955</v>
      </c>
      <c r="B1056" s="28" t="s">
        <v>210</v>
      </c>
      <c r="C1056" s="42" t="s">
        <v>2952</v>
      </c>
      <c r="D1056" s="42" t="s">
        <v>630</v>
      </c>
      <c r="E1056" s="42" t="s">
        <v>362</v>
      </c>
      <c r="F1056" s="28" t="s">
        <v>2101</v>
      </c>
      <c r="G1056" s="28">
        <v>22.3</v>
      </c>
      <c r="H1056" s="66"/>
      <c r="I1056" s="42"/>
      <c r="J1056" s="42"/>
      <c r="K1056" s="42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  <c r="Z1056" s="42"/>
    </row>
    <row r="1057" ht="12.75" customHeight="1">
      <c r="A1057" s="28" t="s">
        <v>2956</v>
      </c>
      <c r="B1057" s="28" t="s">
        <v>210</v>
      </c>
      <c r="C1057" s="42" t="s">
        <v>2952</v>
      </c>
      <c r="D1057" s="42" t="s">
        <v>547</v>
      </c>
      <c r="E1057" s="42" t="s">
        <v>362</v>
      </c>
      <c r="F1057" s="28" t="s">
        <v>2957</v>
      </c>
      <c r="G1057" s="28">
        <v>21.0</v>
      </c>
      <c r="H1057" s="66"/>
      <c r="I1057" s="42"/>
      <c r="J1057" s="42"/>
      <c r="K1057" s="42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  <c r="X1057" s="42"/>
      <c r="Y1057" s="42"/>
      <c r="Z1057" s="42"/>
    </row>
    <row r="1058" ht="12.75" customHeight="1">
      <c r="A1058" s="28" t="s">
        <v>2958</v>
      </c>
      <c r="B1058" s="28" t="s">
        <v>165</v>
      </c>
      <c r="C1058" s="42" t="s">
        <v>2952</v>
      </c>
      <c r="D1058" s="42" t="s">
        <v>669</v>
      </c>
      <c r="E1058" s="42" t="s">
        <v>362</v>
      </c>
      <c r="F1058" s="28" t="s">
        <v>2959</v>
      </c>
      <c r="G1058" s="28">
        <v>21.3</v>
      </c>
      <c r="H1058" s="66"/>
      <c r="I1058" s="42"/>
      <c r="J1058" s="42"/>
      <c r="K1058" s="42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  <c r="Z1058" s="42"/>
    </row>
    <row r="1059" ht="12.75" customHeight="1">
      <c r="A1059" s="28" t="s">
        <v>2960</v>
      </c>
      <c r="B1059" s="28" t="s">
        <v>165</v>
      </c>
      <c r="C1059" s="42" t="s">
        <v>2961</v>
      </c>
      <c r="D1059" s="42" t="s">
        <v>224</v>
      </c>
      <c r="E1059" s="42" t="s">
        <v>1554</v>
      </c>
      <c r="F1059" s="28" t="s">
        <v>2962</v>
      </c>
      <c r="G1059" s="28">
        <v>26.0</v>
      </c>
      <c r="H1059" s="66"/>
      <c r="I1059" s="42"/>
      <c r="J1059" s="42"/>
      <c r="K1059" s="42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  <c r="Y1059" s="42"/>
      <c r="Z1059" s="42"/>
    </row>
    <row r="1060" ht="12.75" customHeight="1">
      <c r="A1060" s="28" t="s">
        <v>183</v>
      </c>
      <c r="B1060" s="28" t="s">
        <v>159</v>
      </c>
      <c r="C1060" s="42" t="s">
        <v>2963</v>
      </c>
      <c r="D1060" s="42" t="s">
        <v>2964</v>
      </c>
      <c r="E1060" s="42" t="s">
        <v>887</v>
      </c>
      <c r="F1060" s="28" t="s">
        <v>2965</v>
      </c>
      <c r="G1060" s="28">
        <v>26.0</v>
      </c>
      <c r="H1060" s="66"/>
      <c r="I1060" s="42"/>
      <c r="J1060" s="42"/>
      <c r="K1060" s="42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  <c r="Z1060" s="42"/>
    </row>
    <row r="1061" ht="12.75" customHeight="1">
      <c r="A1061" s="28" t="s">
        <v>2966</v>
      </c>
      <c r="B1061" s="28" t="s">
        <v>165</v>
      </c>
      <c r="C1061" s="42" t="s">
        <v>2967</v>
      </c>
      <c r="D1061" s="42" t="s">
        <v>240</v>
      </c>
      <c r="E1061" s="42" t="s">
        <v>653</v>
      </c>
      <c r="F1061" s="28" t="s">
        <v>2968</v>
      </c>
      <c r="G1061" s="28">
        <v>26.4</v>
      </c>
      <c r="H1061" s="66"/>
      <c r="I1061" s="42"/>
      <c r="J1061" s="42"/>
      <c r="K1061" s="42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  <c r="Y1061" s="42"/>
      <c r="Z1061" s="42"/>
    </row>
    <row r="1062" ht="12.75" customHeight="1">
      <c r="A1062" s="28" t="s">
        <v>1098</v>
      </c>
      <c r="B1062" s="28" t="s">
        <v>602</v>
      </c>
      <c r="C1062" s="42" t="s">
        <v>2969</v>
      </c>
      <c r="D1062" s="42" t="s">
        <v>522</v>
      </c>
      <c r="E1062" s="42" t="s">
        <v>559</v>
      </c>
      <c r="F1062" s="28" t="s">
        <v>2970</v>
      </c>
      <c r="G1062" s="28">
        <v>33.9</v>
      </c>
      <c r="H1062" s="66"/>
      <c r="I1062" s="42"/>
      <c r="J1062" s="42"/>
      <c r="K1062" s="42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</row>
    <row r="1063" ht="12.75" customHeight="1">
      <c r="A1063" s="28" t="s">
        <v>960</v>
      </c>
      <c r="B1063" s="28" t="s">
        <v>497</v>
      </c>
      <c r="C1063" s="42" t="s">
        <v>2971</v>
      </c>
      <c r="D1063" s="42" t="s">
        <v>1314</v>
      </c>
      <c r="E1063" s="42" t="s">
        <v>1035</v>
      </c>
      <c r="F1063" s="28" t="s">
        <v>2972</v>
      </c>
      <c r="G1063" s="28">
        <v>27.5</v>
      </c>
      <c r="H1063" s="66"/>
      <c r="I1063" s="42"/>
      <c r="J1063" s="42"/>
      <c r="K1063" s="42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  <c r="Y1063" s="42"/>
      <c r="Z1063" s="42"/>
    </row>
    <row r="1064" ht="12.75" customHeight="1">
      <c r="A1064" s="28" t="s">
        <v>2973</v>
      </c>
      <c r="B1064" s="28" t="s">
        <v>165</v>
      </c>
      <c r="C1064" s="42" t="s">
        <v>2974</v>
      </c>
      <c r="D1064" s="42" t="s">
        <v>224</v>
      </c>
      <c r="E1064" s="42" t="s">
        <v>162</v>
      </c>
      <c r="F1064" s="28" t="s">
        <v>2370</v>
      </c>
      <c r="G1064" s="28">
        <v>26.7</v>
      </c>
      <c r="H1064" s="66"/>
      <c r="I1064" s="42"/>
      <c r="J1064" s="42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  <c r="Z1064" s="42"/>
    </row>
    <row r="1065" ht="12.75" customHeight="1">
      <c r="A1065" s="28" t="s">
        <v>466</v>
      </c>
      <c r="B1065" s="28" t="s">
        <v>159</v>
      </c>
      <c r="C1065" s="42" t="s">
        <v>2975</v>
      </c>
      <c r="D1065" s="42" t="s">
        <v>2012</v>
      </c>
      <c r="E1065" s="42" t="s">
        <v>1572</v>
      </c>
      <c r="F1065" s="28" t="s">
        <v>2849</v>
      </c>
      <c r="G1065" s="28">
        <v>30.2</v>
      </c>
      <c r="H1065" s="66"/>
      <c r="I1065" s="42"/>
      <c r="J1065" s="42"/>
      <c r="K1065" s="42"/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  <c r="W1065" s="42"/>
      <c r="X1065" s="42"/>
      <c r="Y1065" s="42"/>
      <c r="Z1065" s="42"/>
    </row>
    <row r="1066" ht="12.75" customHeight="1">
      <c r="A1066" s="28" t="s">
        <v>2976</v>
      </c>
      <c r="B1066" s="28" t="s">
        <v>165</v>
      </c>
      <c r="C1066" s="42" t="s">
        <v>2977</v>
      </c>
      <c r="D1066" s="42" t="s">
        <v>2022</v>
      </c>
      <c r="E1066" s="42" t="s">
        <v>974</v>
      </c>
      <c r="F1066" s="28" t="s">
        <v>1894</v>
      </c>
      <c r="G1066" s="28">
        <v>36.6</v>
      </c>
      <c r="H1066" s="66"/>
      <c r="I1066" s="42"/>
      <c r="J1066" s="42"/>
      <c r="K1066" s="42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  <c r="Z1066" s="42"/>
    </row>
    <row r="1067" ht="12.75" customHeight="1">
      <c r="A1067" s="28" t="s">
        <v>2978</v>
      </c>
      <c r="B1067" s="28" t="s">
        <v>280</v>
      </c>
      <c r="C1067" s="42" t="s">
        <v>2979</v>
      </c>
      <c r="D1067" s="42" t="s">
        <v>1583</v>
      </c>
      <c r="E1067" s="42" t="s">
        <v>489</v>
      </c>
      <c r="F1067" s="28" t="s">
        <v>1725</v>
      </c>
      <c r="G1067" s="28">
        <v>42.9</v>
      </c>
      <c r="H1067" s="66"/>
      <c r="I1067" s="42"/>
      <c r="J1067" s="42"/>
      <c r="K1067" s="42"/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  <c r="W1067" s="42"/>
      <c r="X1067" s="42"/>
      <c r="Y1067" s="42"/>
      <c r="Z1067" s="42"/>
    </row>
    <row r="1068" ht="12.75" customHeight="1">
      <c r="A1068" s="28" t="s">
        <v>636</v>
      </c>
      <c r="B1068" s="28" t="s">
        <v>159</v>
      </c>
      <c r="C1068" s="42" t="s">
        <v>2980</v>
      </c>
      <c r="D1068" s="42" t="s">
        <v>240</v>
      </c>
      <c r="E1068" s="42" t="s">
        <v>2981</v>
      </c>
      <c r="F1068" s="28" t="s">
        <v>645</v>
      </c>
      <c r="G1068" s="28">
        <v>25.9</v>
      </c>
      <c r="H1068" s="66"/>
      <c r="I1068" s="42"/>
      <c r="J1068" s="42"/>
      <c r="K1068" s="42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  <c r="Z1068" s="42"/>
    </row>
    <row r="1069" ht="12.75" customHeight="1">
      <c r="A1069" s="28" t="s">
        <v>2063</v>
      </c>
      <c r="B1069" s="28" t="s">
        <v>602</v>
      </c>
      <c r="C1069" s="42" t="s">
        <v>2980</v>
      </c>
      <c r="D1069" s="42" t="s">
        <v>955</v>
      </c>
      <c r="E1069" s="42" t="s">
        <v>2982</v>
      </c>
      <c r="F1069" s="28" t="s">
        <v>2192</v>
      </c>
      <c r="G1069" s="28">
        <v>26.9</v>
      </c>
      <c r="H1069" s="66"/>
      <c r="I1069" s="42"/>
      <c r="J1069" s="42"/>
      <c r="K1069" s="42"/>
      <c r="L1069" s="42"/>
      <c r="M1069" s="42"/>
      <c r="N1069" s="42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/>
      <c r="Y1069" s="42"/>
      <c r="Z1069" s="42"/>
    </row>
    <row r="1070" ht="12.75" customHeight="1">
      <c r="A1070" s="28" t="s">
        <v>2063</v>
      </c>
      <c r="B1070" s="28" t="s">
        <v>159</v>
      </c>
      <c r="C1070" s="42" t="s">
        <v>2980</v>
      </c>
      <c r="D1070" s="42" t="s">
        <v>1142</v>
      </c>
      <c r="E1070" s="42" t="s">
        <v>2982</v>
      </c>
      <c r="F1070" s="28" t="s">
        <v>2841</v>
      </c>
      <c r="G1070" s="28">
        <v>27.1</v>
      </c>
      <c r="H1070" s="66"/>
      <c r="I1070" s="42"/>
      <c r="J1070" s="42"/>
      <c r="K1070" s="42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</row>
    <row r="1071" ht="12.75" customHeight="1">
      <c r="A1071" s="28" t="s">
        <v>2983</v>
      </c>
      <c r="B1071" s="28" t="s">
        <v>165</v>
      </c>
      <c r="C1071" s="42" t="s">
        <v>2980</v>
      </c>
      <c r="D1071" s="42" t="s">
        <v>198</v>
      </c>
      <c r="E1071" s="42" t="s">
        <v>162</v>
      </c>
      <c r="F1071" s="28" t="s">
        <v>2984</v>
      </c>
      <c r="G1071" s="28">
        <v>33.1</v>
      </c>
      <c r="H1071" s="66"/>
      <c r="I1071" s="42"/>
      <c r="J1071" s="42"/>
      <c r="K1071" s="42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</row>
    <row r="1072" ht="12.75" customHeight="1">
      <c r="A1072" s="28" t="s">
        <v>2985</v>
      </c>
      <c r="B1072" s="28" t="s">
        <v>319</v>
      </c>
      <c r="C1072" s="42" t="s">
        <v>2980</v>
      </c>
      <c r="D1072" s="42" t="s">
        <v>240</v>
      </c>
      <c r="E1072" s="42" t="s">
        <v>2986</v>
      </c>
      <c r="F1072" s="28" t="s">
        <v>2987</v>
      </c>
      <c r="G1072" s="28">
        <v>35.4</v>
      </c>
      <c r="H1072" s="66"/>
      <c r="I1072" s="42"/>
      <c r="J1072" s="42"/>
      <c r="K1072" s="42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</row>
    <row r="1073" ht="12.75" customHeight="1">
      <c r="A1073" s="28" t="s">
        <v>2988</v>
      </c>
      <c r="B1073" s="28" t="s">
        <v>165</v>
      </c>
      <c r="C1073" s="42" t="s">
        <v>2980</v>
      </c>
      <c r="D1073" s="42" t="s">
        <v>185</v>
      </c>
      <c r="E1073" s="42" t="s">
        <v>378</v>
      </c>
      <c r="F1073" s="28" t="s">
        <v>2989</v>
      </c>
      <c r="G1073" s="28">
        <v>28.2</v>
      </c>
      <c r="H1073" s="66"/>
      <c r="I1073" s="42"/>
      <c r="J1073" s="42"/>
      <c r="K1073" s="42"/>
      <c r="L1073" s="42"/>
      <c r="M1073" s="42"/>
      <c r="N1073" s="42"/>
      <c r="O1073" s="42"/>
      <c r="P1073" s="42"/>
      <c r="Q1073" s="42"/>
      <c r="R1073" s="42"/>
      <c r="S1073" s="42"/>
      <c r="T1073" s="42"/>
      <c r="U1073" s="42"/>
      <c r="V1073" s="42"/>
      <c r="W1073" s="42"/>
      <c r="X1073" s="42"/>
      <c r="Y1073" s="42"/>
      <c r="Z1073" s="42"/>
    </row>
    <row r="1074" ht="12.75" customHeight="1">
      <c r="A1074" s="28" t="s">
        <v>2990</v>
      </c>
      <c r="B1074" s="28" t="s">
        <v>165</v>
      </c>
      <c r="C1074" s="42" t="s">
        <v>2991</v>
      </c>
      <c r="D1074" s="42" t="s">
        <v>1153</v>
      </c>
      <c r="E1074" s="42" t="s">
        <v>1436</v>
      </c>
      <c r="F1074" s="28" t="s">
        <v>2992</v>
      </c>
      <c r="G1074" s="28">
        <v>26.1</v>
      </c>
      <c r="H1074" s="66"/>
      <c r="I1074" s="42"/>
      <c r="J1074" s="42"/>
      <c r="K1074" s="42"/>
      <c r="L1074" s="42"/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  <c r="Y1074" s="42"/>
      <c r="Z1074" s="42"/>
    </row>
    <row r="1075" ht="12.75" customHeight="1">
      <c r="A1075" s="28" t="s">
        <v>257</v>
      </c>
      <c r="B1075" s="28" t="s">
        <v>210</v>
      </c>
      <c r="C1075" s="42" t="s">
        <v>2993</v>
      </c>
      <c r="D1075" s="42" t="s">
        <v>1254</v>
      </c>
      <c r="E1075" s="42" t="s">
        <v>2140</v>
      </c>
      <c r="F1075" s="28" t="s">
        <v>2994</v>
      </c>
      <c r="G1075" s="28">
        <v>18.9</v>
      </c>
      <c r="H1075" s="66"/>
      <c r="I1075" s="42"/>
      <c r="J1075" s="42"/>
      <c r="K1075" s="42"/>
      <c r="L1075" s="42"/>
      <c r="M1075" s="42"/>
      <c r="N1075" s="42"/>
      <c r="O1075" s="42"/>
      <c r="P1075" s="42"/>
      <c r="Q1075" s="42"/>
      <c r="R1075" s="42"/>
      <c r="S1075" s="42"/>
      <c r="T1075" s="42"/>
      <c r="U1075" s="42"/>
      <c r="V1075" s="42"/>
      <c r="W1075" s="42"/>
      <c r="X1075" s="42"/>
      <c r="Y1075" s="42"/>
      <c r="Z1075" s="42"/>
    </row>
    <row r="1076" ht="12.75" customHeight="1">
      <c r="A1076" s="28" t="s">
        <v>2995</v>
      </c>
      <c r="B1076" s="28" t="s">
        <v>463</v>
      </c>
      <c r="C1076" s="42" t="s">
        <v>2996</v>
      </c>
      <c r="D1076" s="42" t="s">
        <v>2997</v>
      </c>
      <c r="E1076" s="42" t="s">
        <v>162</v>
      </c>
      <c r="F1076" s="28" t="s">
        <v>2998</v>
      </c>
      <c r="G1076" s="28">
        <v>33.4</v>
      </c>
      <c r="H1076" s="66"/>
      <c r="I1076" s="42"/>
      <c r="J1076" s="42"/>
      <c r="K1076" s="42"/>
      <c r="L1076" s="42"/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  <c r="Y1076" s="42"/>
      <c r="Z1076" s="42"/>
    </row>
    <row r="1077" ht="12.75" customHeight="1">
      <c r="A1077" s="28" t="s">
        <v>372</v>
      </c>
      <c r="B1077" s="28" t="s">
        <v>219</v>
      </c>
      <c r="C1077" s="42" t="s">
        <v>2999</v>
      </c>
      <c r="D1077" s="42" t="s">
        <v>240</v>
      </c>
      <c r="E1077" s="42" t="s">
        <v>581</v>
      </c>
      <c r="F1077" s="28" t="s">
        <v>733</v>
      </c>
      <c r="G1077" s="28">
        <v>26.3</v>
      </c>
      <c r="H1077" s="66"/>
      <c r="I1077" s="42"/>
      <c r="J1077" s="42"/>
      <c r="K1077" s="42"/>
      <c r="L1077" s="42"/>
      <c r="M1077" s="42"/>
      <c r="N1077" s="42"/>
      <c r="O1077" s="42"/>
      <c r="P1077" s="42"/>
      <c r="Q1077" s="42"/>
      <c r="R1077" s="42"/>
      <c r="S1077" s="42"/>
      <c r="T1077" s="42"/>
      <c r="U1077" s="42"/>
      <c r="V1077" s="42"/>
      <c r="W1077" s="42"/>
      <c r="X1077" s="42"/>
      <c r="Y1077" s="42"/>
      <c r="Z1077" s="42"/>
    </row>
    <row r="1078" ht="12.75" customHeight="1">
      <c r="A1078" s="28" t="s">
        <v>3000</v>
      </c>
      <c r="B1078" s="28" t="s">
        <v>165</v>
      </c>
      <c r="C1078" s="42" t="s">
        <v>3001</v>
      </c>
      <c r="D1078" s="42" t="s">
        <v>976</v>
      </c>
      <c r="E1078" s="42" t="s">
        <v>162</v>
      </c>
      <c r="F1078" s="28" t="s">
        <v>3002</v>
      </c>
      <c r="G1078" s="28">
        <v>30.4</v>
      </c>
      <c r="H1078" s="66"/>
      <c r="I1078" s="42"/>
      <c r="J1078" s="42"/>
      <c r="K1078" s="42"/>
      <c r="L1078" s="42"/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  <c r="Z1078" s="42"/>
    </row>
    <row r="1079" ht="12.75" customHeight="1">
      <c r="A1079" s="28" t="s">
        <v>969</v>
      </c>
      <c r="B1079" s="28" t="s">
        <v>159</v>
      </c>
      <c r="C1079" s="42" t="s">
        <v>3003</v>
      </c>
      <c r="D1079" s="42" t="s">
        <v>516</v>
      </c>
      <c r="E1079" s="42" t="s">
        <v>3004</v>
      </c>
      <c r="F1079" s="28" t="s">
        <v>3005</v>
      </c>
      <c r="G1079" s="28">
        <v>29.2</v>
      </c>
      <c r="H1079" s="66"/>
      <c r="I1079" s="42"/>
      <c r="J1079" s="42"/>
      <c r="K1079" s="42"/>
      <c r="L1079" s="42"/>
      <c r="M1079" s="42"/>
      <c r="N1079" s="42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/>
      <c r="Y1079" s="42"/>
      <c r="Z1079" s="42"/>
    </row>
    <row r="1080" ht="12.75" customHeight="1">
      <c r="A1080" s="28" t="s">
        <v>3006</v>
      </c>
      <c r="B1080" s="28" t="s">
        <v>165</v>
      </c>
      <c r="C1080" s="42" t="s">
        <v>3003</v>
      </c>
      <c r="D1080" s="42" t="s">
        <v>939</v>
      </c>
      <c r="E1080" s="42" t="s">
        <v>277</v>
      </c>
      <c r="F1080" s="28" t="s">
        <v>3007</v>
      </c>
      <c r="G1080" s="28">
        <v>30.3</v>
      </c>
      <c r="H1080" s="66"/>
      <c r="I1080" s="42"/>
      <c r="J1080" s="42"/>
      <c r="K1080" s="42"/>
      <c r="L1080" s="42"/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  <c r="Y1080" s="42"/>
      <c r="Z1080" s="42"/>
    </row>
    <row r="1081" ht="12.75" customHeight="1">
      <c r="A1081" s="28" t="s">
        <v>3008</v>
      </c>
      <c r="B1081" s="28" t="s">
        <v>165</v>
      </c>
      <c r="C1081" s="42" t="s">
        <v>3009</v>
      </c>
      <c r="D1081" s="42" t="s">
        <v>3010</v>
      </c>
      <c r="E1081" s="42" t="s">
        <v>987</v>
      </c>
      <c r="F1081" s="28" t="s">
        <v>3011</v>
      </c>
      <c r="G1081" s="28">
        <v>25.1</v>
      </c>
      <c r="H1081" s="66"/>
      <c r="I1081" s="42"/>
      <c r="J1081" s="42"/>
      <c r="K1081" s="42"/>
      <c r="L1081" s="42"/>
      <c r="M1081" s="42"/>
      <c r="N1081" s="42"/>
      <c r="O1081" s="42"/>
      <c r="P1081" s="42"/>
      <c r="Q1081" s="42"/>
      <c r="R1081" s="42"/>
      <c r="S1081" s="42"/>
      <c r="T1081" s="42"/>
      <c r="U1081" s="42"/>
      <c r="V1081" s="42"/>
      <c r="W1081" s="42"/>
      <c r="X1081" s="42"/>
      <c r="Y1081" s="42"/>
      <c r="Z1081" s="42"/>
    </row>
    <row r="1082" ht="12.75" customHeight="1">
      <c r="A1082" s="28" t="s">
        <v>3012</v>
      </c>
      <c r="B1082" s="28" t="s">
        <v>165</v>
      </c>
      <c r="C1082" s="42" t="s">
        <v>3013</v>
      </c>
      <c r="D1082" s="42" t="s">
        <v>3014</v>
      </c>
      <c r="E1082" s="42" t="s">
        <v>987</v>
      </c>
      <c r="F1082" s="28" t="s">
        <v>2067</v>
      </c>
      <c r="G1082" s="28">
        <v>30.7</v>
      </c>
      <c r="H1082" s="66"/>
      <c r="I1082" s="42"/>
      <c r="J1082" s="42"/>
      <c r="K1082" s="42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  <c r="Y1082" s="42"/>
      <c r="Z1082" s="42"/>
    </row>
    <row r="1083" ht="12.75" customHeight="1">
      <c r="A1083" s="28" t="s">
        <v>3015</v>
      </c>
      <c r="B1083" s="28" t="s">
        <v>165</v>
      </c>
      <c r="C1083" s="42" t="s">
        <v>3013</v>
      </c>
      <c r="D1083" s="42" t="s">
        <v>3016</v>
      </c>
      <c r="E1083" s="42" t="s">
        <v>987</v>
      </c>
      <c r="F1083" s="28" t="s">
        <v>3017</v>
      </c>
      <c r="G1083" s="28">
        <v>30.3</v>
      </c>
      <c r="H1083" s="66"/>
      <c r="I1083" s="42"/>
      <c r="J1083" s="42"/>
      <c r="K1083" s="42"/>
      <c r="L1083" s="42"/>
      <c r="M1083" s="42"/>
      <c r="N1083" s="42"/>
      <c r="O1083" s="42"/>
      <c r="P1083" s="42"/>
      <c r="Q1083" s="42"/>
      <c r="R1083" s="42"/>
      <c r="S1083" s="42"/>
      <c r="T1083" s="42"/>
      <c r="U1083" s="42"/>
      <c r="V1083" s="42"/>
      <c r="W1083" s="42"/>
      <c r="X1083" s="42"/>
      <c r="Y1083" s="42"/>
      <c r="Z1083" s="42"/>
    </row>
    <row r="1084" ht="12.75" customHeight="1">
      <c r="A1084" s="28" t="s">
        <v>449</v>
      </c>
      <c r="B1084" s="28" t="s">
        <v>210</v>
      </c>
      <c r="C1084" s="42" t="s">
        <v>3018</v>
      </c>
      <c r="D1084" s="42" t="s">
        <v>155</v>
      </c>
      <c r="E1084" s="42" t="s">
        <v>3019</v>
      </c>
      <c r="F1084" s="28" t="s">
        <v>3020</v>
      </c>
      <c r="G1084" s="28">
        <v>20.5</v>
      </c>
      <c r="H1084" s="66"/>
      <c r="I1084" s="42"/>
      <c r="J1084" s="42"/>
      <c r="K1084" s="42"/>
      <c r="L1084" s="42"/>
      <c r="M1084" s="42"/>
      <c r="N1084" s="42"/>
      <c r="O1084" s="42"/>
      <c r="P1084" s="42"/>
      <c r="Q1084" s="42"/>
      <c r="R1084" s="42"/>
      <c r="S1084" s="42"/>
      <c r="T1084" s="42"/>
      <c r="U1084" s="42"/>
      <c r="V1084" s="42"/>
      <c r="W1084" s="42"/>
      <c r="X1084" s="42"/>
      <c r="Y1084" s="42"/>
      <c r="Z1084" s="42"/>
    </row>
    <row r="1085" ht="12.75" customHeight="1">
      <c r="A1085" s="28" t="s">
        <v>3021</v>
      </c>
      <c r="B1085" s="28" t="s">
        <v>165</v>
      </c>
      <c r="C1085" s="42" t="s">
        <v>3022</v>
      </c>
      <c r="D1085" s="42" t="s">
        <v>522</v>
      </c>
      <c r="E1085" s="42" t="s">
        <v>162</v>
      </c>
      <c r="F1085" s="28" t="s">
        <v>2163</v>
      </c>
      <c r="G1085" s="28">
        <v>24.3</v>
      </c>
      <c r="H1085" s="66"/>
      <c r="I1085" s="42"/>
      <c r="J1085" s="42"/>
      <c r="K1085" s="42"/>
      <c r="L1085" s="42"/>
      <c r="M1085" s="42"/>
      <c r="N1085" s="42"/>
      <c r="O1085" s="42"/>
      <c r="P1085" s="42"/>
      <c r="Q1085" s="42"/>
      <c r="R1085" s="42"/>
      <c r="S1085" s="42"/>
      <c r="T1085" s="42"/>
      <c r="U1085" s="42"/>
      <c r="V1085" s="42"/>
      <c r="W1085" s="42"/>
      <c r="X1085" s="42"/>
      <c r="Y1085" s="42"/>
      <c r="Z1085" s="42"/>
    </row>
    <row r="1086" ht="12.75" customHeight="1">
      <c r="A1086" s="28" t="s">
        <v>3023</v>
      </c>
      <c r="B1086" s="28" t="s">
        <v>210</v>
      </c>
      <c r="C1086" s="42" t="s">
        <v>3024</v>
      </c>
      <c r="D1086" s="42" t="s">
        <v>3025</v>
      </c>
      <c r="E1086" s="42" t="s">
        <v>1487</v>
      </c>
      <c r="F1086" s="28" t="s">
        <v>3026</v>
      </c>
      <c r="G1086" s="28">
        <v>27.8</v>
      </c>
      <c r="H1086" s="66"/>
      <c r="I1086" s="42"/>
      <c r="J1086" s="42"/>
      <c r="K1086" s="42"/>
      <c r="L1086" s="42"/>
      <c r="M1086" s="42"/>
      <c r="N1086" s="42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  <c r="Y1086" s="42"/>
      <c r="Z1086" s="42"/>
    </row>
    <row r="1087" ht="12.75" customHeight="1">
      <c r="A1087" s="28" t="s">
        <v>911</v>
      </c>
      <c r="B1087" s="28" t="s">
        <v>153</v>
      </c>
      <c r="C1087" s="42" t="s">
        <v>3027</v>
      </c>
      <c r="D1087" s="42" t="s">
        <v>630</v>
      </c>
      <c r="E1087" s="42" t="s">
        <v>162</v>
      </c>
      <c r="F1087" s="28" t="s">
        <v>3028</v>
      </c>
      <c r="G1087" s="28">
        <v>17.7</v>
      </c>
      <c r="H1087" s="66"/>
      <c r="I1087" s="42"/>
      <c r="J1087" s="42"/>
      <c r="K1087" s="42"/>
      <c r="L1087" s="42"/>
      <c r="M1087" s="42"/>
      <c r="N1087" s="42"/>
      <c r="O1087" s="42"/>
      <c r="P1087" s="42"/>
      <c r="Q1087" s="42"/>
      <c r="R1087" s="42"/>
      <c r="S1087" s="42"/>
      <c r="T1087" s="42"/>
      <c r="U1087" s="42"/>
      <c r="V1087" s="42"/>
      <c r="W1087" s="42"/>
      <c r="X1087" s="42"/>
      <c r="Y1087" s="42"/>
      <c r="Z1087" s="42"/>
    </row>
    <row r="1088" ht="12.75" customHeight="1">
      <c r="A1088" s="28" t="s">
        <v>911</v>
      </c>
      <c r="B1088" s="28" t="s">
        <v>554</v>
      </c>
      <c r="C1088" s="42" t="s">
        <v>3029</v>
      </c>
      <c r="D1088" s="42" t="s">
        <v>939</v>
      </c>
      <c r="E1088" s="42" t="s">
        <v>162</v>
      </c>
      <c r="F1088" s="28" t="s">
        <v>3030</v>
      </c>
      <c r="G1088" s="28">
        <v>19.1</v>
      </c>
      <c r="H1088" s="66"/>
      <c r="I1088" s="42"/>
      <c r="J1088" s="42"/>
      <c r="K1088" s="42"/>
      <c r="L1088" s="42"/>
      <c r="M1088" s="42"/>
      <c r="N1088" s="42"/>
      <c r="O1088" s="42"/>
      <c r="P1088" s="42"/>
      <c r="Q1088" s="42"/>
      <c r="R1088" s="42"/>
      <c r="S1088" s="42"/>
      <c r="T1088" s="42"/>
      <c r="U1088" s="42"/>
      <c r="V1088" s="42"/>
      <c r="W1088" s="42"/>
      <c r="X1088" s="42"/>
      <c r="Y1088" s="42"/>
      <c r="Z1088" s="42"/>
    </row>
    <row r="1089" ht="12.75" customHeight="1">
      <c r="A1089" s="28" t="s">
        <v>3031</v>
      </c>
      <c r="B1089" s="28" t="s">
        <v>165</v>
      </c>
      <c r="C1089" s="42" t="s">
        <v>3032</v>
      </c>
      <c r="D1089" s="42" t="s">
        <v>3033</v>
      </c>
      <c r="E1089" s="42" t="s">
        <v>974</v>
      </c>
      <c r="F1089" s="28" t="s">
        <v>553</v>
      </c>
      <c r="G1089" s="28">
        <v>26.1</v>
      </c>
      <c r="H1089" s="66"/>
      <c r="I1089" s="42"/>
      <c r="J1089" s="42"/>
      <c r="K1089" s="42"/>
      <c r="L1089" s="42"/>
      <c r="M1089" s="42"/>
      <c r="N1089" s="42"/>
      <c r="O1089" s="42"/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</row>
    <row r="1090" ht="12.75" customHeight="1">
      <c r="A1090" s="28" t="s">
        <v>3034</v>
      </c>
      <c r="B1090" s="28" t="s">
        <v>165</v>
      </c>
      <c r="C1090" s="42" t="s">
        <v>3032</v>
      </c>
      <c r="D1090" s="42" t="s">
        <v>240</v>
      </c>
      <c r="E1090" s="42" t="s">
        <v>3035</v>
      </c>
      <c r="F1090" s="28" t="s">
        <v>3036</v>
      </c>
      <c r="G1090" s="28">
        <v>27.1</v>
      </c>
      <c r="H1090" s="66"/>
      <c r="I1090" s="42"/>
      <c r="J1090" s="42"/>
      <c r="K1090" s="42"/>
      <c r="L1090" s="42"/>
      <c r="M1090" s="42"/>
      <c r="N1090" s="42"/>
      <c r="O1090" s="42"/>
      <c r="P1090" s="42"/>
      <c r="Q1090" s="42"/>
      <c r="R1090" s="42"/>
      <c r="S1090" s="42"/>
      <c r="T1090" s="42"/>
      <c r="U1090" s="42"/>
      <c r="V1090" s="42"/>
      <c r="W1090" s="42"/>
      <c r="X1090" s="42"/>
      <c r="Y1090" s="42"/>
      <c r="Z1090" s="42"/>
    </row>
    <row r="1091" ht="12.75" customHeight="1">
      <c r="A1091" s="28" t="s">
        <v>515</v>
      </c>
      <c r="B1091" s="28" t="s">
        <v>165</v>
      </c>
      <c r="C1091" s="42" t="s">
        <v>3037</v>
      </c>
      <c r="D1091" s="42" t="s">
        <v>1355</v>
      </c>
      <c r="E1091" s="42" t="s">
        <v>162</v>
      </c>
      <c r="F1091" s="28" t="s">
        <v>3038</v>
      </c>
      <c r="G1091" s="28">
        <v>16.9</v>
      </c>
      <c r="H1091" s="66"/>
      <c r="I1091" s="42"/>
      <c r="J1091" s="42"/>
      <c r="K1091" s="42"/>
      <c r="L1091" s="42"/>
      <c r="M1091" s="42"/>
      <c r="N1091" s="42"/>
      <c r="O1091" s="42"/>
      <c r="P1091" s="42"/>
      <c r="Q1091" s="42"/>
      <c r="R1091" s="42"/>
      <c r="S1091" s="42"/>
      <c r="T1091" s="42"/>
      <c r="U1091" s="42"/>
      <c r="V1091" s="42"/>
      <c r="W1091" s="42"/>
      <c r="X1091" s="42"/>
      <c r="Y1091" s="42"/>
      <c r="Z1091" s="42"/>
    </row>
    <row r="1092" ht="12.75" customHeight="1">
      <c r="A1092" s="28" t="s">
        <v>3039</v>
      </c>
      <c r="B1092" s="28" t="s">
        <v>165</v>
      </c>
      <c r="C1092" s="42" t="s">
        <v>3037</v>
      </c>
      <c r="D1092" s="42" t="s">
        <v>939</v>
      </c>
      <c r="E1092" s="42" t="s">
        <v>162</v>
      </c>
      <c r="F1092" s="28" t="s">
        <v>3040</v>
      </c>
      <c r="G1092" s="28">
        <v>31.0</v>
      </c>
      <c r="H1092" s="66"/>
      <c r="I1092" s="42"/>
      <c r="J1092" s="42"/>
      <c r="K1092" s="42"/>
      <c r="L1092" s="42"/>
      <c r="M1092" s="42"/>
      <c r="N1092" s="42"/>
      <c r="O1092" s="42"/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</row>
    <row r="1093" ht="12.75" customHeight="1">
      <c r="A1093" s="28" t="s">
        <v>3041</v>
      </c>
      <c r="B1093" s="28" t="s">
        <v>210</v>
      </c>
      <c r="C1093" s="42" t="s">
        <v>3042</v>
      </c>
      <c r="D1093" s="42" t="s">
        <v>3043</v>
      </c>
      <c r="E1093" s="42" t="s">
        <v>162</v>
      </c>
      <c r="F1093" s="28" t="s">
        <v>3044</v>
      </c>
      <c r="G1093" s="28">
        <v>18.0</v>
      </c>
      <c r="H1093" s="66"/>
      <c r="I1093" s="42"/>
      <c r="J1093" s="42"/>
      <c r="K1093" s="42"/>
      <c r="L1093" s="42"/>
      <c r="M1093" s="42"/>
      <c r="N1093" s="42"/>
      <c r="O1093" s="42"/>
      <c r="P1093" s="42"/>
      <c r="Q1093" s="42"/>
      <c r="R1093" s="42"/>
      <c r="S1093" s="42"/>
      <c r="T1093" s="42"/>
      <c r="U1093" s="42"/>
      <c r="V1093" s="42"/>
      <c r="W1093" s="42"/>
      <c r="X1093" s="42"/>
      <c r="Y1093" s="42"/>
      <c r="Z1093" s="42"/>
    </row>
    <row r="1094" ht="12.75" customHeight="1">
      <c r="A1094" s="28" t="s">
        <v>729</v>
      </c>
      <c r="B1094" s="28" t="s">
        <v>165</v>
      </c>
      <c r="C1094" s="42" t="s">
        <v>3045</v>
      </c>
      <c r="D1094" s="42" t="s">
        <v>224</v>
      </c>
      <c r="E1094" s="42" t="s">
        <v>162</v>
      </c>
      <c r="F1094" s="28" t="s">
        <v>3046</v>
      </c>
      <c r="G1094" s="28">
        <v>32.2</v>
      </c>
      <c r="H1094" s="66"/>
      <c r="I1094" s="42"/>
      <c r="J1094" s="42"/>
      <c r="K1094" s="42"/>
      <c r="L1094" s="42"/>
      <c r="M1094" s="42"/>
      <c r="N1094" s="42"/>
      <c r="O1094" s="42"/>
      <c r="P1094" s="42"/>
      <c r="Q1094" s="42"/>
      <c r="R1094" s="42"/>
      <c r="S1094" s="42"/>
      <c r="T1094" s="42"/>
      <c r="U1094" s="42"/>
      <c r="V1094" s="42"/>
      <c r="W1094" s="42"/>
      <c r="X1094" s="42"/>
      <c r="Y1094" s="42"/>
      <c r="Z1094" s="42"/>
    </row>
    <row r="1095" ht="12.75" customHeight="1">
      <c r="A1095" s="28" t="s">
        <v>3047</v>
      </c>
      <c r="B1095" s="28" t="s">
        <v>165</v>
      </c>
      <c r="C1095" s="42" t="s">
        <v>3045</v>
      </c>
      <c r="D1095" s="42" t="s">
        <v>240</v>
      </c>
      <c r="E1095" s="42" t="s">
        <v>277</v>
      </c>
      <c r="F1095" s="28" t="s">
        <v>3048</v>
      </c>
      <c r="G1095" s="28">
        <v>33.5</v>
      </c>
      <c r="H1095" s="66"/>
      <c r="I1095" s="42"/>
      <c r="J1095" s="42"/>
      <c r="K1095" s="42"/>
      <c r="L1095" s="42"/>
      <c r="M1095" s="42"/>
      <c r="N1095" s="42"/>
      <c r="O1095" s="42"/>
      <c r="P1095" s="42"/>
      <c r="Q1095" s="42"/>
      <c r="R1095" s="42"/>
      <c r="S1095" s="42"/>
      <c r="T1095" s="42"/>
      <c r="U1095" s="42"/>
      <c r="V1095" s="42"/>
      <c r="W1095" s="42"/>
      <c r="X1095" s="42"/>
      <c r="Y1095" s="42"/>
      <c r="Z1095" s="42"/>
    </row>
    <row r="1096" ht="12.75" customHeight="1">
      <c r="A1096" s="28" t="s">
        <v>843</v>
      </c>
      <c r="B1096" s="28" t="s">
        <v>159</v>
      </c>
      <c r="C1096" s="42" t="s">
        <v>3049</v>
      </c>
      <c r="D1096" s="42" t="s">
        <v>240</v>
      </c>
      <c r="E1096" s="42" t="s">
        <v>460</v>
      </c>
      <c r="F1096" s="28" t="s">
        <v>2644</v>
      </c>
      <c r="G1096" s="28">
        <v>29.7</v>
      </c>
      <c r="H1096" s="66"/>
      <c r="I1096" s="42"/>
      <c r="J1096" s="42"/>
      <c r="K1096" s="42"/>
      <c r="L1096" s="42"/>
      <c r="M1096" s="42"/>
      <c r="N1096" s="42"/>
      <c r="O1096" s="42"/>
      <c r="P1096" s="42"/>
      <c r="Q1096" s="42"/>
      <c r="R1096" s="42"/>
      <c r="S1096" s="42"/>
      <c r="T1096" s="42"/>
      <c r="U1096" s="42"/>
      <c r="V1096" s="42"/>
      <c r="W1096" s="42"/>
      <c r="X1096" s="42"/>
      <c r="Y1096" s="42"/>
      <c r="Z1096" s="42"/>
    </row>
    <row r="1097" ht="12.75" customHeight="1">
      <c r="A1097" s="28" t="s">
        <v>3050</v>
      </c>
      <c r="B1097" s="28" t="s">
        <v>487</v>
      </c>
      <c r="C1097" s="42" t="s">
        <v>3051</v>
      </c>
      <c r="D1097" s="42" t="s">
        <v>220</v>
      </c>
      <c r="E1097" s="42" t="s">
        <v>3052</v>
      </c>
      <c r="F1097" s="28" t="s">
        <v>3053</v>
      </c>
      <c r="G1097" s="28">
        <v>42.9</v>
      </c>
      <c r="H1097" s="66"/>
      <c r="I1097" s="42"/>
      <c r="J1097" s="42"/>
      <c r="K1097" s="42"/>
      <c r="L1097" s="42"/>
      <c r="M1097" s="42"/>
      <c r="N1097" s="42"/>
      <c r="O1097" s="42"/>
      <c r="P1097" s="42"/>
      <c r="Q1097" s="42"/>
      <c r="R1097" s="42"/>
      <c r="S1097" s="42"/>
      <c r="T1097" s="42"/>
      <c r="U1097" s="42"/>
      <c r="V1097" s="42"/>
      <c r="W1097" s="42"/>
      <c r="X1097" s="42"/>
      <c r="Y1097" s="42"/>
      <c r="Z1097" s="42"/>
    </row>
    <row r="1098" ht="12.75" customHeight="1">
      <c r="A1098" s="28" t="s">
        <v>433</v>
      </c>
      <c r="B1098" s="28" t="s">
        <v>215</v>
      </c>
      <c r="C1098" s="42" t="s">
        <v>3054</v>
      </c>
      <c r="D1098" s="42" t="s">
        <v>240</v>
      </c>
      <c r="E1098" s="42" t="s">
        <v>1300</v>
      </c>
      <c r="F1098" s="28" t="s">
        <v>204</v>
      </c>
      <c r="G1098" s="28">
        <v>33.9</v>
      </c>
      <c r="H1098" s="66"/>
      <c r="I1098" s="42"/>
      <c r="J1098" s="42"/>
      <c r="K1098" s="42"/>
      <c r="L1098" s="42"/>
      <c r="M1098" s="42"/>
      <c r="N1098" s="42"/>
      <c r="O1098" s="42"/>
      <c r="P1098" s="42"/>
      <c r="Q1098" s="42"/>
      <c r="R1098" s="42"/>
      <c r="S1098" s="42"/>
      <c r="T1098" s="42"/>
      <c r="U1098" s="42"/>
      <c r="V1098" s="42"/>
      <c r="W1098" s="42"/>
      <c r="X1098" s="42"/>
      <c r="Y1098" s="42"/>
      <c r="Z1098" s="42"/>
    </row>
    <row r="1099" ht="12.75" customHeight="1">
      <c r="A1099" s="28" t="s">
        <v>589</v>
      </c>
      <c r="B1099" s="28" t="s">
        <v>165</v>
      </c>
      <c r="C1099" s="42" t="s">
        <v>3054</v>
      </c>
      <c r="D1099" s="42" t="s">
        <v>251</v>
      </c>
      <c r="E1099" s="42" t="s">
        <v>559</v>
      </c>
      <c r="F1099" s="28" t="s">
        <v>3055</v>
      </c>
      <c r="G1099" s="28">
        <v>36.5</v>
      </c>
      <c r="H1099" s="66"/>
      <c r="I1099" s="42"/>
      <c r="J1099" s="42"/>
      <c r="K1099" s="42"/>
      <c r="L1099" s="42"/>
      <c r="M1099" s="42"/>
      <c r="N1099" s="42"/>
      <c r="O1099" s="42"/>
      <c r="P1099" s="42"/>
      <c r="Q1099" s="42"/>
      <c r="R1099" s="42"/>
      <c r="S1099" s="42"/>
      <c r="T1099" s="42"/>
      <c r="U1099" s="42"/>
      <c r="V1099" s="42"/>
      <c r="W1099" s="42"/>
      <c r="X1099" s="42"/>
      <c r="Y1099" s="42"/>
      <c r="Z1099" s="42"/>
    </row>
    <row r="1100" ht="12.75" customHeight="1">
      <c r="A1100" s="28" t="s">
        <v>449</v>
      </c>
      <c r="B1100" s="28" t="s">
        <v>210</v>
      </c>
      <c r="C1100" s="42" t="s">
        <v>3056</v>
      </c>
      <c r="D1100" s="42" t="s">
        <v>3056</v>
      </c>
      <c r="E1100" s="42" t="s">
        <v>3057</v>
      </c>
      <c r="F1100" s="28" t="s">
        <v>3058</v>
      </c>
      <c r="G1100" s="28">
        <v>17.8</v>
      </c>
      <c r="H1100" s="66"/>
      <c r="I1100" s="42"/>
      <c r="J1100" s="42"/>
      <c r="K1100" s="42"/>
      <c r="L1100" s="42"/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2"/>
      <c r="X1100" s="42"/>
      <c r="Y1100" s="42"/>
      <c r="Z1100" s="42"/>
    </row>
    <row r="1101" ht="12.75" customHeight="1">
      <c r="A1101" s="28" t="s">
        <v>540</v>
      </c>
      <c r="B1101" s="28" t="s">
        <v>210</v>
      </c>
      <c r="C1101" s="42" t="s">
        <v>3059</v>
      </c>
      <c r="D1101" s="42" t="s">
        <v>3060</v>
      </c>
      <c r="E1101" s="42" t="s">
        <v>277</v>
      </c>
      <c r="F1101" s="28" t="s">
        <v>479</v>
      </c>
      <c r="G1101" s="28">
        <v>18.9</v>
      </c>
      <c r="H1101" s="66"/>
      <c r="I1101" s="42"/>
      <c r="J1101" s="42"/>
      <c r="K1101" s="42"/>
      <c r="L1101" s="42"/>
      <c r="M1101" s="42"/>
      <c r="N1101" s="42"/>
      <c r="O1101" s="42"/>
      <c r="P1101" s="42"/>
      <c r="Q1101" s="42"/>
      <c r="R1101" s="42"/>
      <c r="S1101" s="42"/>
      <c r="T1101" s="42"/>
      <c r="U1101" s="42"/>
      <c r="V1101" s="42"/>
      <c r="W1101" s="42"/>
      <c r="X1101" s="42"/>
      <c r="Y1101" s="42"/>
      <c r="Z1101" s="42"/>
    </row>
    <row r="1102" ht="12.75" customHeight="1">
      <c r="A1102" s="28" t="s">
        <v>1199</v>
      </c>
      <c r="B1102" s="28" t="s">
        <v>219</v>
      </c>
      <c r="C1102" s="42" t="s">
        <v>3059</v>
      </c>
      <c r="D1102" s="42" t="s">
        <v>633</v>
      </c>
      <c r="E1102" s="42" t="s">
        <v>519</v>
      </c>
      <c r="F1102" s="28" t="s">
        <v>3061</v>
      </c>
      <c r="G1102" s="28">
        <v>30.9</v>
      </c>
      <c r="H1102" s="66"/>
      <c r="I1102" s="42"/>
      <c r="J1102" s="42"/>
      <c r="K1102" s="42"/>
      <c r="L1102" s="42"/>
      <c r="M1102" s="42"/>
      <c r="N1102" s="42"/>
      <c r="O1102" s="42"/>
      <c r="P1102" s="42"/>
      <c r="Q1102" s="42"/>
      <c r="R1102" s="42"/>
      <c r="S1102" s="42"/>
      <c r="T1102" s="42"/>
      <c r="U1102" s="42"/>
      <c r="V1102" s="42"/>
      <c r="W1102" s="42"/>
      <c r="X1102" s="42"/>
      <c r="Y1102" s="42"/>
      <c r="Z1102" s="42"/>
    </row>
    <row r="1103" ht="12.75" customHeight="1">
      <c r="A1103" s="28" t="s">
        <v>433</v>
      </c>
      <c r="B1103" s="28" t="s">
        <v>159</v>
      </c>
      <c r="C1103" s="42" t="s">
        <v>3062</v>
      </c>
      <c r="D1103" s="42" t="s">
        <v>586</v>
      </c>
      <c r="E1103" s="42" t="s">
        <v>559</v>
      </c>
      <c r="F1103" s="28" t="s">
        <v>368</v>
      </c>
      <c r="G1103" s="28">
        <v>32.6</v>
      </c>
      <c r="H1103" s="66"/>
      <c r="I1103" s="42"/>
      <c r="J1103" s="42"/>
      <c r="K1103" s="42"/>
      <c r="L1103" s="42"/>
      <c r="M1103" s="42"/>
      <c r="N1103" s="42"/>
      <c r="O1103" s="42"/>
      <c r="P1103" s="42"/>
      <c r="Q1103" s="42"/>
      <c r="R1103" s="42"/>
      <c r="S1103" s="42"/>
      <c r="T1103" s="42"/>
      <c r="U1103" s="42"/>
      <c r="V1103" s="42"/>
      <c r="W1103" s="42"/>
      <c r="X1103" s="42"/>
      <c r="Y1103" s="42"/>
      <c r="Z1103" s="42"/>
    </row>
    <row r="1104" ht="12.75" customHeight="1">
      <c r="A1104" s="28" t="s">
        <v>390</v>
      </c>
      <c r="B1104" s="28" t="s">
        <v>219</v>
      </c>
      <c r="C1104" s="42" t="s">
        <v>3062</v>
      </c>
      <c r="D1104" s="42" t="s">
        <v>568</v>
      </c>
      <c r="E1104" s="42" t="s">
        <v>162</v>
      </c>
      <c r="F1104" s="28" t="s">
        <v>3063</v>
      </c>
      <c r="G1104" s="28">
        <v>26.5</v>
      </c>
      <c r="H1104" s="66"/>
      <c r="I1104" s="42"/>
      <c r="J1104" s="42"/>
      <c r="K1104" s="42"/>
      <c r="L1104" s="42"/>
      <c r="M1104" s="42"/>
      <c r="N1104" s="42"/>
      <c r="O1104" s="42"/>
      <c r="P1104" s="42"/>
      <c r="Q1104" s="42"/>
      <c r="R1104" s="42"/>
      <c r="S1104" s="42"/>
      <c r="T1104" s="42"/>
      <c r="U1104" s="42"/>
      <c r="V1104" s="42"/>
      <c r="W1104" s="42"/>
      <c r="X1104" s="42"/>
      <c r="Y1104" s="42"/>
      <c r="Z1104" s="42"/>
    </row>
    <row r="1105" ht="12.75" customHeight="1">
      <c r="A1105" s="28" t="s">
        <v>1036</v>
      </c>
      <c r="B1105" s="28" t="s">
        <v>159</v>
      </c>
      <c r="C1105" s="42" t="s">
        <v>3062</v>
      </c>
      <c r="D1105" s="42" t="s">
        <v>190</v>
      </c>
      <c r="E1105" s="42" t="s">
        <v>162</v>
      </c>
      <c r="F1105" s="28" t="s">
        <v>728</v>
      </c>
      <c r="G1105" s="28">
        <v>25.9</v>
      </c>
      <c r="H1105" s="66"/>
      <c r="I1105" s="42"/>
      <c r="J1105" s="42"/>
      <c r="K1105" s="42"/>
      <c r="L1105" s="42"/>
      <c r="M1105" s="42"/>
      <c r="N1105" s="42"/>
      <c r="O1105" s="42"/>
      <c r="P1105" s="42"/>
      <c r="Q1105" s="42"/>
      <c r="R1105" s="42"/>
      <c r="S1105" s="42"/>
      <c r="T1105" s="42"/>
      <c r="U1105" s="42"/>
      <c r="V1105" s="42"/>
      <c r="W1105" s="42"/>
      <c r="X1105" s="42"/>
      <c r="Y1105" s="42"/>
      <c r="Z1105" s="42"/>
    </row>
    <row r="1106" ht="12.75" customHeight="1">
      <c r="A1106" s="28" t="s">
        <v>3064</v>
      </c>
      <c r="B1106" s="28" t="s">
        <v>210</v>
      </c>
      <c r="C1106" s="42" t="s">
        <v>3065</v>
      </c>
      <c r="D1106" s="42" t="s">
        <v>995</v>
      </c>
      <c r="E1106" s="42" t="s">
        <v>162</v>
      </c>
      <c r="F1106" s="28" t="s">
        <v>1013</v>
      </c>
      <c r="G1106" s="28">
        <v>28.8</v>
      </c>
      <c r="H1106" s="66"/>
      <c r="I1106" s="42"/>
      <c r="J1106" s="42"/>
      <c r="K1106" s="42"/>
      <c r="L1106" s="42"/>
      <c r="M1106" s="42"/>
      <c r="N1106" s="42"/>
      <c r="O1106" s="42"/>
      <c r="P1106" s="42"/>
      <c r="Q1106" s="42"/>
      <c r="R1106" s="42"/>
      <c r="S1106" s="42"/>
      <c r="T1106" s="42"/>
      <c r="U1106" s="42"/>
      <c r="V1106" s="42"/>
      <c r="W1106" s="42"/>
      <c r="X1106" s="42"/>
      <c r="Y1106" s="42"/>
      <c r="Z1106" s="42"/>
    </row>
    <row r="1107" ht="12.75" customHeight="1">
      <c r="A1107" s="28" t="s">
        <v>682</v>
      </c>
      <c r="B1107" s="28" t="s">
        <v>159</v>
      </c>
      <c r="C1107" s="42" t="s">
        <v>3066</v>
      </c>
      <c r="D1107" s="42" t="s">
        <v>447</v>
      </c>
      <c r="E1107" s="42" t="s">
        <v>1165</v>
      </c>
      <c r="F1107" s="28" t="s">
        <v>3067</v>
      </c>
      <c r="G1107" s="28">
        <v>33.2</v>
      </c>
      <c r="H1107" s="66"/>
      <c r="I1107" s="42"/>
      <c r="J1107" s="42"/>
      <c r="K1107" s="42"/>
      <c r="L1107" s="42"/>
      <c r="M1107" s="42"/>
      <c r="N1107" s="42"/>
      <c r="O1107" s="42"/>
      <c r="P1107" s="42"/>
      <c r="Q1107" s="42"/>
      <c r="R1107" s="42"/>
      <c r="S1107" s="42"/>
      <c r="T1107" s="42"/>
      <c r="U1107" s="42"/>
      <c r="V1107" s="42"/>
      <c r="W1107" s="42"/>
      <c r="X1107" s="42"/>
      <c r="Y1107" s="42"/>
      <c r="Z1107" s="42"/>
    </row>
    <row r="1108" ht="12.75" customHeight="1">
      <c r="A1108" s="28" t="s">
        <v>3068</v>
      </c>
      <c r="B1108" s="28" t="s">
        <v>165</v>
      </c>
      <c r="C1108" s="42" t="s">
        <v>3066</v>
      </c>
      <c r="D1108" s="42" t="s">
        <v>495</v>
      </c>
      <c r="E1108" s="42" t="s">
        <v>3069</v>
      </c>
      <c r="F1108" s="28" t="s">
        <v>3070</v>
      </c>
      <c r="G1108" s="28">
        <v>25.4</v>
      </c>
      <c r="H1108" s="66"/>
      <c r="I1108" s="42"/>
      <c r="J1108" s="42"/>
      <c r="K1108" s="42"/>
      <c r="L1108" s="42"/>
      <c r="M1108" s="42"/>
      <c r="N1108" s="42"/>
      <c r="O1108" s="42"/>
      <c r="P1108" s="42"/>
      <c r="Q1108" s="42"/>
      <c r="R1108" s="42"/>
      <c r="S1108" s="42"/>
      <c r="T1108" s="42"/>
      <c r="U1108" s="42"/>
      <c r="V1108" s="42"/>
      <c r="W1108" s="42"/>
      <c r="X1108" s="42"/>
      <c r="Y1108" s="42"/>
      <c r="Z1108" s="42"/>
    </row>
    <row r="1109" ht="12.75" customHeight="1">
      <c r="A1109" s="28" t="s">
        <v>1038</v>
      </c>
      <c r="B1109" s="28" t="s">
        <v>210</v>
      </c>
      <c r="C1109" s="42" t="s">
        <v>3071</v>
      </c>
      <c r="D1109" s="42" t="s">
        <v>1288</v>
      </c>
      <c r="E1109" s="42" t="s">
        <v>156</v>
      </c>
      <c r="F1109" s="28" t="s">
        <v>1514</v>
      </c>
      <c r="G1109" s="28">
        <v>21.2</v>
      </c>
      <c r="H1109" s="66"/>
      <c r="I1109" s="42"/>
      <c r="J1109" s="42"/>
      <c r="K1109" s="42"/>
      <c r="L1109" s="42"/>
      <c r="M1109" s="42"/>
      <c r="N1109" s="42"/>
      <c r="O1109" s="42"/>
      <c r="P1109" s="42"/>
      <c r="Q1109" s="42"/>
      <c r="R1109" s="42"/>
      <c r="S1109" s="42"/>
      <c r="T1109" s="42"/>
      <c r="U1109" s="42"/>
      <c r="V1109" s="42"/>
      <c r="W1109" s="42"/>
      <c r="X1109" s="42"/>
      <c r="Y1109" s="42"/>
      <c r="Z1109" s="42"/>
    </row>
    <row r="1110" ht="12.75" customHeight="1">
      <c r="A1110" s="28" t="s">
        <v>3072</v>
      </c>
      <c r="B1110" s="28" t="s">
        <v>210</v>
      </c>
      <c r="C1110" s="42" t="s">
        <v>3073</v>
      </c>
      <c r="D1110" s="42" t="s">
        <v>349</v>
      </c>
      <c r="E1110" s="42" t="s">
        <v>191</v>
      </c>
      <c r="F1110" s="28" t="s">
        <v>3074</v>
      </c>
      <c r="G1110" s="28">
        <v>23.2</v>
      </c>
      <c r="H1110" s="66"/>
      <c r="I1110" s="42"/>
      <c r="J1110" s="42"/>
      <c r="K1110" s="42"/>
      <c r="L1110" s="42"/>
      <c r="M1110" s="42"/>
      <c r="N1110" s="42"/>
      <c r="O1110" s="42"/>
      <c r="P1110" s="42"/>
      <c r="Q1110" s="42"/>
      <c r="R1110" s="42"/>
      <c r="S1110" s="42"/>
      <c r="T1110" s="42"/>
      <c r="U1110" s="42"/>
      <c r="V1110" s="42"/>
      <c r="W1110" s="42"/>
      <c r="X1110" s="42"/>
      <c r="Y1110" s="42"/>
      <c r="Z1110" s="42"/>
    </row>
    <row r="1111" ht="12.75" customHeight="1">
      <c r="A1111" s="28" t="s">
        <v>566</v>
      </c>
      <c r="B1111" s="28" t="s">
        <v>165</v>
      </c>
      <c r="C1111" s="42" t="s">
        <v>3075</v>
      </c>
      <c r="D1111" s="42" t="s">
        <v>3076</v>
      </c>
      <c r="E1111" s="42" t="s">
        <v>162</v>
      </c>
      <c r="F1111" s="28" t="s">
        <v>3077</v>
      </c>
      <c r="G1111" s="28">
        <v>33.5</v>
      </c>
      <c r="H1111" s="66"/>
      <c r="I1111" s="42"/>
      <c r="J1111" s="42"/>
      <c r="K1111" s="42"/>
      <c r="L1111" s="42"/>
      <c r="M1111" s="42"/>
      <c r="N1111" s="42"/>
      <c r="O1111" s="42"/>
      <c r="P1111" s="42"/>
      <c r="Q1111" s="42"/>
      <c r="R1111" s="42"/>
      <c r="S1111" s="42"/>
      <c r="T1111" s="42"/>
      <c r="U1111" s="42"/>
      <c r="V1111" s="42"/>
      <c r="W1111" s="42"/>
      <c r="X1111" s="42"/>
      <c r="Y1111" s="42"/>
      <c r="Z1111" s="42"/>
    </row>
    <row r="1112" ht="12.75" customHeight="1">
      <c r="A1112" s="28" t="s">
        <v>406</v>
      </c>
      <c r="B1112" s="28" t="s">
        <v>159</v>
      </c>
      <c r="C1112" s="42" t="s">
        <v>3078</v>
      </c>
      <c r="D1112" s="42" t="s">
        <v>270</v>
      </c>
      <c r="E1112" s="42" t="s">
        <v>3079</v>
      </c>
      <c r="F1112" s="28" t="s">
        <v>3080</v>
      </c>
      <c r="G1112" s="28">
        <v>29.9</v>
      </c>
      <c r="H1112" s="66"/>
      <c r="I1112" s="42"/>
      <c r="J1112" s="42"/>
      <c r="K1112" s="42"/>
      <c r="L1112" s="42"/>
      <c r="M1112" s="42"/>
      <c r="N1112" s="42"/>
      <c r="O1112" s="42"/>
      <c r="P1112" s="42"/>
      <c r="Q1112" s="42"/>
      <c r="R1112" s="42"/>
      <c r="S1112" s="42"/>
      <c r="T1112" s="42"/>
      <c r="U1112" s="42"/>
      <c r="V1112" s="42"/>
      <c r="W1112" s="42"/>
      <c r="X1112" s="42"/>
      <c r="Y1112" s="42"/>
      <c r="Z1112" s="42"/>
    </row>
    <row r="1113" ht="12.75" customHeight="1">
      <c r="A1113" s="28" t="s">
        <v>762</v>
      </c>
      <c r="B1113" s="28" t="s">
        <v>219</v>
      </c>
      <c r="C1113" s="42" t="s">
        <v>3078</v>
      </c>
      <c r="D1113" s="42" t="s">
        <v>224</v>
      </c>
      <c r="E1113" s="42" t="s">
        <v>3079</v>
      </c>
      <c r="F1113" s="28" t="s">
        <v>3081</v>
      </c>
      <c r="G1113" s="28">
        <v>26.7</v>
      </c>
      <c r="H1113" s="66"/>
      <c r="I1113" s="42"/>
      <c r="J1113" s="42"/>
      <c r="K1113" s="42"/>
      <c r="L1113" s="42"/>
      <c r="M1113" s="42"/>
      <c r="N1113" s="42"/>
      <c r="O1113" s="42"/>
      <c r="P1113" s="42"/>
      <c r="Q1113" s="42"/>
      <c r="R1113" s="42"/>
      <c r="S1113" s="42"/>
      <c r="T1113" s="42"/>
      <c r="U1113" s="42"/>
      <c r="V1113" s="42"/>
      <c r="W1113" s="42"/>
      <c r="X1113" s="42"/>
      <c r="Y1113" s="42"/>
      <c r="Z1113" s="42"/>
    </row>
    <row r="1114" ht="12.75" customHeight="1">
      <c r="A1114" s="28" t="s">
        <v>847</v>
      </c>
      <c r="B1114" s="28" t="s">
        <v>165</v>
      </c>
      <c r="C1114" s="42" t="s">
        <v>3082</v>
      </c>
      <c r="D1114" s="42" t="s">
        <v>198</v>
      </c>
      <c r="E1114" s="42" t="s">
        <v>974</v>
      </c>
      <c r="F1114" s="28" t="s">
        <v>3083</v>
      </c>
      <c r="G1114" s="28">
        <v>34.0</v>
      </c>
      <c r="H1114" s="66"/>
      <c r="I1114" s="42"/>
      <c r="J1114" s="42"/>
      <c r="K1114" s="42"/>
      <c r="L1114" s="42"/>
      <c r="M1114" s="42"/>
      <c r="N1114" s="42"/>
      <c r="O1114" s="42"/>
      <c r="P1114" s="42"/>
      <c r="Q1114" s="42"/>
      <c r="R1114" s="42"/>
      <c r="S1114" s="42"/>
      <c r="T1114" s="42"/>
      <c r="U1114" s="42"/>
      <c r="V1114" s="42"/>
      <c r="W1114" s="42"/>
      <c r="X1114" s="42"/>
      <c r="Y1114" s="42"/>
      <c r="Z1114" s="42"/>
    </row>
    <row r="1115" ht="12.75" customHeight="1">
      <c r="A1115" s="28" t="s">
        <v>639</v>
      </c>
      <c r="B1115" s="28" t="s">
        <v>165</v>
      </c>
      <c r="C1115" s="42" t="s">
        <v>3084</v>
      </c>
      <c r="D1115" s="42" t="s">
        <v>401</v>
      </c>
      <c r="E1115" s="42" t="s">
        <v>255</v>
      </c>
      <c r="F1115" s="28" t="s">
        <v>3085</v>
      </c>
      <c r="G1115" s="28">
        <v>30.0</v>
      </c>
      <c r="H1115" s="66"/>
      <c r="I1115" s="42"/>
      <c r="J1115" s="42"/>
      <c r="K1115" s="42"/>
      <c r="L1115" s="42"/>
      <c r="M1115" s="42"/>
      <c r="N1115" s="42"/>
      <c r="O1115" s="42"/>
      <c r="P1115" s="42"/>
      <c r="Q1115" s="42"/>
      <c r="R1115" s="42"/>
      <c r="S1115" s="42"/>
      <c r="T1115" s="42"/>
      <c r="U1115" s="42"/>
      <c r="V1115" s="42"/>
      <c r="W1115" s="42"/>
      <c r="X1115" s="42"/>
      <c r="Y1115" s="42"/>
      <c r="Z1115" s="42"/>
    </row>
    <row r="1116" ht="12.75" customHeight="1">
      <c r="A1116" s="28" t="s">
        <v>372</v>
      </c>
      <c r="B1116" s="28" t="s">
        <v>159</v>
      </c>
      <c r="C1116" s="42" t="s">
        <v>3086</v>
      </c>
      <c r="D1116" s="42" t="s">
        <v>3087</v>
      </c>
      <c r="E1116" s="42" t="s">
        <v>162</v>
      </c>
      <c r="F1116" s="28" t="s">
        <v>3088</v>
      </c>
      <c r="G1116" s="28">
        <v>28.1</v>
      </c>
      <c r="H1116" s="66"/>
      <c r="I1116" s="42"/>
      <c r="J1116" s="42"/>
      <c r="K1116" s="42"/>
      <c r="L1116" s="42"/>
      <c r="M1116" s="42"/>
      <c r="N1116" s="42"/>
      <c r="O1116" s="42"/>
      <c r="P1116" s="42"/>
      <c r="Q1116" s="42"/>
      <c r="R1116" s="42"/>
      <c r="S1116" s="42"/>
      <c r="T1116" s="42"/>
      <c r="U1116" s="42"/>
      <c r="V1116" s="42"/>
      <c r="W1116" s="42"/>
      <c r="X1116" s="42"/>
      <c r="Y1116" s="42"/>
      <c r="Z1116" s="42"/>
    </row>
    <row r="1117" ht="12.75" customHeight="1">
      <c r="A1117" s="28" t="s">
        <v>333</v>
      </c>
      <c r="B1117" s="28" t="s">
        <v>159</v>
      </c>
      <c r="C1117" s="42" t="s">
        <v>3086</v>
      </c>
      <c r="D1117" s="42" t="s">
        <v>1145</v>
      </c>
      <c r="E1117" s="42" t="s">
        <v>277</v>
      </c>
      <c r="F1117" s="28" t="s">
        <v>3089</v>
      </c>
      <c r="G1117" s="28">
        <v>27.6</v>
      </c>
      <c r="H1117" s="66"/>
      <c r="I1117" s="42"/>
      <c r="J1117" s="42"/>
      <c r="K1117" s="42"/>
      <c r="L1117" s="42"/>
      <c r="M1117" s="42"/>
      <c r="N1117" s="42"/>
      <c r="O1117" s="42"/>
      <c r="P1117" s="42"/>
      <c r="Q1117" s="42"/>
      <c r="R1117" s="42"/>
      <c r="S1117" s="42"/>
      <c r="T1117" s="42"/>
      <c r="U1117" s="42"/>
      <c r="V1117" s="42"/>
      <c r="W1117" s="42"/>
      <c r="X1117" s="42"/>
      <c r="Y1117" s="42"/>
      <c r="Z1117" s="42"/>
    </row>
    <row r="1118" ht="12.75" customHeight="1">
      <c r="A1118" s="28" t="s">
        <v>3090</v>
      </c>
      <c r="B1118" s="28" t="s">
        <v>165</v>
      </c>
      <c r="C1118" s="42" t="s">
        <v>3091</v>
      </c>
      <c r="D1118" s="42" t="s">
        <v>251</v>
      </c>
      <c r="E1118" s="42" t="s">
        <v>1462</v>
      </c>
      <c r="F1118" s="28" t="s">
        <v>3092</v>
      </c>
      <c r="G1118" s="28">
        <v>17.5</v>
      </c>
      <c r="H1118" s="66"/>
      <c r="I1118" s="42"/>
      <c r="J1118" s="42"/>
      <c r="K1118" s="42"/>
      <c r="L1118" s="42"/>
      <c r="M1118" s="42"/>
      <c r="N1118" s="42"/>
      <c r="O1118" s="42"/>
      <c r="P1118" s="42"/>
      <c r="Q1118" s="42"/>
      <c r="R1118" s="42"/>
      <c r="S1118" s="42"/>
      <c r="T1118" s="42"/>
      <c r="U1118" s="42"/>
      <c r="V1118" s="42"/>
      <c r="W1118" s="42"/>
      <c r="X1118" s="42"/>
      <c r="Y1118" s="42"/>
      <c r="Z1118" s="42"/>
    </row>
    <row r="1119" ht="12.75" customHeight="1">
      <c r="A1119" s="28" t="s">
        <v>3093</v>
      </c>
      <c r="B1119" s="28" t="s">
        <v>165</v>
      </c>
      <c r="C1119" s="42" t="s">
        <v>3094</v>
      </c>
      <c r="D1119" s="42" t="s">
        <v>185</v>
      </c>
      <c r="E1119" s="42" t="s">
        <v>460</v>
      </c>
      <c r="F1119" s="28" t="s">
        <v>3095</v>
      </c>
      <c r="G1119" s="28">
        <v>19.6</v>
      </c>
      <c r="H1119" s="66"/>
      <c r="I1119" s="42"/>
      <c r="J1119" s="42"/>
      <c r="K1119" s="42"/>
      <c r="L1119" s="42"/>
      <c r="M1119" s="42"/>
      <c r="N1119" s="42"/>
      <c r="O1119" s="42"/>
      <c r="P1119" s="42"/>
      <c r="Q1119" s="42"/>
      <c r="R1119" s="42"/>
      <c r="S1119" s="42"/>
      <c r="T1119" s="42"/>
      <c r="U1119" s="42"/>
      <c r="V1119" s="42"/>
      <c r="W1119" s="42"/>
      <c r="X1119" s="42"/>
      <c r="Y1119" s="42"/>
      <c r="Z1119" s="42"/>
    </row>
    <row r="1120" ht="12.75" customHeight="1">
      <c r="A1120" s="28" t="s">
        <v>3096</v>
      </c>
      <c r="B1120" s="28" t="s">
        <v>165</v>
      </c>
      <c r="C1120" s="42" t="s">
        <v>3097</v>
      </c>
      <c r="D1120" s="42" t="s">
        <v>495</v>
      </c>
      <c r="E1120" s="42" t="s">
        <v>162</v>
      </c>
      <c r="F1120" s="28" t="s">
        <v>3098</v>
      </c>
      <c r="G1120" s="28">
        <v>24.2</v>
      </c>
      <c r="H1120" s="66"/>
      <c r="I1120" s="42"/>
      <c r="J1120" s="42"/>
      <c r="K1120" s="42"/>
      <c r="L1120" s="42"/>
      <c r="M1120" s="42"/>
      <c r="N1120" s="42"/>
      <c r="O1120" s="42"/>
      <c r="P1120" s="42"/>
      <c r="Q1120" s="42"/>
      <c r="R1120" s="42"/>
      <c r="S1120" s="42"/>
      <c r="T1120" s="42"/>
      <c r="U1120" s="42"/>
      <c r="V1120" s="42"/>
      <c r="W1120" s="42"/>
      <c r="X1120" s="42"/>
      <c r="Y1120" s="42"/>
      <c r="Z1120" s="42"/>
    </row>
    <row r="1121" ht="12.75" customHeight="1">
      <c r="A1121" s="28" t="s">
        <v>3099</v>
      </c>
      <c r="B1121" s="28" t="s">
        <v>165</v>
      </c>
      <c r="C1121" s="42" t="s">
        <v>3097</v>
      </c>
      <c r="D1121" s="42" t="s">
        <v>665</v>
      </c>
      <c r="E1121" s="42" t="s">
        <v>162</v>
      </c>
      <c r="F1121" s="28" t="s">
        <v>2675</v>
      </c>
      <c r="G1121" s="28">
        <v>26.0</v>
      </c>
      <c r="H1121" s="66"/>
      <c r="I1121" s="42"/>
      <c r="J1121" s="42"/>
      <c r="K1121" s="42"/>
      <c r="L1121" s="42"/>
      <c r="M1121" s="42"/>
      <c r="N1121" s="42"/>
      <c r="O1121" s="42"/>
      <c r="P1121" s="42"/>
      <c r="Q1121" s="42"/>
      <c r="R1121" s="42"/>
      <c r="S1121" s="42"/>
      <c r="T1121" s="42"/>
      <c r="U1121" s="42"/>
      <c r="V1121" s="42"/>
      <c r="W1121" s="42"/>
      <c r="X1121" s="42"/>
      <c r="Y1121" s="42"/>
      <c r="Z1121" s="42"/>
    </row>
    <row r="1122" ht="12.75" customHeight="1">
      <c r="A1122" s="28" t="s">
        <v>3100</v>
      </c>
      <c r="B1122" s="28" t="s">
        <v>165</v>
      </c>
      <c r="C1122" s="42" t="s">
        <v>3101</v>
      </c>
      <c r="D1122" s="42" t="s">
        <v>3102</v>
      </c>
      <c r="E1122" s="42" t="s">
        <v>162</v>
      </c>
      <c r="F1122" s="28" t="s">
        <v>3103</v>
      </c>
      <c r="G1122" s="28">
        <v>22.7</v>
      </c>
      <c r="H1122" s="66"/>
      <c r="I1122" s="42"/>
      <c r="J1122" s="42"/>
      <c r="K1122" s="42"/>
      <c r="L1122" s="42"/>
      <c r="M1122" s="42"/>
      <c r="N1122" s="42"/>
      <c r="O1122" s="42"/>
      <c r="P1122" s="42"/>
      <c r="Q1122" s="42"/>
      <c r="R1122" s="42"/>
      <c r="S1122" s="42"/>
      <c r="T1122" s="42"/>
      <c r="U1122" s="42"/>
      <c r="V1122" s="42"/>
      <c r="W1122" s="42"/>
      <c r="X1122" s="42"/>
      <c r="Y1122" s="42"/>
      <c r="Z1122" s="42"/>
    </row>
    <row r="1123" ht="12.75" customHeight="1">
      <c r="A1123" s="28" t="s">
        <v>672</v>
      </c>
      <c r="B1123" s="28" t="s">
        <v>602</v>
      </c>
      <c r="C1123" s="42" t="s">
        <v>3104</v>
      </c>
      <c r="D1123" s="42" t="s">
        <v>1684</v>
      </c>
      <c r="E1123" s="42" t="s">
        <v>162</v>
      </c>
      <c r="F1123" s="28" t="s">
        <v>3105</v>
      </c>
      <c r="G1123" s="28">
        <v>27.4</v>
      </c>
      <c r="H1123" s="66"/>
      <c r="I1123" s="42"/>
      <c r="J1123" s="42"/>
      <c r="K1123" s="42"/>
      <c r="L1123" s="42"/>
      <c r="M1123" s="42"/>
      <c r="N1123" s="42"/>
      <c r="O1123" s="42"/>
      <c r="P1123" s="42"/>
      <c r="Q1123" s="42"/>
      <c r="R1123" s="42"/>
      <c r="S1123" s="42"/>
      <c r="T1123" s="42"/>
      <c r="U1123" s="42"/>
      <c r="V1123" s="42"/>
      <c r="W1123" s="42"/>
      <c r="X1123" s="42"/>
      <c r="Y1123" s="42"/>
      <c r="Z1123" s="42"/>
    </row>
    <row r="1124" ht="12.75" customHeight="1">
      <c r="A1124" s="28" t="s">
        <v>919</v>
      </c>
      <c r="B1124" s="28" t="s">
        <v>165</v>
      </c>
      <c r="C1124" s="42" t="s">
        <v>627</v>
      </c>
      <c r="D1124" s="42" t="s">
        <v>3106</v>
      </c>
      <c r="E1124" s="42" t="s">
        <v>162</v>
      </c>
      <c r="F1124" s="28" t="s">
        <v>3107</v>
      </c>
      <c r="G1124" s="28">
        <v>22.2</v>
      </c>
      <c r="H1124" s="66"/>
      <c r="I1124" s="42"/>
      <c r="J1124" s="42"/>
      <c r="K1124" s="42"/>
      <c r="L1124" s="42"/>
      <c r="M1124" s="42"/>
      <c r="N1124" s="42"/>
      <c r="O1124" s="42"/>
      <c r="P1124" s="42"/>
      <c r="Q1124" s="42"/>
      <c r="R1124" s="42"/>
      <c r="S1124" s="42"/>
      <c r="T1124" s="42"/>
      <c r="U1124" s="42"/>
      <c r="V1124" s="42"/>
      <c r="W1124" s="42"/>
      <c r="X1124" s="42"/>
      <c r="Y1124" s="42"/>
      <c r="Z1124" s="42"/>
    </row>
    <row r="1125" ht="12.75" customHeight="1">
      <c r="A1125" s="28" t="s">
        <v>923</v>
      </c>
      <c r="B1125" s="28" t="s">
        <v>165</v>
      </c>
      <c r="C1125" s="42" t="s">
        <v>627</v>
      </c>
      <c r="D1125" s="42" t="s">
        <v>3108</v>
      </c>
      <c r="E1125" s="42" t="s">
        <v>162</v>
      </c>
      <c r="F1125" s="28" t="s">
        <v>3109</v>
      </c>
      <c r="G1125" s="28">
        <v>20.3</v>
      </c>
      <c r="H1125" s="66"/>
      <c r="I1125" s="42"/>
      <c r="J1125" s="42"/>
      <c r="K1125" s="42"/>
      <c r="L1125" s="42"/>
      <c r="M1125" s="42"/>
      <c r="N1125" s="42"/>
      <c r="O1125" s="42"/>
      <c r="P1125" s="42"/>
      <c r="Q1125" s="42"/>
      <c r="R1125" s="42"/>
      <c r="S1125" s="42"/>
      <c r="T1125" s="42"/>
      <c r="U1125" s="42"/>
      <c r="V1125" s="42"/>
      <c r="W1125" s="42"/>
      <c r="X1125" s="42"/>
      <c r="Y1125" s="42"/>
      <c r="Z1125" s="42"/>
    </row>
    <row r="1126" ht="12.75" customHeight="1">
      <c r="A1126" s="28" t="s">
        <v>923</v>
      </c>
      <c r="B1126" s="28" t="s">
        <v>210</v>
      </c>
      <c r="C1126" s="42" t="s">
        <v>627</v>
      </c>
      <c r="D1126" s="42" t="s">
        <v>3110</v>
      </c>
      <c r="E1126" s="42" t="s">
        <v>162</v>
      </c>
      <c r="F1126" s="28" t="s">
        <v>931</v>
      </c>
      <c r="G1126" s="28">
        <v>19.0</v>
      </c>
      <c r="H1126" s="66"/>
      <c r="I1126" s="42"/>
      <c r="J1126" s="42"/>
      <c r="K1126" s="42"/>
      <c r="L1126" s="42"/>
      <c r="M1126" s="42"/>
      <c r="N1126" s="42"/>
      <c r="O1126" s="42"/>
      <c r="P1126" s="42"/>
      <c r="Q1126" s="42"/>
      <c r="R1126" s="42"/>
      <c r="S1126" s="42"/>
      <c r="T1126" s="42"/>
      <c r="U1126" s="42"/>
      <c r="V1126" s="42"/>
      <c r="W1126" s="42"/>
      <c r="X1126" s="42"/>
      <c r="Y1126" s="42"/>
      <c r="Z1126" s="42"/>
    </row>
    <row r="1127" ht="12.75" customHeight="1">
      <c r="A1127" s="28" t="s">
        <v>152</v>
      </c>
      <c r="B1127" s="28" t="s">
        <v>159</v>
      </c>
      <c r="C1127" s="42" t="s">
        <v>3111</v>
      </c>
      <c r="D1127" s="42" t="s">
        <v>939</v>
      </c>
      <c r="E1127" s="42" t="s">
        <v>156</v>
      </c>
      <c r="F1127" s="28" t="s">
        <v>3112</v>
      </c>
      <c r="G1127" s="28">
        <v>18.4</v>
      </c>
      <c r="H1127" s="66"/>
      <c r="I1127" s="42"/>
      <c r="J1127" s="42"/>
      <c r="K1127" s="42"/>
      <c r="L1127" s="42"/>
      <c r="M1127" s="42"/>
      <c r="N1127" s="42"/>
      <c r="O1127" s="42"/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</row>
    <row r="1128" ht="12.75" customHeight="1">
      <c r="A1128" s="28" t="s">
        <v>847</v>
      </c>
      <c r="B1128" s="28" t="s">
        <v>159</v>
      </c>
      <c r="C1128" s="42" t="s">
        <v>3113</v>
      </c>
      <c r="D1128" s="42" t="s">
        <v>955</v>
      </c>
      <c r="E1128" s="42" t="s">
        <v>162</v>
      </c>
      <c r="F1128" s="28" t="s">
        <v>3114</v>
      </c>
      <c r="G1128" s="28">
        <v>32.6</v>
      </c>
      <c r="H1128" s="66"/>
      <c r="I1128" s="42"/>
      <c r="J1128" s="42"/>
      <c r="K1128" s="42"/>
      <c r="L1128" s="42"/>
      <c r="M1128" s="42"/>
      <c r="N1128" s="42"/>
      <c r="O1128" s="42"/>
      <c r="P1128" s="42"/>
      <c r="Q1128" s="42"/>
      <c r="R1128" s="42"/>
      <c r="S1128" s="42"/>
      <c r="T1128" s="42"/>
      <c r="U1128" s="42"/>
      <c r="V1128" s="42"/>
      <c r="W1128" s="42"/>
      <c r="X1128" s="42"/>
      <c r="Y1128" s="42"/>
      <c r="Z1128" s="42"/>
    </row>
    <row r="1129" ht="12.75" customHeight="1">
      <c r="A1129" s="28" t="s">
        <v>3115</v>
      </c>
      <c r="B1129" s="28" t="s">
        <v>165</v>
      </c>
      <c r="C1129" s="42" t="s">
        <v>3113</v>
      </c>
      <c r="D1129" s="42" t="s">
        <v>3116</v>
      </c>
      <c r="E1129" s="42" t="s">
        <v>1412</v>
      </c>
      <c r="F1129" s="28" t="s">
        <v>2340</v>
      </c>
      <c r="G1129" s="28">
        <v>27.8</v>
      </c>
      <c r="H1129" s="66"/>
      <c r="I1129" s="42"/>
      <c r="J1129" s="42"/>
      <c r="K1129" s="42"/>
      <c r="L1129" s="42"/>
      <c r="M1129" s="42"/>
      <c r="N1129" s="42"/>
      <c r="O1129" s="42"/>
      <c r="P1129" s="42"/>
      <c r="Q1129" s="42"/>
      <c r="R1129" s="42"/>
      <c r="S1129" s="42"/>
      <c r="T1129" s="42"/>
      <c r="U1129" s="42"/>
      <c r="V1129" s="42"/>
      <c r="W1129" s="42"/>
      <c r="X1129" s="42"/>
      <c r="Y1129" s="42"/>
      <c r="Z1129" s="42"/>
    </row>
    <row r="1130" ht="12.75" customHeight="1">
      <c r="A1130" s="28" t="s">
        <v>3117</v>
      </c>
      <c r="B1130" s="28" t="s">
        <v>165</v>
      </c>
      <c r="C1130" s="42" t="s">
        <v>3118</v>
      </c>
      <c r="D1130" s="42" t="s">
        <v>290</v>
      </c>
      <c r="E1130" s="42" t="s">
        <v>162</v>
      </c>
      <c r="F1130" s="28" t="s">
        <v>3119</v>
      </c>
      <c r="G1130" s="28">
        <v>27.2</v>
      </c>
      <c r="H1130" s="66"/>
      <c r="I1130" s="42"/>
      <c r="J1130" s="42"/>
      <c r="K1130" s="42"/>
      <c r="L1130" s="42"/>
      <c r="M1130" s="42"/>
      <c r="N1130" s="42"/>
      <c r="O1130" s="42"/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</row>
    <row r="1131" ht="12.75" customHeight="1">
      <c r="A1131" s="28" t="s">
        <v>3120</v>
      </c>
      <c r="B1131" s="28" t="s">
        <v>165</v>
      </c>
      <c r="C1131" s="42" t="s">
        <v>3121</v>
      </c>
      <c r="D1131" s="42" t="s">
        <v>198</v>
      </c>
      <c r="E1131" s="42" t="s">
        <v>1891</v>
      </c>
      <c r="F1131" s="28" t="s">
        <v>3122</v>
      </c>
      <c r="G1131" s="28">
        <v>20.9</v>
      </c>
      <c r="H1131" s="66"/>
      <c r="I1131" s="42"/>
      <c r="J1131" s="42"/>
      <c r="K1131" s="42"/>
      <c r="L1131" s="42"/>
      <c r="M1131" s="42"/>
      <c r="N1131" s="42"/>
      <c r="O1131" s="42"/>
      <c r="P1131" s="42"/>
      <c r="Q1131" s="42"/>
      <c r="R1131" s="42"/>
      <c r="S1131" s="42"/>
      <c r="T1131" s="42"/>
      <c r="U1131" s="42"/>
      <c r="V1131" s="42"/>
      <c r="W1131" s="42"/>
      <c r="X1131" s="42"/>
      <c r="Y1131" s="42"/>
      <c r="Z1131" s="42"/>
    </row>
    <row r="1132" ht="12.75" customHeight="1">
      <c r="A1132" s="28" t="s">
        <v>406</v>
      </c>
      <c r="B1132" s="28" t="s">
        <v>262</v>
      </c>
      <c r="C1132" s="42" t="s">
        <v>3123</v>
      </c>
      <c r="D1132" s="42" t="s">
        <v>939</v>
      </c>
      <c r="E1132" s="42" t="s">
        <v>162</v>
      </c>
      <c r="F1132" s="28" t="s">
        <v>3124</v>
      </c>
      <c r="G1132" s="28">
        <v>31.8</v>
      </c>
      <c r="H1132" s="66"/>
      <c r="I1132" s="42"/>
      <c r="J1132" s="42"/>
      <c r="K1132" s="42"/>
      <c r="L1132" s="42"/>
      <c r="M1132" s="42"/>
      <c r="N1132" s="42"/>
      <c r="O1132" s="42"/>
      <c r="P1132" s="42"/>
      <c r="Q1132" s="42"/>
      <c r="R1132" s="42"/>
      <c r="S1132" s="42"/>
      <c r="T1132" s="42"/>
      <c r="U1132" s="42"/>
      <c r="V1132" s="42"/>
      <c r="W1132" s="42"/>
      <c r="X1132" s="42"/>
      <c r="Y1132" s="42"/>
      <c r="Z1132" s="42"/>
    </row>
    <row r="1133" ht="12.75" customHeight="1">
      <c r="A1133" s="28" t="s">
        <v>333</v>
      </c>
      <c r="B1133" s="28" t="s">
        <v>159</v>
      </c>
      <c r="C1133" s="42" t="s">
        <v>3125</v>
      </c>
      <c r="D1133" s="42" t="s">
        <v>837</v>
      </c>
      <c r="E1133" s="42" t="s">
        <v>1159</v>
      </c>
      <c r="F1133" s="28" t="s">
        <v>3126</v>
      </c>
      <c r="G1133" s="28">
        <v>27.9</v>
      </c>
      <c r="H1133" s="66"/>
      <c r="I1133" s="42"/>
      <c r="J1133" s="42"/>
      <c r="K1133" s="42"/>
      <c r="L1133" s="42"/>
      <c r="M1133" s="42"/>
      <c r="N1133" s="42"/>
      <c r="O1133" s="42"/>
      <c r="P1133" s="42"/>
      <c r="Q1133" s="42"/>
      <c r="R1133" s="42"/>
      <c r="S1133" s="42"/>
      <c r="T1133" s="42"/>
      <c r="U1133" s="42"/>
      <c r="V1133" s="42"/>
      <c r="W1133" s="42"/>
      <c r="X1133" s="42"/>
      <c r="Y1133" s="42"/>
      <c r="Z1133" s="42"/>
    </row>
    <row r="1134" ht="12.75" customHeight="1">
      <c r="A1134" s="28" t="s">
        <v>152</v>
      </c>
      <c r="B1134" s="28" t="s">
        <v>159</v>
      </c>
      <c r="C1134" s="42" t="s">
        <v>3127</v>
      </c>
      <c r="D1134" s="42" t="s">
        <v>357</v>
      </c>
      <c r="E1134" s="42" t="s">
        <v>277</v>
      </c>
      <c r="F1134" s="28" t="s">
        <v>2070</v>
      </c>
      <c r="G1134" s="28">
        <v>25.6</v>
      </c>
      <c r="H1134" s="66"/>
      <c r="I1134" s="42"/>
      <c r="J1134" s="42"/>
      <c r="K1134" s="42"/>
      <c r="L1134" s="42"/>
      <c r="M1134" s="42"/>
      <c r="N1134" s="42"/>
      <c r="O1134" s="42"/>
      <c r="P1134" s="42"/>
      <c r="Q1134" s="42"/>
      <c r="R1134" s="42"/>
      <c r="S1134" s="42"/>
      <c r="T1134" s="42"/>
      <c r="U1134" s="42"/>
      <c r="V1134" s="42"/>
      <c r="W1134" s="42"/>
      <c r="X1134" s="42"/>
      <c r="Y1134" s="42"/>
      <c r="Z1134" s="42"/>
    </row>
    <row r="1135" ht="12.75" customHeight="1">
      <c r="A1135" s="28" t="s">
        <v>573</v>
      </c>
      <c r="B1135" s="28" t="s">
        <v>165</v>
      </c>
      <c r="C1135" s="42" t="s">
        <v>3128</v>
      </c>
      <c r="D1135" s="42" t="s">
        <v>633</v>
      </c>
      <c r="E1135" s="42" t="s">
        <v>1554</v>
      </c>
      <c r="F1135" s="28" t="s">
        <v>3129</v>
      </c>
      <c r="G1135" s="28">
        <v>20.6</v>
      </c>
      <c r="H1135" s="66"/>
      <c r="I1135" s="42"/>
      <c r="J1135" s="42"/>
      <c r="K1135" s="42"/>
      <c r="L1135" s="42"/>
      <c r="M1135" s="42"/>
      <c r="N1135" s="42"/>
      <c r="O1135" s="42"/>
      <c r="P1135" s="42"/>
      <c r="Q1135" s="42"/>
      <c r="R1135" s="42"/>
      <c r="S1135" s="42"/>
      <c r="T1135" s="42"/>
      <c r="U1135" s="42"/>
      <c r="V1135" s="42"/>
      <c r="W1135" s="42"/>
      <c r="X1135" s="42"/>
      <c r="Y1135" s="42"/>
      <c r="Z1135" s="42"/>
    </row>
    <row r="1136" ht="12.75" customHeight="1">
      <c r="A1136" s="28" t="s">
        <v>3130</v>
      </c>
      <c r="B1136" s="28" t="s">
        <v>210</v>
      </c>
      <c r="C1136" s="42" t="s">
        <v>3131</v>
      </c>
      <c r="D1136" s="42" t="s">
        <v>3132</v>
      </c>
      <c r="E1136" s="42" t="s">
        <v>307</v>
      </c>
      <c r="F1136" s="28" t="s">
        <v>2027</v>
      </c>
      <c r="G1136" s="28">
        <v>28.8</v>
      </c>
      <c r="H1136" s="66"/>
      <c r="I1136" s="42"/>
      <c r="J1136" s="42"/>
      <c r="K1136" s="42"/>
      <c r="L1136" s="42"/>
      <c r="M1136" s="42"/>
      <c r="N1136" s="42"/>
      <c r="O1136" s="42"/>
      <c r="P1136" s="42"/>
      <c r="Q1136" s="42"/>
      <c r="R1136" s="42"/>
      <c r="S1136" s="42"/>
      <c r="T1136" s="42"/>
      <c r="U1136" s="42"/>
      <c r="V1136" s="42"/>
      <c r="W1136" s="42"/>
      <c r="X1136" s="42"/>
      <c r="Y1136" s="42"/>
      <c r="Z1136" s="42"/>
    </row>
    <row r="1137" ht="12.75" customHeight="1">
      <c r="A1137" s="28" t="s">
        <v>911</v>
      </c>
      <c r="B1137" s="28" t="s">
        <v>153</v>
      </c>
      <c r="C1137" s="42" t="s">
        <v>3133</v>
      </c>
      <c r="D1137" s="42" t="s">
        <v>3134</v>
      </c>
      <c r="E1137" s="42" t="s">
        <v>162</v>
      </c>
      <c r="F1137" s="28" t="s">
        <v>3135</v>
      </c>
      <c r="G1137" s="28">
        <v>16.5</v>
      </c>
      <c r="H1137" s="66"/>
      <c r="I1137" s="42"/>
      <c r="J1137" s="42"/>
      <c r="K1137" s="42"/>
      <c r="L1137" s="42"/>
      <c r="M1137" s="42"/>
      <c r="N1137" s="42"/>
      <c r="O1137" s="42"/>
      <c r="P1137" s="42"/>
      <c r="Q1137" s="42"/>
      <c r="R1137" s="42"/>
      <c r="S1137" s="42"/>
      <c r="T1137" s="42"/>
      <c r="U1137" s="42"/>
      <c r="V1137" s="42"/>
      <c r="W1137" s="42"/>
      <c r="X1137" s="42"/>
      <c r="Y1137" s="42"/>
      <c r="Z1137" s="42"/>
    </row>
    <row r="1138" ht="12.75" customHeight="1">
      <c r="A1138" s="28" t="s">
        <v>3136</v>
      </c>
      <c r="B1138" s="28" t="s">
        <v>457</v>
      </c>
      <c r="C1138" s="42" t="s">
        <v>3137</v>
      </c>
      <c r="D1138" s="42" t="s">
        <v>233</v>
      </c>
      <c r="E1138" s="42" t="s">
        <v>3138</v>
      </c>
      <c r="F1138" s="28" t="s">
        <v>452</v>
      </c>
      <c r="G1138" s="28">
        <v>43.2</v>
      </c>
      <c r="H1138" s="66"/>
      <c r="I1138" s="42"/>
      <c r="J1138" s="42"/>
      <c r="K1138" s="42"/>
      <c r="L1138" s="42"/>
      <c r="M1138" s="42"/>
      <c r="N1138" s="42"/>
      <c r="O1138" s="42"/>
      <c r="P1138" s="42"/>
      <c r="Q1138" s="42"/>
      <c r="R1138" s="42"/>
      <c r="S1138" s="42"/>
      <c r="T1138" s="42"/>
      <c r="U1138" s="42"/>
      <c r="V1138" s="42"/>
      <c r="W1138" s="42"/>
      <c r="X1138" s="42"/>
      <c r="Y1138" s="42"/>
      <c r="Z1138" s="42"/>
    </row>
    <row r="1139" ht="12.75" customHeight="1">
      <c r="A1139" s="28" t="s">
        <v>390</v>
      </c>
      <c r="B1139" s="28" t="s">
        <v>165</v>
      </c>
      <c r="C1139" s="42" t="s">
        <v>3139</v>
      </c>
      <c r="D1139" s="42" t="s">
        <v>203</v>
      </c>
      <c r="E1139" s="42" t="s">
        <v>2048</v>
      </c>
      <c r="F1139" s="28" t="s">
        <v>3140</v>
      </c>
      <c r="G1139" s="28">
        <v>33.6</v>
      </c>
      <c r="H1139" s="66"/>
      <c r="I1139" s="42"/>
      <c r="J1139" s="42"/>
      <c r="K1139" s="42"/>
      <c r="L1139" s="42"/>
      <c r="M1139" s="42"/>
      <c r="N1139" s="42"/>
      <c r="O1139" s="42"/>
      <c r="P1139" s="42"/>
      <c r="Q1139" s="42"/>
      <c r="R1139" s="42"/>
      <c r="S1139" s="42"/>
      <c r="T1139" s="42"/>
      <c r="U1139" s="42"/>
      <c r="V1139" s="42"/>
      <c r="W1139" s="42"/>
      <c r="X1139" s="42"/>
      <c r="Y1139" s="42"/>
      <c r="Z1139" s="42"/>
    </row>
    <row r="1140" ht="12.75" customHeight="1">
      <c r="A1140" s="28" t="s">
        <v>3141</v>
      </c>
      <c r="B1140" s="28" t="s">
        <v>165</v>
      </c>
      <c r="C1140" s="42" t="s">
        <v>3142</v>
      </c>
      <c r="D1140" s="42" t="s">
        <v>3143</v>
      </c>
      <c r="E1140" s="42" t="s">
        <v>162</v>
      </c>
      <c r="F1140" s="28" t="s">
        <v>3144</v>
      </c>
      <c r="G1140" s="28">
        <v>32.6</v>
      </c>
      <c r="H1140" s="66"/>
      <c r="I1140" s="42"/>
      <c r="J1140" s="42"/>
      <c r="K1140" s="42"/>
      <c r="L1140" s="42"/>
      <c r="M1140" s="42"/>
      <c r="N1140" s="42"/>
      <c r="O1140" s="42"/>
      <c r="P1140" s="42"/>
      <c r="Q1140" s="42"/>
      <c r="R1140" s="42"/>
      <c r="S1140" s="42"/>
      <c r="T1140" s="42"/>
      <c r="U1140" s="42"/>
      <c r="V1140" s="42"/>
      <c r="W1140" s="42"/>
      <c r="X1140" s="42"/>
      <c r="Y1140" s="42"/>
      <c r="Z1140" s="42"/>
    </row>
    <row r="1141" ht="12.75" customHeight="1">
      <c r="A1141" s="28" t="s">
        <v>214</v>
      </c>
      <c r="B1141" s="28" t="s">
        <v>153</v>
      </c>
      <c r="C1141" s="42" t="s">
        <v>3145</v>
      </c>
      <c r="D1141" s="42" t="s">
        <v>3146</v>
      </c>
      <c r="E1141" s="42" t="s">
        <v>3147</v>
      </c>
      <c r="F1141" s="28" t="s">
        <v>3148</v>
      </c>
      <c r="G1141" s="28">
        <v>18.5</v>
      </c>
      <c r="H1141" s="66"/>
      <c r="I1141" s="42"/>
      <c r="J1141" s="42"/>
      <c r="K1141" s="42"/>
      <c r="L1141" s="42"/>
      <c r="M1141" s="42"/>
      <c r="N1141" s="42"/>
      <c r="O1141" s="42"/>
      <c r="P1141" s="42"/>
      <c r="Q1141" s="42"/>
      <c r="R1141" s="42"/>
      <c r="S1141" s="42"/>
      <c r="T1141" s="42"/>
      <c r="U1141" s="42"/>
      <c r="V1141" s="42"/>
      <c r="W1141" s="42"/>
      <c r="X1141" s="42"/>
      <c r="Y1141" s="42"/>
      <c r="Z1141" s="42"/>
    </row>
    <row r="1142" ht="12.75" customHeight="1">
      <c r="A1142" s="28" t="s">
        <v>3149</v>
      </c>
      <c r="B1142" s="28" t="s">
        <v>210</v>
      </c>
      <c r="C1142" s="42" t="s">
        <v>3145</v>
      </c>
      <c r="D1142" s="42" t="s">
        <v>796</v>
      </c>
      <c r="E1142" s="42" t="s">
        <v>162</v>
      </c>
      <c r="F1142" s="28" t="s">
        <v>3150</v>
      </c>
      <c r="G1142" s="28">
        <v>21.7</v>
      </c>
      <c r="H1142" s="66"/>
      <c r="I1142" s="42"/>
      <c r="J1142" s="42"/>
      <c r="K1142" s="42"/>
      <c r="L1142" s="42"/>
      <c r="M1142" s="42"/>
      <c r="N1142" s="42"/>
      <c r="O1142" s="42"/>
      <c r="P1142" s="42"/>
      <c r="Q1142" s="42"/>
      <c r="R1142" s="42"/>
      <c r="S1142" s="42"/>
      <c r="T1142" s="42"/>
      <c r="U1142" s="42"/>
      <c r="V1142" s="42"/>
      <c r="W1142" s="42"/>
      <c r="X1142" s="42"/>
      <c r="Y1142" s="42"/>
      <c r="Z1142" s="42"/>
    </row>
    <row r="1143" ht="12.75" customHeight="1">
      <c r="A1143" s="28" t="s">
        <v>3151</v>
      </c>
      <c r="B1143" s="28" t="s">
        <v>210</v>
      </c>
      <c r="C1143" s="42" t="s">
        <v>3145</v>
      </c>
      <c r="D1143" s="42" t="s">
        <v>1466</v>
      </c>
      <c r="E1143" s="42" t="s">
        <v>1915</v>
      </c>
      <c r="F1143" s="28" t="s">
        <v>2016</v>
      </c>
      <c r="G1143" s="28">
        <v>25.5</v>
      </c>
      <c r="H1143" s="66"/>
      <c r="I1143" s="42"/>
      <c r="J1143" s="42"/>
      <c r="K1143" s="42"/>
      <c r="L1143" s="42"/>
      <c r="M1143" s="42"/>
      <c r="N1143" s="42"/>
      <c r="O1143" s="42"/>
      <c r="P1143" s="42"/>
      <c r="Q1143" s="42"/>
      <c r="R1143" s="42"/>
      <c r="S1143" s="42"/>
      <c r="T1143" s="42"/>
      <c r="U1143" s="42"/>
      <c r="V1143" s="42"/>
      <c r="W1143" s="42"/>
      <c r="X1143" s="42"/>
      <c r="Y1143" s="42"/>
      <c r="Z1143" s="42"/>
    </row>
    <row r="1144" ht="12.75" customHeight="1">
      <c r="A1144" s="28" t="s">
        <v>1194</v>
      </c>
      <c r="B1144" s="28" t="s">
        <v>165</v>
      </c>
      <c r="C1144" s="42" t="s">
        <v>3152</v>
      </c>
      <c r="D1144" s="42" t="s">
        <v>586</v>
      </c>
      <c r="E1144" s="42" t="s">
        <v>1915</v>
      </c>
      <c r="F1144" s="28" t="s">
        <v>3153</v>
      </c>
      <c r="G1144" s="28">
        <v>36.3</v>
      </c>
      <c r="H1144" s="66"/>
      <c r="I1144" s="42"/>
      <c r="J1144" s="42"/>
      <c r="K1144" s="42"/>
      <c r="L1144" s="42"/>
      <c r="M1144" s="42"/>
      <c r="N1144" s="42"/>
      <c r="O1144" s="42"/>
      <c r="P1144" s="42"/>
      <c r="Q1144" s="42"/>
      <c r="R1144" s="42"/>
      <c r="S1144" s="42"/>
      <c r="T1144" s="42"/>
      <c r="U1144" s="42"/>
      <c r="V1144" s="42"/>
      <c r="W1144" s="42"/>
      <c r="X1144" s="42"/>
      <c r="Y1144" s="42"/>
      <c r="Z1144" s="42"/>
    </row>
    <row r="1145" ht="12.75" customHeight="1">
      <c r="A1145" s="28" t="s">
        <v>667</v>
      </c>
      <c r="B1145" s="28" t="s">
        <v>497</v>
      </c>
      <c r="C1145" s="42" t="s">
        <v>3152</v>
      </c>
      <c r="D1145" s="42" t="s">
        <v>321</v>
      </c>
      <c r="E1145" s="42" t="s">
        <v>374</v>
      </c>
      <c r="F1145" s="28" t="s">
        <v>3154</v>
      </c>
      <c r="G1145" s="28">
        <v>28.9</v>
      </c>
      <c r="H1145" s="66"/>
      <c r="I1145" s="42"/>
      <c r="J1145" s="42"/>
      <c r="K1145" s="42"/>
      <c r="L1145" s="42"/>
      <c r="M1145" s="42"/>
      <c r="N1145" s="42"/>
      <c r="O1145" s="42"/>
      <c r="P1145" s="42"/>
      <c r="Q1145" s="42"/>
      <c r="R1145" s="42"/>
      <c r="S1145" s="42"/>
      <c r="T1145" s="42"/>
      <c r="U1145" s="42"/>
      <c r="V1145" s="42"/>
      <c r="W1145" s="42"/>
      <c r="X1145" s="42"/>
      <c r="Y1145" s="42"/>
      <c r="Z1145" s="42"/>
    </row>
    <row r="1146" ht="12.75" customHeight="1">
      <c r="A1146" s="28" t="s">
        <v>3155</v>
      </c>
      <c r="B1146" s="28" t="s">
        <v>165</v>
      </c>
      <c r="C1146" s="42" t="s">
        <v>3152</v>
      </c>
      <c r="D1146" s="42" t="s">
        <v>1164</v>
      </c>
      <c r="E1146" s="42" t="s">
        <v>162</v>
      </c>
      <c r="F1146" s="28" t="s">
        <v>3156</v>
      </c>
      <c r="G1146" s="28">
        <v>29.1</v>
      </c>
      <c r="H1146" s="66"/>
      <c r="I1146" s="42"/>
      <c r="J1146" s="42"/>
      <c r="K1146" s="42"/>
      <c r="L1146" s="42"/>
      <c r="M1146" s="42"/>
      <c r="N1146" s="42"/>
      <c r="O1146" s="42"/>
      <c r="P1146" s="42"/>
      <c r="Q1146" s="42"/>
      <c r="R1146" s="42"/>
      <c r="S1146" s="42"/>
      <c r="T1146" s="42"/>
      <c r="U1146" s="42"/>
      <c r="V1146" s="42"/>
      <c r="W1146" s="42"/>
      <c r="X1146" s="42"/>
      <c r="Y1146" s="42"/>
      <c r="Z1146" s="42"/>
    </row>
    <row r="1147" ht="12.75" customHeight="1">
      <c r="A1147" s="28" t="s">
        <v>3157</v>
      </c>
      <c r="B1147" s="28" t="s">
        <v>165</v>
      </c>
      <c r="C1147" s="42" t="s">
        <v>3152</v>
      </c>
      <c r="D1147" s="42" t="s">
        <v>1247</v>
      </c>
      <c r="E1147" s="42" t="s">
        <v>162</v>
      </c>
      <c r="F1147" s="28" t="s">
        <v>291</v>
      </c>
      <c r="G1147" s="28">
        <v>21.9</v>
      </c>
      <c r="H1147" s="66"/>
      <c r="I1147" s="42"/>
      <c r="J1147" s="42"/>
      <c r="K1147" s="42"/>
      <c r="L1147" s="42"/>
      <c r="M1147" s="42"/>
      <c r="N1147" s="42"/>
      <c r="O1147" s="42"/>
      <c r="P1147" s="42"/>
      <c r="Q1147" s="42"/>
      <c r="R1147" s="42"/>
      <c r="S1147" s="42"/>
      <c r="T1147" s="42"/>
      <c r="U1147" s="42"/>
      <c r="V1147" s="42"/>
      <c r="W1147" s="42"/>
      <c r="X1147" s="42"/>
      <c r="Y1147" s="42"/>
      <c r="Z1147" s="42"/>
    </row>
    <row r="1148" ht="12.75" customHeight="1">
      <c r="A1148" s="28" t="s">
        <v>2063</v>
      </c>
      <c r="B1148" s="28" t="s">
        <v>159</v>
      </c>
      <c r="C1148" s="42" t="s">
        <v>3158</v>
      </c>
      <c r="D1148" s="42" t="s">
        <v>401</v>
      </c>
      <c r="E1148" s="42" t="s">
        <v>156</v>
      </c>
      <c r="F1148" s="28" t="s">
        <v>3159</v>
      </c>
      <c r="G1148" s="28">
        <v>24.5</v>
      </c>
      <c r="H1148" s="66"/>
      <c r="I1148" s="42"/>
      <c r="J1148" s="42"/>
      <c r="K1148" s="42"/>
      <c r="L1148" s="42"/>
      <c r="M1148" s="42"/>
      <c r="N1148" s="42"/>
      <c r="O1148" s="42"/>
      <c r="P1148" s="42"/>
      <c r="Q1148" s="42"/>
      <c r="R1148" s="42"/>
      <c r="S1148" s="42"/>
      <c r="T1148" s="42"/>
      <c r="U1148" s="42"/>
      <c r="V1148" s="42"/>
      <c r="W1148" s="42"/>
      <c r="X1148" s="42"/>
      <c r="Y1148" s="42"/>
      <c r="Z1148" s="42"/>
    </row>
    <row r="1149" ht="12.75" customHeight="1">
      <c r="A1149" s="28" t="s">
        <v>476</v>
      </c>
      <c r="B1149" s="28" t="s">
        <v>210</v>
      </c>
      <c r="C1149" s="42" t="s">
        <v>3160</v>
      </c>
      <c r="D1149" s="42" t="s">
        <v>247</v>
      </c>
      <c r="E1149" s="42" t="s">
        <v>478</v>
      </c>
      <c r="F1149" s="28" t="s">
        <v>3161</v>
      </c>
      <c r="G1149" s="28">
        <v>21.1</v>
      </c>
      <c r="H1149" s="66"/>
      <c r="I1149" s="42"/>
      <c r="J1149" s="42"/>
      <c r="K1149" s="42"/>
      <c r="L1149" s="42"/>
      <c r="M1149" s="42"/>
      <c r="N1149" s="42"/>
      <c r="O1149" s="42"/>
      <c r="P1149" s="42"/>
      <c r="Q1149" s="42"/>
      <c r="R1149" s="42"/>
      <c r="S1149" s="42"/>
      <c r="T1149" s="42"/>
      <c r="U1149" s="42"/>
      <c r="V1149" s="42"/>
      <c r="W1149" s="42"/>
      <c r="X1149" s="42"/>
      <c r="Y1149" s="42"/>
      <c r="Z1149" s="42"/>
    </row>
    <row r="1150" ht="12.75" customHeight="1">
      <c r="A1150" s="28" t="s">
        <v>390</v>
      </c>
      <c r="B1150" s="28" t="s">
        <v>219</v>
      </c>
      <c r="C1150" s="42" t="s">
        <v>3162</v>
      </c>
      <c r="D1150" s="42" t="s">
        <v>1355</v>
      </c>
      <c r="E1150" s="42" t="s">
        <v>162</v>
      </c>
      <c r="F1150" s="28" t="s">
        <v>3163</v>
      </c>
      <c r="G1150" s="28">
        <v>22.5</v>
      </c>
      <c r="H1150" s="66"/>
      <c r="I1150" s="42"/>
      <c r="J1150" s="42"/>
      <c r="K1150" s="42"/>
      <c r="L1150" s="42"/>
      <c r="M1150" s="42"/>
      <c r="N1150" s="42"/>
      <c r="O1150" s="42"/>
      <c r="P1150" s="42"/>
      <c r="Q1150" s="42"/>
      <c r="R1150" s="42"/>
      <c r="S1150" s="42"/>
      <c r="T1150" s="42"/>
      <c r="U1150" s="42"/>
      <c r="V1150" s="42"/>
      <c r="W1150" s="42"/>
      <c r="X1150" s="42"/>
      <c r="Y1150" s="42"/>
      <c r="Z1150" s="42"/>
    </row>
    <row r="1151" ht="12.75" customHeight="1">
      <c r="A1151" s="28" t="s">
        <v>636</v>
      </c>
      <c r="B1151" s="28" t="s">
        <v>215</v>
      </c>
      <c r="C1151" s="42" t="s">
        <v>3162</v>
      </c>
      <c r="D1151" s="42" t="s">
        <v>141</v>
      </c>
      <c r="E1151" s="42" t="s">
        <v>162</v>
      </c>
      <c r="F1151" s="28" t="s">
        <v>3164</v>
      </c>
      <c r="G1151" s="28">
        <v>16.9</v>
      </c>
      <c r="H1151" s="66"/>
      <c r="I1151" s="42"/>
      <c r="J1151" s="42"/>
      <c r="K1151" s="42"/>
      <c r="L1151" s="42"/>
      <c r="M1151" s="42"/>
      <c r="N1151" s="42"/>
      <c r="O1151" s="42"/>
      <c r="P1151" s="42"/>
      <c r="Q1151" s="42"/>
      <c r="R1151" s="42"/>
      <c r="S1151" s="42"/>
      <c r="T1151" s="42"/>
      <c r="U1151" s="42"/>
      <c r="V1151" s="42"/>
      <c r="W1151" s="42"/>
      <c r="X1151" s="42"/>
      <c r="Y1151" s="42"/>
      <c r="Z1151" s="42"/>
    </row>
    <row r="1152" ht="12.75" customHeight="1">
      <c r="A1152" s="28" t="s">
        <v>677</v>
      </c>
      <c r="B1152" s="28" t="s">
        <v>165</v>
      </c>
      <c r="C1152" s="42" t="s">
        <v>3165</v>
      </c>
      <c r="D1152" s="42" t="s">
        <v>224</v>
      </c>
      <c r="E1152" s="42" t="s">
        <v>1436</v>
      </c>
      <c r="F1152" s="28" t="s">
        <v>1649</v>
      </c>
      <c r="G1152" s="28">
        <v>33.8</v>
      </c>
      <c r="H1152" s="66"/>
      <c r="I1152" s="42"/>
      <c r="J1152" s="42"/>
      <c r="K1152" s="42"/>
      <c r="L1152" s="42"/>
      <c r="M1152" s="42"/>
      <c r="N1152" s="42"/>
      <c r="O1152" s="42"/>
      <c r="P1152" s="42"/>
      <c r="Q1152" s="42"/>
      <c r="R1152" s="42"/>
      <c r="S1152" s="42"/>
      <c r="T1152" s="42"/>
      <c r="U1152" s="42"/>
      <c r="V1152" s="42"/>
      <c r="W1152" s="42"/>
      <c r="X1152" s="42"/>
      <c r="Y1152" s="42"/>
      <c r="Z1152" s="42"/>
    </row>
    <row r="1153" ht="12.75" customHeight="1">
      <c r="A1153" s="28" t="s">
        <v>3166</v>
      </c>
      <c r="B1153" s="28" t="s">
        <v>165</v>
      </c>
      <c r="C1153" s="42" t="s">
        <v>3165</v>
      </c>
      <c r="D1153" s="42" t="s">
        <v>1153</v>
      </c>
      <c r="E1153" s="42" t="s">
        <v>1436</v>
      </c>
      <c r="F1153" s="28" t="s">
        <v>3167</v>
      </c>
      <c r="G1153" s="28">
        <v>34.8</v>
      </c>
      <c r="H1153" s="66"/>
      <c r="I1153" s="42"/>
      <c r="J1153" s="42"/>
      <c r="K1153" s="42"/>
      <c r="L1153" s="42"/>
      <c r="M1153" s="42"/>
      <c r="N1153" s="42"/>
      <c r="O1153" s="42"/>
      <c r="P1153" s="42"/>
      <c r="Q1153" s="42"/>
      <c r="R1153" s="42"/>
      <c r="S1153" s="42"/>
      <c r="T1153" s="42"/>
      <c r="U1153" s="42"/>
      <c r="V1153" s="42"/>
      <c r="W1153" s="42"/>
      <c r="X1153" s="42"/>
      <c r="Y1153" s="42"/>
      <c r="Z1153" s="42"/>
    </row>
    <row r="1154" ht="12.75" customHeight="1">
      <c r="A1154" s="28" t="s">
        <v>183</v>
      </c>
      <c r="B1154" s="28" t="s">
        <v>219</v>
      </c>
      <c r="C1154" s="42" t="s">
        <v>3168</v>
      </c>
      <c r="D1154" s="42" t="s">
        <v>658</v>
      </c>
      <c r="E1154" s="42" t="s">
        <v>162</v>
      </c>
      <c r="F1154" s="28" t="s">
        <v>3169</v>
      </c>
      <c r="G1154" s="28">
        <v>27.7</v>
      </c>
      <c r="H1154" s="66"/>
      <c r="I1154" s="42"/>
      <c r="J1154" s="42"/>
      <c r="K1154" s="42"/>
      <c r="L1154" s="42"/>
      <c r="M1154" s="42"/>
      <c r="N1154" s="42"/>
      <c r="O1154" s="42"/>
      <c r="P1154" s="42"/>
      <c r="Q1154" s="42"/>
      <c r="R1154" s="42"/>
      <c r="S1154" s="42"/>
      <c r="T1154" s="42"/>
      <c r="U1154" s="42"/>
      <c r="V1154" s="42"/>
      <c r="W1154" s="42"/>
      <c r="X1154" s="42"/>
      <c r="Y1154" s="42"/>
      <c r="Z1154" s="42"/>
    </row>
    <row r="1155" ht="12.75" customHeight="1">
      <c r="A1155" s="28" t="s">
        <v>3170</v>
      </c>
      <c r="B1155" s="28" t="s">
        <v>210</v>
      </c>
      <c r="C1155" s="42" t="s">
        <v>3168</v>
      </c>
      <c r="D1155" s="42" t="s">
        <v>995</v>
      </c>
      <c r="E1155" s="42" t="s">
        <v>162</v>
      </c>
      <c r="F1155" s="28" t="s">
        <v>1610</v>
      </c>
      <c r="G1155" s="28">
        <v>25.3</v>
      </c>
      <c r="H1155" s="66"/>
      <c r="I1155" s="42"/>
      <c r="J1155" s="42"/>
      <c r="K1155" s="42"/>
      <c r="L1155" s="42"/>
      <c r="M1155" s="42"/>
      <c r="N1155" s="42"/>
      <c r="O1155" s="42"/>
      <c r="P1155" s="42"/>
      <c r="Q1155" s="42"/>
      <c r="R1155" s="42"/>
      <c r="S1155" s="42"/>
      <c r="T1155" s="42"/>
      <c r="U1155" s="42"/>
      <c r="V1155" s="42"/>
      <c r="W1155" s="42"/>
      <c r="X1155" s="42"/>
      <c r="Y1155" s="42"/>
      <c r="Z1155" s="42"/>
    </row>
    <row r="1156" ht="12.75" customHeight="1">
      <c r="A1156" s="28" t="s">
        <v>3171</v>
      </c>
      <c r="B1156" s="28" t="s">
        <v>165</v>
      </c>
      <c r="C1156" s="42" t="s">
        <v>3172</v>
      </c>
      <c r="D1156" s="42" t="s">
        <v>240</v>
      </c>
      <c r="E1156" s="42" t="s">
        <v>559</v>
      </c>
      <c r="F1156" s="28" t="s">
        <v>3173</v>
      </c>
      <c r="G1156" s="28">
        <v>21.7</v>
      </c>
      <c r="H1156" s="66"/>
      <c r="I1156" s="42"/>
      <c r="J1156" s="42"/>
      <c r="K1156" s="42"/>
      <c r="L1156" s="42"/>
      <c r="M1156" s="42"/>
      <c r="N1156" s="42"/>
      <c r="O1156" s="42"/>
      <c r="P1156" s="42"/>
      <c r="Q1156" s="42"/>
      <c r="R1156" s="42"/>
      <c r="S1156" s="42"/>
      <c r="T1156" s="42"/>
      <c r="U1156" s="42"/>
      <c r="V1156" s="42"/>
      <c r="W1156" s="42"/>
      <c r="X1156" s="42"/>
      <c r="Y1156" s="42"/>
      <c r="Z1156" s="42"/>
    </row>
    <row r="1157" ht="12.75" customHeight="1">
      <c r="A1157" s="28" t="s">
        <v>3174</v>
      </c>
      <c r="B1157" s="28" t="s">
        <v>210</v>
      </c>
      <c r="C1157" s="42" t="s">
        <v>3175</v>
      </c>
      <c r="D1157" s="42" t="s">
        <v>1096</v>
      </c>
      <c r="E1157" s="42" t="s">
        <v>162</v>
      </c>
      <c r="F1157" s="28" t="s">
        <v>3176</v>
      </c>
      <c r="G1157" s="28">
        <v>17.9</v>
      </c>
      <c r="H1157" s="66"/>
      <c r="I1157" s="42"/>
      <c r="J1157" s="42"/>
      <c r="K1157" s="42"/>
      <c r="L1157" s="42"/>
      <c r="M1157" s="42"/>
      <c r="N1157" s="42"/>
      <c r="O1157" s="42"/>
      <c r="P1157" s="42"/>
      <c r="Q1157" s="42"/>
      <c r="R1157" s="42"/>
      <c r="S1157" s="42"/>
      <c r="T1157" s="42"/>
      <c r="U1157" s="42"/>
      <c r="V1157" s="42"/>
      <c r="W1157" s="42"/>
      <c r="X1157" s="42"/>
      <c r="Y1157" s="42"/>
      <c r="Z1157" s="42"/>
    </row>
    <row r="1158" ht="12.75" customHeight="1">
      <c r="A1158" s="28" t="s">
        <v>372</v>
      </c>
      <c r="B1158" s="28" t="s">
        <v>159</v>
      </c>
      <c r="C1158" s="42" t="s">
        <v>3177</v>
      </c>
      <c r="D1158" s="42" t="s">
        <v>401</v>
      </c>
      <c r="E1158" s="42" t="s">
        <v>162</v>
      </c>
      <c r="F1158" s="28" t="s">
        <v>2572</v>
      </c>
      <c r="G1158" s="28">
        <v>30.2</v>
      </c>
      <c r="H1158" s="66"/>
      <c r="I1158" s="42"/>
      <c r="J1158" s="42"/>
      <c r="K1158" s="42"/>
      <c r="L1158" s="42"/>
      <c r="M1158" s="42"/>
      <c r="N1158" s="42"/>
      <c r="O1158" s="42"/>
      <c r="P1158" s="42"/>
      <c r="Q1158" s="42"/>
      <c r="R1158" s="42"/>
      <c r="S1158" s="42"/>
      <c r="T1158" s="42"/>
      <c r="U1158" s="42"/>
      <c r="V1158" s="42"/>
      <c r="W1158" s="42"/>
      <c r="X1158" s="42"/>
      <c r="Y1158" s="42"/>
      <c r="Z1158" s="42"/>
    </row>
    <row r="1159" ht="12.75" customHeight="1">
      <c r="A1159" s="28" t="s">
        <v>2063</v>
      </c>
      <c r="B1159" s="28" t="s">
        <v>159</v>
      </c>
      <c r="C1159" s="42" t="s">
        <v>3177</v>
      </c>
      <c r="D1159" s="42" t="s">
        <v>447</v>
      </c>
      <c r="E1159" s="42" t="s">
        <v>156</v>
      </c>
      <c r="F1159" s="28" t="s">
        <v>3178</v>
      </c>
      <c r="G1159" s="28">
        <v>27.1</v>
      </c>
      <c r="H1159" s="66"/>
      <c r="I1159" s="42"/>
      <c r="J1159" s="42"/>
      <c r="K1159" s="42"/>
      <c r="L1159" s="42"/>
      <c r="M1159" s="42"/>
      <c r="N1159" s="42"/>
      <c r="O1159" s="42"/>
      <c r="P1159" s="42"/>
      <c r="Q1159" s="42"/>
      <c r="R1159" s="42"/>
      <c r="S1159" s="42"/>
      <c r="T1159" s="42"/>
      <c r="U1159" s="42"/>
      <c r="V1159" s="42"/>
      <c r="W1159" s="42"/>
      <c r="X1159" s="42"/>
      <c r="Y1159" s="42"/>
      <c r="Z1159" s="42"/>
    </row>
    <row r="1160" ht="12.75" customHeight="1">
      <c r="A1160" s="28" t="s">
        <v>288</v>
      </c>
      <c r="B1160" s="28" t="s">
        <v>165</v>
      </c>
      <c r="C1160" s="42" t="s">
        <v>3179</v>
      </c>
      <c r="D1160" s="42" t="s">
        <v>2076</v>
      </c>
      <c r="E1160" s="42" t="s">
        <v>1154</v>
      </c>
      <c r="F1160" s="28" t="s">
        <v>3180</v>
      </c>
      <c r="G1160" s="28">
        <v>29.0</v>
      </c>
      <c r="H1160" s="66"/>
      <c r="I1160" s="42"/>
      <c r="J1160" s="42"/>
      <c r="K1160" s="42"/>
      <c r="L1160" s="42"/>
      <c r="M1160" s="42"/>
      <c r="N1160" s="42"/>
      <c r="O1160" s="42"/>
      <c r="P1160" s="42"/>
      <c r="Q1160" s="42"/>
      <c r="R1160" s="42"/>
      <c r="S1160" s="42"/>
      <c r="T1160" s="42"/>
      <c r="U1160" s="42"/>
      <c r="V1160" s="42"/>
      <c r="W1160" s="42"/>
      <c r="X1160" s="42"/>
      <c r="Y1160" s="42"/>
      <c r="Z1160" s="42"/>
    </row>
    <row r="1161" ht="12.75" customHeight="1">
      <c r="A1161" s="28" t="s">
        <v>3181</v>
      </c>
      <c r="B1161" s="28" t="s">
        <v>165</v>
      </c>
      <c r="C1161" s="42" t="s">
        <v>3182</v>
      </c>
      <c r="D1161" s="42" t="s">
        <v>2715</v>
      </c>
      <c r="E1161" s="42" t="s">
        <v>162</v>
      </c>
      <c r="F1161" s="28" t="s">
        <v>3040</v>
      </c>
      <c r="G1161" s="28">
        <v>31.0</v>
      </c>
      <c r="H1161" s="66"/>
      <c r="I1161" s="42"/>
      <c r="J1161" s="42"/>
      <c r="K1161" s="42"/>
      <c r="L1161" s="42"/>
      <c r="M1161" s="42"/>
      <c r="N1161" s="42"/>
      <c r="O1161" s="42"/>
      <c r="P1161" s="42"/>
      <c r="Q1161" s="42"/>
      <c r="R1161" s="42"/>
      <c r="S1161" s="42"/>
      <c r="T1161" s="42"/>
      <c r="U1161" s="42"/>
      <c r="V1161" s="42"/>
      <c r="W1161" s="42"/>
      <c r="X1161" s="42"/>
      <c r="Y1161" s="42"/>
      <c r="Z1161" s="42"/>
    </row>
    <row r="1162" ht="12.75" customHeight="1">
      <c r="A1162" s="28" t="s">
        <v>1098</v>
      </c>
      <c r="B1162" s="28" t="s">
        <v>497</v>
      </c>
      <c r="C1162" s="42" t="s">
        <v>3183</v>
      </c>
      <c r="D1162" s="42" t="s">
        <v>321</v>
      </c>
      <c r="E1162" s="42" t="s">
        <v>670</v>
      </c>
      <c r="F1162" s="28" t="s">
        <v>3184</v>
      </c>
      <c r="G1162" s="28">
        <v>18.9</v>
      </c>
      <c r="H1162" s="66"/>
      <c r="I1162" s="42"/>
      <c r="J1162" s="42"/>
      <c r="K1162" s="42"/>
      <c r="L1162" s="42"/>
      <c r="M1162" s="42"/>
      <c r="N1162" s="42"/>
      <c r="O1162" s="42"/>
      <c r="P1162" s="42"/>
      <c r="Q1162" s="42"/>
      <c r="R1162" s="42"/>
      <c r="S1162" s="42"/>
      <c r="T1162" s="42"/>
      <c r="U1162" s="42"/>
      <c r="V1162" s="42"/>
      <c r="W1162" s="42"/>
      <c r="X1162" s="42"/>
      <c r="Y1162" s="42"/>
      <c r="Z1162" s="42"/>
    </row>
    <row r="1163" ht="12.75" customHeight="1">
      <c r="A1163" s="28" t="s">
        <v>523</v>
      </c>
      <c r="B1163" s="28" t="s">
        <v>219</v>
      </c>
      <c r="C1163" s="42" t="s">
        <v>3185</v>
      </c>
      <c r="D1163" s="42" t="s">
        <v>286</v>
      </c>
      <c r="E1163" s="42" t="s">
        <v>162</v>
      </c>
      <c r="F1163" s="28" t="s">
        <v>483</v>
      </c>
      <c r="G1163" s="28">
        <v>27.1</v>
      </c>
      <c r="H1163" s="66"/>
      <c r="I1163" s="42"/>
      <c r="J1163" s="42"/>
      <c r="K1163" s="42"/>
      <c r="L1163" s="42"/>
      <c r="M1163" s="42"/>
      <c r="N1163" s="42"/>
      <c r="O1163" s="42"/>
      <c r="P1163" s="42"/>
      <c r="Q1163" s="42"/>
      <c r="R1163" s="42"/>
      <c r="S1163" s="42"/>
      <c r="T1163" s="42"/>
      <c r="U1163" s="42"/>
      <c r="V1163" s="42"/>
      <c r="W1163" s="42"/>
      <c r="X1163" s="42"/>
      <c r="Y1163" s="42"/>
      <c r="Z1163" s="42"/>
    </row>
    <row r="1164" ht="12.75" customHeight="1">
      <c r="A1164" s="28" t="s">
        <v>3186</v>
      </c>
      <c r="B1164" s="28" t="s">
        <v>165</v>
      </c>
      <c r="C1164" s="42" t="s">
        <v>3185</v>
      </c>
      <c r="D1164" s="42" t="s">
        <v>354</v>
      </c>
      <c r="E1164" s="42" t="s">
        <v>162</v>
      </c>
      <c r="F1164" s="28" t="s">
        <v>1344</v>
      </c>
      <c r="G1164" s="28">
        <v>18.6</v>
      </c>
      <c r="H1164" s="66"/>
      <c r="I1164" s="42"/>
      <c r="J1164" s="42"/>
      <c r="K1164" s="42"/>
      <c r="L1164" s="42"/>
      <c r="M1164" s="42"/>
      <c r="N1164" s="42"/>
      <c r="O1164" s="42"/>
      <c r="P1164" s="42"/>
      <c r="Q1164" s="42"/>
      <c r="R1164" s="42"/>
      <c r="S1164" s="42"/>
      <c r="T1164" s="42"/>
      <c r="U1164" s="42"/>
      <c r="V1164" s="42"/>
      <c r="W1164" s="42"/>
      <c r="X1164" s="42"/>
      <c r="Y1164" s="42"/>
      <c r="Z1164" s="42"/>
    </row>
    <row r="1165" ht="12.75" customHeight="1">
      <c r="A1165" s="28" t="s">
        <v>3187</v>
      </c>
      <c r="B1165" s="28" t="s">
        <v>165</v>
      </c>
      <c r="C1165" s="42" t="s">
        <v>3185</v>
      </c>
      <c r="D1165" s="42" t="s">
        <v>3188</v>
      </c>
      <c r="E1165" s="42" t="s">
        <v>255</v>
      </c>
      <c r="F1165" s="28" t="s">
        <v>3189</v>
      </c>
      <c r="G1165" s="28">
        <v>25.4</v>
      </c>
      <c r="H1165" s="66"/>
      <c r="I1165" s="42"/>
      <c r="J1165" s="42"/>
      <c r="K1165" s="42"/>
      <c r="L1165" s="42"/>
      <c r="M1165" s="42"/>
      <c r="N1165" s="42"/>
      <c r="O1165" s="42"/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</row>
    <row r="1166" ht="12.75" customHeight="1">
      <c r="A1166" s="28" t="s">
        <v>3190</v>
      </c>
      <c r="B1166" s="28" t="s">
        <v>165</v>
      </c>
      <c r="C1166" s="42" t="s">
        <v>3185</v>
      </c>
      <c r="D1166" s="42" t="s">
        <v>459</v>
      </c>
      <c r="E1166" s="42" t="s">
        <v>255</v>
      </c>
      <c r="F1166" s="28" t="s">
        <v>3191</v>
      </c>
      <c r="G1166" s="28">
        <v>33.2</v>
      </c>
      <c r="H1166" s="66"/>
      <c r="I1166" s="42"/>
      <c r="J1166" s="42"/>
      <c r="K1166" s="42"/>
      <c r="L1166" s="42"/>
      <c r="M1166" s="42"/>
      <c r="N1166" s="42"/>
      <c r="O1166" s="42"/>
      <c r="P1166" s="42"/>
      <c r="Q1166" s="42"/>
      <c r="R1166" s="42"/>
      <c r="S1166" s="42"/>
      <c r="T1166" s="42"/>
      <c r="U1166" s="42"/>
      <c r="V1166" s="42"/>
      <c r="W1166" s="42"/>
      <c r="X1166" s="42"/>
      <c r="Y1166" s="42"/>
      <c r="Z1166" s="42"/>
    </row>
    <row r="1167" ht="12.75" customHeight="1">
      <c r="A1167" s="28" t="s">
        <v>466</v>
      </c>
      <c r="B1167" s="28" t="s">
        <v>159</v>
      </c>
      <c r="C1167" s="42" t="s">
        <v>3192</v>
      </c>
      <c r="D1167" s="42" t="s">
        <v>185</v>
      </c>
      <c r="E1167" s="42" t="s">
        <v>162</v>
      </c>
      <c r="F1167" s="28" t="s">
        <v>3063</v>
      </c>
      <c r="G1167" s="28">
        <v>26.5</v>
      </c>
      <c r="H1167" s="66"/>
      <c r="I1167" s="42"/>
      <c r="J1167" s="42"/>
      <c r="K1167" s="42"/>
      <c r="L1167" s="42"/>
      <c r="M1167" s="42"/>
      <c r="N1167" s="42"/>
      <c r="O1167" s="42"/>
      <c r="P1167" s="42"/>
      <c r="Q1167" s="42"/>
      <c r="R1167" s="42"/>
      <c r="S1167" s="42"/>
      <c r="T1167" s="42"/>
      <c r="U1167" s="42"/>
      <c r="V1167" s="42"/>
      <c r="W1167" s="42"/>
      <c r="X1167" s="42"/>
      <c r="Y1167" s="42"/>
      <c r="Z1167" s="42"/>
    </row>
    <row r="1168" ht="12.75" customHeight="1">
      <c r="A1168" s="28" t="s">
        <v>3193</v>
      </c>
      <c r="B1168" s="28" t="s">
        <v>165</v>
      </c>
      <c r="C1168" s="42" t="s">
        <v>3194</v>
      </c>
      <c r="D1168" s="42" t="s">
        <v>642</v>
      </c>
      <c r="E1168" s="42" t="s">
        <v>162</v>
      </c>
      <c r="F1168" s="28" t="s">
        <v>3195</v>
      </c>
      <c r="G1168" s="28">
        <v>21.6</v>
      </c>
      <c r="H1168" s="66"/>
      <c r="I1168" s="42"/>
      <c r="J1168" s="42"/>
      <c r="K1168" s="42"/>
      <c r="L1168" s="42"/>
      <c r="M1168" s="42"/>
      <c r="N1168" s="42"/>
      <c r="O1168" s="42"/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</row>
    <row r="1169" ht="12.75" customHeight="1">
      <c r="A1169" s="28" t="s">
        <v>3196</v>
      </c>
      <c r="B1169" s="28" t="s">
        <v>165</v>
      </c>
      <c r="C1169" s="42" t="s">
        <v>3197</v>
      </c>
      <c r="D1169" s="42" t="s">
        <v>415</v>
      </c>
      <c r="E1169" s="42" t="s">
        <v>162</v>
      </c>
      <c r="F1169" s="28" t="s">
        <v>3198</v>
      </c>
      <c r="G1169" s="28">
        <v>23.1</v>
      </c>
      <c r="H1169" s="66"/>
      <c r="I1169" s="42"/>
      <c r="J1169" s="42"/>
      <c r="K1169" s="42"/>
      <c r="L1169" s="42"/>
      <c r="M1169" s="42"/>
      <c r="N1169" s="42"/>
      <c r="O1169" s="42"/>
      <c r="P1169" s="42"/>
      <c r="Q1169" s="42"/>
      <c r="R1169" s="42"/>
      <c r="S1169" s="42"/>
      <c r="T1169" s="42"/>
      <c r="U1169" s="42"/>
      <c r="V1169" s="42"/>
      <c r="W1169" s="42"/>
      <c r="X1169" s="42"/>
      <c r="Y1169" s="42"/>
      <c r="Z1169" s="42"/>
    </row>
    <row r="1170" ht="12.75" customHeight="1">
      <c r="A1170" s="28" t="s">
        <v>843</v>
      </c>
      <c r="B1170" s="28" t="s">
        <v>159</v>
      </c>
      <c r="C1170" s="42" t="s">
        <v>3199</v>
      </c>
      <c r="D1170" s="42" t="s">
        <v>522</v>
      </c>
      <c r="E1170" s="42" t="s">
        <v>1312</v>
      </c>
      <c r="F1170" s="28" t="s">
        <v>1781</v>
      </c>
      <c r="G1170" s="28">
        <v>31.0</v>
      </c>
      <c r="H1170" s="66"/>
      <c r="I1170" s="42"/>
      <c r="J1170" s="42"/>
      <c r="K1170" s="42"/>
      <c r="L1170" s="42"/>
      <c r="M1170" s="42"/>
      <c r="N1170" s="42"/>
      <c r="O1170" s="42"/>
      <c r="P1170" s="42"/>
      <c r="Q1170" s="42"/>
      <c r="R1170" s="42"/>
      <c r="S1170" s="42"/>
      <c r="T1170" s="42"/>
      <c r="U1170" s="42"/>
      <c r="V1170" s="42"/>
      <c r="W1170" s="42"/>
      <c r="X1170" s="42"/>
      <c r="Y1170" s="42"/>
      <c r="Z1170" s="42"/>
    </row>
    <row r="1171" ht="12.75" customHeight="1">
      <c r="A1171" s="28" t="s">
        <v>3200</v>
      </c>
      <c r="B1171" s="28" t="s">
        <v>165</v>
      </c>
      <c r="C1171" s="42" t="s">
        <v>3201</v>
      </c>
      <c r="D1171" s="42" t="s">
        <v>586</v>
      </c>
      <c r="E1171" s="42" t="s">
        <v>2538</v>
      </c>
      <c r="F1171" s="28" t="s">
        <v>3202</v>
      </c>
      <c r="G1171" s="28">
        <v>19.9</v>
      </c>
      <c r="H1171" s="66"/>
      <c r="I1171" s="42"/>
      <c r="J1171" s="42"/>
      <c r="K1171" s="42"/>
      <c r="L1171" s="42"/>
      <c r="M1171" s="42"/>
      <c r="N1171" s="42"/>
      <c r="O1171" s="42"/>
      <c r="P1171" s="42"/>
      <c r="Q1171" s="42"/>
      <c r="R1171" s="42"/>
      <c r="S1171" s="42"/>
      <c r="T1171" s="42"/>
      <c r="U1171" s="42"/>
      <c r="V1171" s="42"/>
      <c r="W1171" s="42"/>
      <c r="X1171" s="42"/>
      <c r="Y1171" s="42"/>
      <c r="Z1171" s="42"/>
    </row>
    <row r="1172" ht="12.75" customHeight="1">
      <c r="A1172" s="28" t="s">
        <v>3203</v>
      </c>
      <c r="B1172" s="28" t="s">
        <v>210</v>
      </c>
      <c r="C1172" s="42" t="s">
        <v>3201</v>
      </c>
      <c r="D1172" s="42" t="s">
        <v>905</v>
      </c>
      <c r="E1172" s="42" t="s">
        <v>162</v>
      </c>
      <c r="F1172" s="28" t="s">
        <v>1917</v>
      </c>
      <c r="G1172" s="28">
        <v>22.7</v>
      </c>
      <c r="H1172" s="66"/>
      <c r="I1172" s="42"/>
      <c r="J1172" s="42"/>
      <c r="K1172" s="42"/>
      <c r="L1172" s="42"/>
      <c r="M1172" s="42"/>
      <c r="N1172" s="42"/>
      <c r="O1172" s="42"/>
      <c r="P1172" s="42"/>
      <c r="Q1172" s="42"/>
      <c r="R1172" s="42"/>
      <c r="S1172" s="42"/>
      <c r="T1172" s="42"/>
      <c r="U1172" s="42"/>
      <c r="V1172" s="42"/>
      <c r="W1172" s="42"/>
      <c r="X1172" s="42"/>
      <c r="Y1172" s="42"/>
      <c r="Z1172" s="42"/>
    </row>
    <row r="1173" ht="12.75" customHeight="1">
      <c r="A1173" s="28" t="s">
        <v>3204</v>
      </c>
      <c r="B1173" s="28" t="s">
        <v>457</v>
      </c>
      <c r="C1173" s="42" t="s">
        <v>3205</v>
      </c>
      <c r="D1173" s="42" t="s">
        <v>167</v>
      </c>
      <c r="E1173" s="42" t="s">
        <v>2211</v>
      </c>
      <c r="F1173" s="28" t="s">
        <v>3206</v>
      </c>
      <c r="G1173" s="28">
        <v>43.4</v>
      </c>
      <c r="H1173" s="66"/>
      <c r="I1173" s="42"/>
      <c r="J1173" s="42"/>
      <c r="K1173" s="42"/>
      <c r="L1173" s="42"/>
      <c r="M1173" s="42"/>
      <c r="N1173" s="42"/>
      <c r="O1173" s="42"/>
      <c r="P1173" s="42"/>
      <c r="Q1173" s="42"/>
      <c r="R1173" s="42"/>
      <c r="S1173" s="42"/>
      <c r="T1173" s="42"/>
      <c r="U1173" s="42"/>
      <c r="V1173" s="42"/>
      <c r="W1173" s="42"/>
      <c r="X1173" s="42"/>
      <c r="Y1173" s="42"/>
      <c r="Z1173" s="42"/>
    </row>
    <row r="1174" ht="12.75" customHeight="1">
      <c r="A1174" s="28" t="s">
        <v>3207</v>
      </c>
      <c r="B1174" s="28" t="s">
        <v>165</v>
      </c>
      <c r="C1174" s="42" t="s">
        <v>3205</v>
      </c>
      <c r="D1174" s="42" t="s">
        <v>224</v>
      </c>
      <c r="E1174" s="42" t="s">
        <v>2652</v>
      </c>
      <c r="F1174" s="28" t="s">
        <v>3208</v>
      </c>
      <c r="G1174" s="28">
        <v>22.7</v>
      </c>
      <c r="H1174" s="66"/>
      <c r="I1174" s="42"/>
      <c r="J1174" s="42"/>
      <c r="K1174" s="42"/>
      <c r="L1174" s="42"/>
      <c r="M1174" s="42"/>
      <c r="N1174" s="42"/>
      <c r="O1174" s="42"/>
      <c r="P1174" s="42"/>
      <c r="Q1174" s="42"/>
      <c r="R1174" s="42"/>
      <c r="S1174" s="42"/>
      <c r="T1174" s="42"/>
      <c r="U1174" s="42"/>
      <c r="V1174" s="42"/>
      <c r="W1174" s="42"/>
      <c r="X1174" s="42"/>
      <c r="Y1174" s="42"/>
      <c r="Z1174" s="42"/>
    </row>
    <row r="1175" ht="12.75" customHeight="1">
      <c r="A1175" s="28" t="s">
        <v>3209</v>
      </c>
      <c r="B1175" s="28" t="s">
        <v>210</v>
      </c>
      <c r="C1175" s="42" t="s">
        <v>3210</v>
      </c>
      <c r="D1175" s="42" t="s">
        <v>537</v>
      </c>
      <c r="E1175" s="42" t="s">
        <v>2579</v>
      </c>
      <c r="F1175" s="28" t="s">
        <v>3211</v>
      </c>
      <c r="G1175" s="28">
        <v>24.5</v>
      </c>
      <c r="H1175" s="66"/>
      <c r="I1175" s="42"/>
      <c r="J1175" s="42"/>
      <c r="K1175" s="42"/>
      <c r="L1175" s="42"/>
      <c r="M1175" s="42"/>
      <c r="N1175" s="42"/>
      <c r="O1175" s="42"/>
      <c r="P1175" s="42"/>
      <c r="Q1175" s="42"/>
      <c r="R1175" s="42"/>
      <c r="S1175" s="42"/>
      <c r="T1175" s="42"/>
      <c r="U1175" s="42"/>
      <c r="V1175" s="42"/>
      <c r="W1175" s="42"/>
      <c r="X1175" s="42"/>
      <c r="Y1175" s="42"/>
      <c r="Z1175" s="42"/>
    </row>
    <row r="1176" ht="12.75" customHeight="1">
      <c r="A1176" s="28" t="s">
        <v>667</v>
      </c>
      <c r="B1176" s="28" t="s">
        <v>497</v>
      </c>
      <c r="C1176" s="42" t="s">
        <v>3212</v>
      </c>
      <c r="D1176" s="42" t="s">
        <v>454</v>
      </c>
      <c r="E1176" s="42" t="s">
        <v>374</v>
      </c>
      <c r="F1176" s="28" t="s">
        <v>3213</v>
      </c>
      <c r="G1176" s="28">
        <v>28.5</v>
      </c>
      <c r="H1176" s="66"/>
      <c r="I1176" s="42"/>
      <c r="J1176" s="42"/>
      <c r="K1176" s="42"/>
      <c r="L1176" s="42"/>
      <c r="M1176" s="42"/>
      <c r="N1176" s="42"/>
      <c r="O1176" s="42"/>
      <c r="P1176" s="42"/>
      <c r="Q1176" s="42"/>
      <c r="R1176" s="42"/>
      <c r="S1176" s="42"/>
      <c r="T1176" s="42"/>
      <c r="U1176" s="42"/>
      <c r="V1176" s="42"/>
      <c r="W1176" s="42"/>
      <c r="X1176" s="42"/>
      <c r="Y1176" s="42"/>
      <c r="Z1176" s="42"/>
    </row>
    <row r="1177" ht="12.75" customHeight="1">
      <c r="A1177" s="28" t="s">
        <v>3214</v>
      </c>
      <c r="B1177" s="28" t="s">
        <v>165</v>
      </c>
      <c r="C1177" s="42" t="s">
        <v>3212</v>
      </c>
      <c r="D1177" s="42" t="s">
        <v>558</v>
      </c>
      <c r="E1177" s="42" t="s">
        <v>1427</v>
      </c>
      <c r="F1177" s="28" t="s">
        <v>2413</v>
      </c>
      <c r="G1177" s="28">
        <v>33.7</v>
      </c>
      <c r="H1177" s="66"/>
      <c r="I1177" s="42"/>
      <c r="J1177" s="42"/>
      <c r="K1177" s="42"/>
      <c r="L1177" s="42"/>
      <c r="M1177" s="42"/>
      <c r="N1177" s="42"/>
      <c r="O1177" s="42"/>
      <c r="P1177" s="42"/>
      <c r="Q1177" s="42"/>
      <c r="R1177" s="42"/>
      <c r="S1177" s="42"/>
      <c r="T1177" s="42"/>
      <c r="U1177" s="42"/>
      <c r="V1177" s="42"/>
      <c r="W1177" s="42"/>
      <c r="X1177" s="42"/>
      <c r="Y1177" s="42"/>
      <c r="Z1177" s="42"/>
    </row>
    <row r="1178" ht="12.75" customHeight="1">
      <c r="A1178" s="28" t="s">
        <v>907</v>
      </c>
      <c r="B1178" s="28" t="s">
        <v>219</v>
      </c>
      <c r="C1178" s="42" t="s">
        <v>3215</v>
      </c>
      <c r="D1178" s="42" t="s">
        <v>633</v>
      </c>
      <c r="E1178" s="42" t="s">
        <v>559</v>
      </c>
      <c r="F1178" s="28" t="s">
        <v>3216</v>
      </c>
      <c r="G1178" s="28">
        <v>32.8</v>
      </c>
      <c r="H1178" s="66"/>
      <c r="I1178" s="42"/>
      <c r="J1178" s="42"/>
      <c r="K1178" s="42"/>
      <c r="L1178" s="42"/>
      <c r="M1178" s="42"/>
      <c r="N1178" s="42"/>
      <c r="O1178" s="42"/>
      <c r="P1178" s="42"/>
      <c r="Q1178" s="42"/>
      <c r="R1178" s="42"/>
      <c r="S1178" s="42"/>
      <c r="T1178" s="42"/>
      <c r="U1178" s="42"/>
      <c r="V1178" s="42"/>
      <c r="W1178" s="42"/>
      <c r="X1178" s="42"/>
      <c r="Y1178" s="42"/>
      <c r="Z1178" s="42"/>
    </row>
    <row r="1179" ht="12.75" customHeight="1">
      <c r="A1179" s="28" t="s">
        <v>3217</v>
      </c>
      <c r="B1179" s="28" t="s">
        <v>165</v>
      </c>
      <c r="C1179" s="42" t="s">
        <v>3218</v>
      </c>
      <c r="D1179" s="42" t="s">
        <v>161</v>
      </c>
      <c r="E1179" s="42" t="s">
        <v>168</v>
      </c>
      <c r="F1179" s="28" t="s">
        <v>3219</v>
      </c>
      <c r="G1179" s="28">
        <v>30.6</v>
      </c>
      <c r="H1179" s="66"/>
      <c r="I1179" s="42"/>
      <c r="J1179" s="42"/>
      <c r="K1179" s="42"/>
      <c r="L1179" s="42"/>
      <c r="M1179" s="42"/>
      <c r="N1179" s="42"/>
      <c r="O1179" s="42"/>
      <c r="P1179" s="42"/>
      <c r="Q1179" s="42"/>
      <c r="R1179" s="42"/>
      <c r="S1179" s="42"/>
      <c r="T1179" s="42"/>
      <c r="U1179" s="42"/>
      <c r="V1179" s="42"/>
      <c r="W1179" s="42"/>
      <c r="X1179" s="42"/>
      <c r="Y1179" s="42"/>
      <c r="Z1179" s="42"/>
    </row>
    <row r="1180" ht="12.75" customHeight="1">
      <c r="A1180" s="28" t="s">
        <v>3220</v>
      </c>
      <c r="B1180" s="28" t="s">
        <v>165</v>
      </c>
      <c r="C1180" s="42" t="s">
        <v>3221</v>
      </c>
      <c r="D1180" s="42" t="s">
        <v>435</v>
      </c>
      <c r="E1180" s="42" t="s">
        <v>1554</v>
      </c>
      <c r="F1180" s="28" t="s">
        <v>3222</v>
      </c>
      <c r="G1180" s="28">
        <v>31.0</v>
      </c>
      <c r="H1180" s="66"/>
      <c r="I1180" s="42"/>
      <c r="J1180" s="42"/>
      <c r="K1180" s="42"/>
      <c r="L1180" s="42"/>
      <c r="M1180" s="42"/>
      <c r="N1180" s="42"/>
      <c r="O1180" s="42"/>
      <c r="P1180" s="42"/>
      <c r="Q1180" s="42"/>
      <c r="R1180" s="42"/>
      <c r="S1180" s="42"/>
      <c r="T1180" s="42"/>
      <c r="U1180" s="42"/>
      <c r="V1180" s="42"/>
      <c r="W1180" s="42"/>
      <c r="X1180" s="42"/>
      <c r="Y1180" s="42"/>
      <c r="Z1180" s="42"/>
    </row>
    <row r="1181" ht="12.75" customHeight="1">
      <c r="A1181" s="28" t="s">
        <v>3223</v>
      </c>
      <c r="B1181" s="28" t="s">
        <v>165</v>
      </c>
      <c r="C1181" s="42" t="s">
        <v>3224</v>
      </c>
      <c r="D1181" s="42" t="s">
        <v>1922</v>
      </c>
      <c r="E1181" s="42" t="s">
        <v>460</v>
      </c>
      <c r="F1181" s="28" t="s">
        <v>3225</v>
      </c>
      <c r="G1181" s="28">
        <v>30.6</v>
      </c>
      <c r="H1181" s="66"/>
      <c r="I1181" s="42"/>
      <c r="J1181" s="42"/>
      <c r="K1181" s="42"/>
      <c r="L1181" s="42"/>
      <c r="M1181" s="42"/>
      <c r="N1181" s="42"/>
      <c r="O1181" s="42"/>
      <c r="P1181" s="42"/>
      <c r="Q1181" s="42"/>
      <c r="R1181" s="42"/>
      <c r="S1181" s="42"/>
      <c r="T1181" s="42"/>
      <c r="U1181" s="42"/>
      <c r="V1181" s="42"/>
      <c r="W1181" s="42"/>
      <c r="X1181" s="42"/>
      <c r="Y1181" s="42"/>
      <c r="Z1181" s="42"/>
    </row>
    <row r="1182" ht="12.75" customHeight="1">
      <c r="A1182" s="28" t="s">
        <v>372</v>
      </c>
      <c r="B1182" s="28" t="s">
        <v>602</v>
      </c>
      <c r="C1182" s="42" t="s">
        <v>3226</v>
      </c>
      <c r="D1182" s="42" t="s">
        <v>224</v>
      </c>
      <c r="E1182" s="42" t="s">
        <v>3079</v>
      </c>
      <c r="F1182" s="28" t="s">
        <v>3227</v>
      </c>
      <c r="G1182" s="28">
        <v>26.1</v>
      </c>
      <c r="H1182" s="66"/>
      <c r="I1182" s="42"/>
      <c r="J1182" s="42"/>
      <c r="K1182" s="42"/>
      <c r="L1182" s="42"/>
      <c r="M1182" s="42"/>
      <c r="N1182" s="42"/>
      <c r="O1182" s="42"/>
      <c r="P1182" s="42"/>
      <c r="Q1182" s="42"/>
      <c r="R1182" s="42"/>
      <c r="S1182" s="42"/>
      <c r="T1182" s="42"/>
      <c r="U1182" s="42"/>
      <c r="V1182" s="42"/>
      <c r="W1182" s="42"/>
      <c r="X1182" s="42"/>
      <c r="Y1182" s="42"/>
      <c r="Z1182" s="42"/>
    </row>
    <row r="1183" ht="12.75" customHeight="1">
      <c r="A1183" s="28" t="s">
        <v>790</v>
      </c>
      <c r="B1183" s="28" t="s">
        <v>165</v>
      </c>
      <c r="C1183" s="42" t="s">
        <v>3228</v>
      </c>
      <c r="D1183" s="42" t="s">
        <v>286</v>
      </c>
      <c r="E1183" s="42" t="s">
        <v>1432</v>
      </c>
      <c r="F1183" s="28" t="s">
        <v>3229</v>
      </c>
      <c r="G1183" s="28">
        <v>30.1</v>
      </c>
      <c r="H1183" s="66"/>
      <c r="I1183" s="42"/>
      <c r="J1183" s="42"/>
      <c r="K1183" s="42"/>
      <c r="L1183" s="42"/>
      <c r="M1183" s="42"/>
      <c r="N1183" s="42"/>
      <c r="O1183" s="42"/>
      <c r="P1183" s="42"/>
      <c r="Q1183" s="42"/>
      <c r="R1183" s="42"/>
      <c r="S1183" s="42"/>
      <c r="T1183" s="42"/>
      <c r="U1183" s="42"/>
      <c r="V1183" s="42"/>
      <c r="W1183" s="42"/>
      <c r="X1183" s="42"/>
      <c r="Y1183" s="42"/>
      <c r="Z1183" s="42"/>
    </row>
    <row r="1184" ht="12.75" customHeight="1">
      <c r="A1184" s="28" t="s">
        <v>433</v>
      </c>
      <c r="B1184" s="28" t="s">
        <v>215</v>
      </c>
      <c r="C1184" s="42" t="s">
        <v>3230</v>
      </c>
      <c r="D1184" s="42" t="s">
        <v>224</v>
      </c>
      <c r="E1184" s="42" t="s">
        <v>511</v>
      </c>
      <c r="F1184" s="28" t="s">
        <v>3231</v>
      </c>
      <c r="G1184" s="28">
        <v>36.2</v>
      </c>
      <c r="H1184" s="66"/>
      <c r="I1184" s="42"/>
      <c r="J1184" s="42"/>
      <c r="K1184" s="42"/>
      <c r="L1184" s="42"/>
      <c r="M1184" s="42"/>
      <c r="N1184" s="42"/>
      <c r="O1184" s="42"/>
      <c r="P1184" s="42"/>
      <c r="Q1184" s="42"/>
      <c r="R1184" s="42"/>
      <c r="S1184" s="42"/>
      <c r="T1184" s="42"/>
      <c r="U1184" s="42"/>
      <c r="V1184" s="42"/>
      <c r="W1184" s="42"/>
      <c r="X1184" s="42"/>
      <c r="Y1184" s="42"/>
      <c r="Z1184" s="42"/>
    </row>
    <row r="1185" ht="12.75" customHeight="1">
      <c r="A1185" s="28" t="s">
        <v>969</v>
      </c>
      <c r="B1185" s="28" t="s">
        <v>602</v>
      </c>
      <c r="C1185" s="42" t="s">
        <v>3232</v>
      </c>
      <c r="D1185" s="42" t="s">
        <v>2704</v>
      </c>
      <c r="E1185" s="42" t="s">
        <v>511</v>
      </c>
      <c r="F1185" s="28" t="s">
        <v>2223</v>
      </c>
      <c r="G1185" s="28">
        <v>32.2</v>
      </c>
      <c r="H1185" s="66"/>
      <c r="I1185" s="42"/>
      <c r="J1185" s="42"/>
      <c r="K1185" s="42"/>
      <c r="L1185" s="42"/>
      <c r="M1185" s="42"/>
      <c r="N1185" s="42"/>
      <c r="O1185" s="42"/>
      <c r="P1185" s="42"/>
      <c r="Q1185" s="42"/>
      <c r="R1185" s="42"/>
      <c r="S1185" s="42"/>
      <c r="T1185" s="42"/>
      <c r="U1185" s="42"/>
      <c r="V1185" s="42"/>
      <c r="W1185" s="42"/>
      <c r="X1185" s="42"/>
      <c r="Y1185" s="42"/>
      <c r="Z1185" s="42"/>
    </row>
    <row r="1186" ht="12.75" customHeight="1">
      <c r="A1186" s="28" t="s">
        <v>3233</v>
      </c>
      <c r="B1186" s="28" t="s">
        <v>314</v>
      </c>
      <c r="C1186" s="42" t="s">
        <v>3234</v>
      </c>
      <c r="D1186" s="42" t="s">
        <v>190</v>
      </c>
      <c r="E1186" s="42" t="s">
        <v>322</v>
      </c>
      <c r="F1186" s="28" t="s">
        <v>3235</v>
      </c>
      <c r="G1186" s="28">
        <v>45.2</v>
      </c>
      <c r="H1186" s="66"/>
      <c r="I1186" s="42"/>
      <c r="J1186" s="42"/>
      <c r="K1186" s="42"/>
      <c r="L1186" s="42"/>
      <c r="M1186" s="42"/>
      <c r="N1186" s="42"/>
      <c r="O1186" s="42"/>
      <c r="P1186" s="42"/>
      <c r="Q1186" s="42"/>
      <c r="R1186" s="42"/>
      <c r="S1186" s="42"/>
      <c r="T1186" s="42"/>
      <c r="U1186" s="42"/>
      <c r="V1186" s="42"/>
      <c r="W1186" s="42"/>
      <c r="X1186" s="42"/>
      <c r="Y1186" s="42"/>
      <c r="Z1186" s="42"/>
    </row>
    <row r="1187" ht="12.75" customHeight="1">
      <c r="A1187" s="28" t="s">
        <v>196</v>
      </c>
      <c r="B1187" s="28" t="s">
        <v>153</v>
      </c>
      <c r="C1187" s="42" t="s">
        <v>3236</v>
      </c>
      <c r="D1187" s="42" t="s">
        <v>3237</v>
      </c>
      <c r="E1187" s="42" t="s">
        <v>769</v>
      </c>
      <c r="F1187" s="28" t="s">
        <v>3238</v>
      </c>
      <c r="G1187" s="28">
        <v>20.6</v>
      </c>
      <c r="H1187" s="66"/>
      <c r="I1187" s="42"/>
      <c r="J1187" s="42"/>
      <c r="K1187" s="42"/>
      <c r="L1187" s="42"/>
      <c r="M1187" s="42"/>
      <c r="N1187" s="42"/>
      <c r="O1187" s="42"/>
      <c r="P1187" s="42"/>
      <c r="Q1187" s="42"/>
      <c r="R1187" s="42"/>
      <c r="S1187" s="42"/>
      <c r="T1187" s="42"/>
      <c r="U1187" s="42"/>
      <c r="V1187" s="42"/>
      <c r="W1187" s="42"/>
      <c r="X1187" s="42"/>
      <c r="Y1187" s="42"/>
      <c r="Z1187" s="42"/>
    </row>
    <row r="1188" ht="12.75" customHeight="1">
      <c r="A1188" s="28" t="s">
        <v>3239</v>
      </c>
      <c r="B1188" s="28" t="s">
        <v>210</v>
      </c>
      <c r="C1188" s="42" t="s">
        <v>3240</v>
      </c>
      <c r="D1188" s="42" t="s">
        <v>3241</v>
      </c>
      <c r="E1188" s="42" t="s">
        <v>974</v>
      </c>
      <c r="F1188" s="28" t="s">
        <v>3242</v>
      </c>
      <c r="G1188" s="28">
        <v>24.7</v>
      </c>
      <c r="H1188" s="66"/>
      <c r="I1188" s="42"/>
      <c r="J1188" s="42"/>
      <c r="K1188" s="42"/>
      <c r="L1188" s="42"/>
      <c r="M1188" s="42"/>
      <c r="N1188" s="42"/>
      <c r="O1188" s="42"/>
      <c r="P1188" s="42"/>
      <c r="Q1188" s="42"/>
      <c r="R1188" s="42"/>
      <c r="S1188" s="42"/>
      <c r="T1188" s="42"/>
      <c r="U1188" s="42"/>
      <c r="V1188" s="42"/>
      <c r="W1188" s="42"/>
      <c r="X1188" s="42"/>
      <c r="Y1188" s="42"/>
      <c r="Z1188" s="42"/>
    </row>
    <row r="1189" ht="12.75" customHeight="1">
      <c r="A1189" s="28" t="s">
        <v>667</v>
      </c>
      <c r="B1189" s="28" t="s">
        <v>165</v>
      </c>
      <c r="C1189" s="42" t="s">
        <v>3243</v>
      </c>
      <c r="D1189" s="42" t="s">
        <v>243</v>
      </c>
      <c r="E1189" s="42" t="s">
        <v>974</v>
      </c>
      <c r="F1189" s="28" t="s">
        <v>3244</v>
      </c>
      <c r="G1189" s="28">
        <v>33.1</v>
      </c>
      <c r="H1189" s="66"/>
      <c r="I1189" s="42"/>
      <c r="J1189" s="42"/>
      <c r="K1189" s="42"/>
      <c r="L1189" s="42"/>
      <c r="M1189" s="42"/>
      <c r="N1189" s="42"/>
      <c r="O1189" s="42"/>
      <c r="P1189" s="42"/>
      <c r="Q1189" s="42"/>
      <c r="R1189" s="42"/>
      <c r="S1189" s="42"/>
      <c r="T1189" s="42"/>
      <c r="U1189" s="42"/>
      <c r="V1189" s="42"/>
      <c r="W1189" s="42"/>
      <c r="X1189" s="42"/>
      <c r="Y1189" s="42"/>
      <c r="Z1189" s="42"/>
    </row>
    <row r="1190" ht="12.75" customHeight="1">
      <c r="A1190" s="28" t="s">
        <v>3245</v>
      </c>
      <c r="B1190" s="28" t="s">
        <v>165</v>
      </c>
      <c r="C1190" s="42" t="s">
        <v>3246</v>
      </c>
      <c r="D1190" s="42" t="s">
        <v>251</v>
      </c>
      <c r="E1190" s="42" t="s">
        <v>1340</v>
      </c>
      <c r="F1190" s="28" t="s">
        <v>3247</v>
      </c>
      <c r="G1190" s="28">
        <v>33.2</v>
      </c>
      <c r="H1190" s="66"/>
      <c r="I1190" s="42"/>
      <c r="J1190" s="42"/>
      <c r="K1190" s="42"/>
      <c r="L1190" s="42"/>
      <c r="M1190" s="42"/>
      <c r="N1190" s="42"/>
      <c r="O1190" s="42"/>
      <c r="P1190" s="42"/>
      <c r="Q1190" s="42"/>
      <c r="R1190" s="42"/>
      <c r="S1190" s="42"/>
      <c r="T1190" s="42"/>
      <c r="U1190" s="42"/>
      <c r="V1190" s="42"/>
      <c r="W1190" s="42"/>
      <c r="X1190" s="42"/>
      <c r="Y1190" s="42"/>
      <c r="Z1190" s="42"/>
    </row>
    <row r="1191" ht="12.75" customHeight="1">
      <c r="A1191" s="28" t="s">
        <v>503</v>
      </c>
      <c r="B1191" s="28" t="s">
        <v>153</v>
      </c>
      <c r="C1191" s="42" t="s">
        <v>3248</v>
      </c>
      <c r="D1191" s="42" t="s">
        <v>1579</v>
      </c>
      <c r="E1191" s="42" t="s">
        <v>2187</v>
      </c>
      <c r="F1191" s="28" t="s">
        <v>3249</v>
      </c>
      <c r="G1191" s="28">
        <v>21.5</v>
      </c>
      <c r="H1191" s="66"/>
      <c r="I1191" s="42"/>
      <c r="J1191" s="42"/>
      <c r="K1191" s="42"/>
      <c r="L1191" s="42"/>
      <c r="M1191" s="42"/>
      <c r="N1191" s="42"/>
      <c r="O1191" s="42"/>
      <c r="P1191" s="42"/>
      <c r="Q1191" s="42"/>
      <c r="R1191" s="42"/>
      <c r="S1191" s="42"/>
      <c r="T1191" s="42"/>
      <c r="U1191" s="42"/>
      <c r="V1191" s="42"/>
      <c r="W1191" s="42"/>
      <c r="X1191" s="42"/>
      <c r="Y1191" s="42"/>
      <c r="Z1191" s="42"/>
    </row>
    <row r="1192" ht="12.75" customHeight="1">
      <c r="A1192" s="28" t="s">
        <v>214</v>
      </c>
      <c r="B1192" s="28" t="s">
        <v>219</v>
      </c>
      <c r="C1192" s="42" t="s">
        <v>3250</v>
      </c>
      <c r="D1192" s="42" t="s">
        <v>431</v>
      </c>
      <c r="E1192" s="42" t="s">
        <v>559</v>
      </c>
      <c r="F1192" s="28" t="s">
        <v>1781</v>
      </c>
      <c r="G1192" s="28">
        <v>31.0</v>
      </c>
      <c r="H1192" s="66"/>
      <c r="I1192" s="42"/>
      <c r="J1192" s="42"/>
      <c r="K1192" s="42"/>
      <c r="L1192" s="42"/>
      <c r="M1192" s="42"/>
      <c r="N1192" s="42"/>
      <c r="O1192" s="42"/>
      <c r="P1192" s="42"/>
      <c r="Q1192" s="42"/>
      <c r="R1192" s="42"/>
      <c r="S1192" s="42"/>
      <c r="T1192" s="42"/>
      <c r="U1192" s="42"/>
      <c r="V1192" s="42"/>
      <c r="W1192" s="42"/>
      <c r="X1192" s="42"/>
      <c r="Y1192" s="42"/>
      <c r="Z1192" s="42"/>
    </row>
    <row r="1193" ht="12.75" customHeight="1">
      <c r="A1193" s="28" t="s">
        <v>748</v>
      </c>
      <c r="B1193" s="28" t="s">
        <v>165</v>
      </c>
      <c r="C1193" s="42" t="s">
        <v>3251</v>
      </c>
      <c r="D1193" s="42" t="s">
        <v>1621</v>
      </c>
      <c r="E1193" s="42" t="s">
        <v>162</v>
      </c>
      <c r="F1193" s="28" t="s">
        <v>3252</v>
      </c>
      <c r="G1193" s="28">
        <v>36.7</v>
      </c>
      <c r="H1193" s="66"/>
      <c r="I1193" s="42"/>
      <c r="J1193" s="42"/>
      <c r="K1193" s="42"/>
      <c r="L1193" s="42"/>
      <c r="M1193" s="42"/>
      <c r="N1193" s="42"/>
      <c r="O1193" s="42"/>
      <c r="P1193" s="42"/>
      <c r="Q1193" s="42"/>
      <c r="R1193" s="42"/>
      <c r="S1193" s="42"/>
      <c r="T1193" s="42"/>
      <c r="U1193" s="42"/>
      <c r="V1193" s="42"/>
      <c r="W1193" s="42"/>
      <c r="X1193" s="42"/>
      <c r="Y1193" s="42"/>
      <c r="Z1193" s="42"/>
    </row>
    <row r="1194" ht="12.75" customHeight="1">
      <c r="A1194" s="28" t="s">
        <v>425</v>
      </c>
      <c r="B1194" s="28" t="s">
        <v>210</v>
      </c>
      <c r="C1194" s="42" t="s">
        <v>3253</v>
      </c>
      <c r="D1194" s="42" t="s">
        <v>3254</v>
      </c>
      <c r="E1194" s="42" t="s">
        <v>277</v>
      </c>
      <c r="F1194" s="28" t="s">
        <v>3255</v>
      </c>
      <c r="G1194" s="28">
        <v>24.1</v>
      </c>
      <c r="H1194" s="66"/>
      <c r="I1194" s="42"/>
      <c r="J1194" s="42"/>
      <c r="K1194" s="42"/>
      <c r="L1194" s="42"/>
      <c r="M1194" s="42"/>
      <c r="N1194" s="42"/>
      <c r="O1194" s="42"/>
      <c r="P1194" s="42"/>
      <c r="Q1194" s="42"/>
      <c r="R1194" s="42"/>
      <c r="S1194" s="42"/>
      <c r="T1194" s="42"/>
      <c r="U1194" s="42"/>
      <c r="V1194" s="42"/>
      <c r="W1194" s="42"/>
      <c r="X1194" s="42"/>
      <c r="Y1194" s="42"/>
      <c r="Z1194" s="42"/>
    </row>
    <row r="1195" ht="12.75" customHeight="1">
      <c r="A1195" s="28" t="s">
        <v>1350</v>
      </c>
      <c r="B1195" s="28" t="s">
        <v>165</v>
      </c>
      <c r="C1195" s="42" t="s">
        <v>3256</v>
      </c>
      <c r="D1195" s="42" t="s">
        <v>522</v>
      </c>
      <c r="E1195" s="42" t="s">
        <v>162</v>
      </c>
      <c r="F1195" s="28" t="s">
        <v>3257</v>
      </c>
      <c r="G1195" s="28">
        <v>21.8</v>
      </c>
      <c r="H1195" s="66"/>
      <c r="I1195" s="42"/>
      <c r="J1195" s="42"/>
      <c r="K1195" s="42"/>
      <c r="L1195" s="42"/>
      <c r="M1195" s="42"/>
      <c r="N1195" s="42"/>
      <c r="O1195" s="42"/>
      <c r="P1195" s="42"/>
      <c r="Q1195" s="42"/>
      <c r="R1195" s="42"/>
      <c r="S1195" s="42"/>
      <c r="T1195" s="42"/>
      <c r="U1195" s="42"/>
      <c r="V1195" s="42"/>
      <c r="W1195" s="42"/>
      <c r="X1195" s="42"/>
      <c r="Y1195" s="42"/>
      <c r="Z1195" s="42"/>
    </row>
    <row r="1196" ht="12.75" customHeight="1">
      <c r="A1196" s="28" t="s">
        <v>3258</v>
      </c>
      <c r="B1196" s="28" t="s">
        <v>165</v>
      </c>
      <c r="C1196" s="42" t="s">
        <v>3256</v>
      </c>
      <c r="D1196" s="42" t="s">
        <v>702</v>
      </c>
      <c r="E1196" s="42" t="s">
        <v>162</v>
      </c>
      <c r="F1196" s="28" t="s">
        <v>299</v>
      </c>
      <c r="G1196" s="28">
        <v>29.7</v>
      </c>
      <c r="H1196" s="66"/>
      <c r="I1196" s="42"/>
      <c r="J1196" s="42"/>
      <c r="K1196" s="42"/>
      <c r="L1196" s="42"/>
      <c r="M1196" s="42"/>
      <c r="N1196" s="42"/>
      <c r="O1196" s="42"/>
      <c r="P1196" s="42"/>
      <c r="Q1196" s="42"/>
      <c r="R1196" s="42"/>
      <c r="S1196" s="42"/>
      <c r="T1196" s="42"/>
      <c r="U1196" s="42"/>
      <c r="V1196" s="42"/>
      <c r="W1196" s="42"/>
      <c r="X1196" s="42"/>
      <c r="Y1196" s="42"/>
      <c r="Z1196" s="42"/>
    </row>
    <row r="1197" ht="12.75" customHeight="1">
      <c r="A1197" s="28" t="s">
        <v>3259</v>
      </c>
      <c r="B1197" s="28" t="s">
        <v>165</v>
      </c>
      <c r="C1197" s="42" t="s">
        <v>3256</v>
      </c>
      <c r="D1197" s="42" t="s">
        <v>251</v>
      </c>
      <c r="E1197" s="42" t="s">
        <v>162</v>
      </c>
      <c r="F1197" s="28" t="s">
        <v>1452</v>
      </c>
      <c r="G1197" s="28">
        <v>27.8</v>
      </c>
      <c r="H1197" s="66"/>
      <c r="I1197" s="42"/>
      <c r="J1197" s="42"/>
      <c r="K1197" s="42"/>
      <c r="L1197" s="42"/>
      <c r="M1197" s="42"/>
      <c r="N1197" s="42"/>
      <c r="O1197" s="42"/>
      <c r="P1197" s="42"/>
      <c r="Q1197" s="42"/>
      <c r="R1197" s="42"/>
      <c r="S1197" s="42"/>
      <c r="T1197" s="42"/>
      <c r="U1197" s="42"/>
      <c r="V1197" s="42"/>
      <c r="W1197" s="42"/>
      <c r="X1197" s="42"/>
      <c r="Y1197" s="42"/>
      <c r="Z1197" s="42"/>
    </row>
    <row r="1198" ht="12.75" customHeight="1">
      <c r="A1198" s="28" t="s">
        <v>3260</v>
      </c>
      <c r="B1198" s="28" t="s">
        <v>165</v>
      </c>
      <c r="C1198" s="42" t="s">
        <v>3261</v>
      </c>
      <c r="D1198" s="42" t="s">
        <v>259</v>
      </c>
      <c r="E1198" s="42" t="s">
        <v>162</v>
      </c>
      <c r="F1198" s="28" t="s">
        <v>3262</v>
      </c>
      <c r="G1198" s="28">
        <v>27.7</v>
      </c>
      <c r="H1198" s="66"/>
      <c r="I1198" s="42"/>
      <c r="J1198" s="42"/>
      <c r="K1198" s="42"/>
      <c r="L1198" s="42"/>
      <c r="M1198" s="42"/>
      <c r="N1198" s="42"/>
      <c r="O1198" s="42"/>
      <c r="P1198" s="42"/>
      <c r="Q1198" s="42"/>
      <c r="R1198" s="42"/>
      <c r="S1198" s="42"/>
      <c r="T1198" s="42"/>
      <c r="U1198" s="42"/>
      <c r="V1198" s="42"/>
      <c r="W1198" s="42"/>
      <c r="X1198" s="42"/>
      <c r="Y1198" s="42"/>
      <c r="Z1198" s="42"/>
    </row>
    <row r="1199" ht="12.75" customHeight="1">
      <c r="A1199" s="28" t="s">
        <v>601</v>
      </c>
      <c r="B1199" s="28" t="s">
        <v>159</v>
      </c>
      <c r="C1199" s="42" t="s">
        <v>3263</v>
      </c>
      <c r="D1199" s="42" t="s">
        <v>141</v>
      </c>
      <c r="E1199" s="42" t="s">
        <v>3263</v>
      </c>
      <c r="F1199" s="28" t="s">
        <v>2817</v>
      </c>
      <c r="G1199" s="28">
        <v>27.5</v>
      </c>
      <c r="H1199" s="66"/>
      <c r="I1199" s="42"/>
      <c r="J1199" s="42"/>
      <c r="K1199" s="42"/>
      <c r="L1199" s="42"/>
      <c r="M1199" s="42"/>
      <c r="N1199" s="42"/>
      <c r="O1199" s="42"/>
      <c r="P1199" s="42"/>
      <c r="Q1199" s="42"/>
      <c r="R1199" s="42"/>
      <c r="S1199" s="42"/>
      <c r="T1199" s="42"/>
      <c r="U1199" s="42"/>
      <c r="V1199" s="42"/>
      <c r="W1199" s="42"/>
      <c r="X1199" s="42"/>
      <c r="Y1199" s="42"/>
      <c r="Z1199" s="42"/>
    </row>
    <row r="1200" ht="12.75" customHeight="1">
      <c r="A1200" s="28" t="s">
        <v>601</v>
      </c>
      <c r="B1200" s="28" t="s">
        <v>262</v>
      </c>
      <c r="C1200" s="42" t="s">
        <v>3263</v>
      </c>
      <c r="D1200" s="42" t="s">
        <v>240</v>
      </c>
      <c r="E1200" s="42" t="s">
        <v>3263</v>
      </c>
      <c r="F1200" s="28" t="s">
        <v>1313</v>
      </c>
      <c r="G1200" s="28">
        <v>29.2</v>
      </c>
      <c r="H1200" s="66"/>
      <c r="I1200" s="42"/>
      <c r="J1200" s="42"/>
      <c r="K1200" s="42"/>
      <c r="L1200" s="42"/>
      <c r="M1200" s="42"/>
      <c r="N1200" s="42"/>
      <c r="O1200" s="42"/>
      <c r="P1200" s="42"/>
      <c r="Q1200" s="42"/>
      <c r="R1200" s="42"/>
      <c r="S1200" s="42"/>
      <c r="T1200" s="42"/>
      <c r="U1200" s="42"/>
      <c r="V1200" s="42"/>
      <c r="W1200" s="42"/>
      <c r="X1200" s="42"/>
      <c r="Y1200" s="42"/>
      <c r="Z1200" s="42"/>
    </row>
    <row r="1201" ht="12.75" customHeight="1">
      <c r="A1201" s="28" t="s">
        <v>3264</v>
      </c>
      <c r="B1201" s="28" t="s">
        <v>210</v>
      </c>
      <c r="C1201" s="42" t="s">
        <v>3263</v>
      </c>
      <c r="D1201" s="42" t="s">
        <v>395</v>
      </c>
      <c r="E1201" s="42" t="s">
        <v>3263</v>
      </c>
      <c r="F1201" s="28" t="s">
        <v>3265</v>
      </c>
      <c r="G1201" s="28">
        <v>24.9</v>
      </c>
      <c r="H1201" s="66"/>
      <c r="I1201" s="42"/>
      <c r="J1201" s="42"/>
      <c r="K1201" s="42"/>
      <c r="L1201" s="42"/>
      <c r="M1201" s="42"/>
      <c r="N1201" s="42"/>
      <c r="O1201" s="42"/>
      <c r="P1201" s="42"/>
      <c r="Q1201" s="42"/>
      <c r="R1201" s="42"/>
      <c r="S1201" s="42"/>
      <c r="T1201" s="42"/>
      <c r="U1201" s="42"/>
      <c r="V1201" s="42"/>
      <c r="W1201" s="42"/>
      <c r="X1201" s="42"/>
      <c r="Y1201" s="42"/>
      <c r="Z1201" s="42"/>
    </row>
    <row r="1202" ht="12.75" customHeight="1">
      <c r="A1202" s="28" t="s">
        <v>3266</v>
      </c>
      <c r="B1202" s="28" t="s">
        <v>165</v>
      </c>
      <c r="C1202" s="42" t="s">
        <v>3267</v>
      </c>
      <c r="D1202" s="42" t="s">
        <v>240</v>
      </c>
      <c r="E1202" s="42" t="s">
        <v>162</v>
      </c>
      <c r="F1202" s="28" t="s">
        <v>1289</v>
      </c>
      <c r="G1202" s="28">
        <v>26.2</v>
      </c>
      <c r="H1202" s="66"/>
      <c r="I1202" s="42"/>
      <c r="J1202" s="42"/>
      <c r="K1202" s="42"/>
      <c r="L1202" s="42"/>
      <c r="M1202" s="42"/>
      <c r="N1202" s="42"/>
      <c r="O1202" s="42"/>
      <c r="P1202" s="42"/>
      <c r="Q1202" s="42"/>
      <c r="R1202" s="42"/>
      <c r="S1202" s="42"/>
      <c r="T1202" s="42"/>
      <c r="U1202" s="42"/>
      <c r="V1202" s="42"/>
      <c r="W1202" s="42"/>
      <c r="X1202" s="42"/>
      <c r="Y1202" s="42"/>
      <c r="Z1202" s="42"/>
    </row>
    <row r="1203" ht="12.75" customHeight="1">
      <c r="A1203" s="28" t="s">
        <v>1107</v>
      </c>
      <c r="B1203" s="28" t="s">
        <v>210</v>
      </c>
      <c r="C1203" s="42" t="s">
        <v>3268</v>
      </c>
      <c r="D1203" s="42" t="s">
        <v>1460</v>
      </c>
      <c r="E1203" s="42" t="s">
        <v>972</v>
      </c>
      <c r="F1203" s="28" t="s">
        <v>3269</v>
      </c>
      <c r="G1203" s="28">
        <v>21.4</v>
      </c>
      <c r="H1203" s="66"/>
      <c r="I1203" s="42"/>
      <c r="J1203" s="42"/>
      <c r="K1203" s="42"/>
      <c r="L1203" s="42"/>
      <c r="M1203" s="42"/>
      <c r="N1203" s="42"/>
      <c r="O1203" s="42"/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</row>
    <row r="1204" ht="12.75" customHeight="1">
      <c r="A1204" s="28" t="s">
        <v>734</v>
      </c>
      <c r="B1204" s="28" t="s">
        <v>159</v>
      </c>
      <c r="C1204" s="42" t="s">
        <v>3270</v>
      </c>
      <c r="D1204" s="42" t="s">
        <v>224</v>
      </c>
      <c r="E1204" s="42" t="s">
        <v>162</v>
      </c>
      <c r="F1204" s="28" t="s">
        <v>1103</v>
      </c>
      <c r="G1204" s="28">
        <v>28.4</v>
      </c>
      <c r="H1204" s="66"/>
      <c r="I1204" s="42"/>
      <c r="J1204" s="42"/>
      <c r="K1204" s="42"/>
      <c r="L1204" s="42"/>
      <c r="M1204" s="42"/>
      <c r="N1204" s="42"/>
      <c r="O1204" s="42"/>
      <c r="P1204" s="42"/>
      <c r="Q1204" s="42"/>
      <c r="R1204" s="42"/>
      <c r="S1204" s="42"/>
      <c r="T1204" s="42"/>
      <c r="U1204" s="42"/>
      <c r="V1204" s="42"/>
      <c r="W1204" s="42"/>
      <c r="X1204" s="42"/>
      <c r="Y1204" s="42"/>
      <c r="Z1204" s="42"/>
    </row>
    <row r="1205" ht="12.75" customHeight="1">
      <c r="A1205" s="28" t="s">
        <v>288</v>
      </c>
      <c r="B1205" s="28" t="s">
        <v>210</v>
      </c>
      <c r="C1205" s="42" t="s">
        <v>3271</v>
      </c>
      <c r="D1205" s="42" t="s">
        <v>3272</v>
      </c>
      <c r="E1205" s="42" t="s">
        <v>3273</v>
      </c>
      <c r="F1205" s="28" t="s">
        <v>3274</v>
      </c>
      <c r="G1205" s="28">
        <v>20.2</v>
      </c>
      <c r="H1205" s="66"/>
      <c r="I1205" s="42"/>
      <c r="J1205" s="42"/>
      <c r="K1205" s="42"/>
      <c r="L1205" s="42"/>
      <c r="M1205" s="42"/>
      <c r="N1205" s="42"/>
      <c r="O1205" s="42"/>
      <c r="P1205" s="42"/>
      <c r="Q1205" s="42"/>
      <c r="R1205" s="42"/>
      <c r="S1205" s="42"/>
      <c r="T1205" s="42"/>
      <c r="U1205" s="42"/>
      <c r="V1205" s="42"/>
      <c r="W1205" s="42"/>
      <c r="X1205" s="42"/>
      <c r="Y1205" s="42"/>
      <c r="Z1205" s="42"/>
    </row>
    <row r="1206" ht="12.75" customHeight="1">
      <c r="A1206" s="28" t="s">
        <v>288</v>
      </c>
      <c r="B1206" s="28" t="s">
        <v>165</v>
      </c>
      <c r="C1206" s="42" t="s">
        <v>3275</v>
      </c>
      <c r="D1206" s="42" t="s">
        <v>3276</v>
      </c>
      <c r="E1206" s="42" t="s">
        <v>3273</v>
      </c>
      <c r="F1206" s="28" t="s">
        <v>3089</v>
      </c>
      <c r="G1206" s="28">
        <v>26.8</v>
      </c>
      <c r="H1206" s="66"/>
      <c r="I1206" s="42"/>
      <c r="J1206" s="42"/>
      <c r="K1206" s="42"/>
      <c r="L1206" s="42"/>
      <c r="M1206" s="42"/>
      <c r="N1206" s="42"/>
      <c r="O1206" s="42"/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</row>
    <row r="1207" ht="12.75" customHeight="1">
      <c r="A1207" s="28" t="s">
        <v>3277</v>
      </c>
      <c r="B1207" s="28" t="s">
        <v>280</v>
      </c>
      <c r="C1207" s="42" t="s">
        <v>3278</v>
      </c>
      <c r="D1207" s="42" t="s">
        <v>224</v>
      </c>
      <c r="E1207" s="42" t="s">
        <v>3279</v>
      </c>
      <c r="F1207" s="28" t="s">
        <v>3280</v>
      </c>
      <c r="G1207" s="28">
        <v>36.0</v>
      </c>
      <c r="H1207" s="66"/>
      <c r="I1207" s="42"/>
      <c r="J1207" s="42"/>
      <c r="K1207" s="42"/>
      <c r="L1207" s="42"/>
      <c r="M1207" s="42"/>
      <c r="N1207" s="42"/>
      <c r="O1207" s="42"/>
      <c r="P1207" s="42"/>
      <c r="Q1207" s="42"/>
      <c r="R1207" s="42"/>
      <c r="S1207" s="42"/>
      <c r="T1207" s="42"/>
      <c r="U1207" s="42"/>
      <c r="V1207" s="42"/>
      <c r="W1207" s="42"/>
      <c r="X1207" s="42"/>
      <c r="Y1207" s="42"/>
      <c r="Z1207" s="42"/>
    </row>
    <row r="1208" ht="12.75" customHeight="1">
      <c r="A1208" s="28" t="s">
        <v>3281</v>
      </c>
      <c r="B1208" s="28" t="s">
        <v>165</v>
      </c>
      <c r="C1208" s="42" t="s">
        <v>3278</v>
      </c>
      <c r="D1208" s="42" t="s">
        <v>3282</v>
      </c>
      <c r="E1208" s="42" t="s">
        <v>162</v>
      </c>
      <c r="F1208" s="28" t="s">
        <v>3283</v>
      </c>
      <c r="G1208" s="28">
        <v>28.3</v>
      </c>
      <c r="H1208" s="66"/>
      <c r="I1208" s="42"/>
      <c r="J1208" s="42"/>
      <c r="K1208" s="42"/>
      <c r="L1208" s="42"/>
      <c r="M1208" s="42"/>
      <c r="N1208" s="42"/>
      <c r="O1208" s="42"/>
      <c r="P1208" s="42"/>
      <c r="Q1208" s="42"/>
      <c r="R1208" s="42"/>
      <c r="S1208" s="42"/>
      <c r="T1208" s="42"/>
      <c r="U1208" s="42"/>
      <c r="V1208" s="42"/>
      <c r="W1208" s="42"/>
      <c r="X1208" s="42"/>
      <c r="Y1208" s="42"/>
      <c r="Z1208" s="42"/>
    </row>
    <row r="1209" ht="12.75" customHeight="1">
      <c r="A1209" s="28" t="s">
        <v>3284</v>
      </c>
      <c r="B1209" s="28" t="s">
        <v>210</v>
      </c>
      <c r="C1209" s="42" t="s">
        <v>3285</v>
      </c>
      <c r="D1209" s="42" t="s">
        <v>1636</v>
      </c>
      <c r="E1209" s="42" t="s">
        <v>653</v>
      </c>
      <c r="F1209" s="28" t="s">
        <v>375</v>
      </c>
      <c r="G1209" s="28">
        <v>25.9</v>
      </c>
      <c r="H1209" s="66"/>
      <c r="I1209" s="42"/>
      <c r="J1209" s="42"/>
      <c r="K1209" s="42"/>
      <c r="L1209" s="42"/>
      <c r="M1209" s="42"/>
      <c r="N1209" s="42"/>
      <c r="O1209" s="42"/>
      <c r="P1209" s="42"/>
      <c r="Q1209" s="42"/>
      <c r="R1209" s="42"/>
      <c r="S1209" s="42"/>
      <c r="T1209" s="42"/>
      <c r="U1209" s="42"/>
      <c r="V1209" s="42"/>
      <c r="W1209" s="42"/>
      <c r="X1209" s="42"/>
      <c r="Y1209" s="42"/>
      <c r="Z1209" s="42"/>
    </row>
    <row r="1210" ht="12.75" customHeight="1">
      <c r="A1210" s="28" t="s">
        <v>3286</v>
      </c>
      <c r="B1210" s="28" t="s">
        <v>210</v>
      </c>
      <c r="C1210" s="42" t="s">
        <v>3285</v>
      </c>
      <c r="D1210" s="42" t="s">
        <v>867</v>
      </c>
      <c r="E1210" s="42" t="s">
        <v>653</v>
      </c>
      <c r="F1210" s="28" t="s">
        <v>3287</v>
      </c>
      <c r="G1210" s="28">
        <v>20.3</v>
      </c>
      <c r="H1210" s="66"/>
      <c r="I1210" s="42"/>
      <c r="J1210" s="42"/>
      <c r="K1210" s="42"/>
      <c r="L1210" s="42"/>
      <c r="M1210" s="42"/>
      <c r="N1210" s="42"/>
      <c r="O1210" s="42"/>
      <c r="P1210" s="42"/>
      <c r="Q1210" s="42"/>
      <c r="R1210" s="42"/>
      <c r="S1210" s="42"/>
      <c r="T1210" s="42"/>
      <c r="U1210" s="42"/>
      <c r="V1210" s="42"/>
      <c r="W1210" s="42"/>
      <c r="X1210" s="42"/>
      <c r="Y1210" s="42"/>
      <c r="Z1210" s="42"/>
    </row>
    <row r="1211" ht="12.75" customHeight="1">
      <c r="A1211" s="28" t="s">
        <v>3288</v>
      </c>
      <c r="B1211" s="28" t="s">
        <v>165</v>
      </c>
      <c r="C1211" s="42" t="s">
        <v>3289</v>
      </c>
      <c r="D1211" s="42" t="s">
        <v>568</v>
      </c>
      <c r="E1211" s="42" t="s">
        <v>3290</v>
      </c>
      <c r="F1211" s="28" t="s">
        <v>608</v>
      </c>
      <c r="G1211" s="28">
        <v>28.1</v>
      </c>
      <c r="H1211" s="66"/>
      <c r="I1211" s="42"/>
      <c r="J1211" s="42"/>
      <c r="K1211" s="42"/>
      <c r="L1211" s="42"/>
      <c r="M1211" s="42"/>
      <c r="N1211" s="42"/>
      <c r="O1211" s="42"/>
      <c r="P1211" s="42"/>
      <c r="Q1211" s="42"/>
      <c r="R1211" s="42"/>
      <c r="S1211" s="42"/>
      <c r="T1211" s="42"/>
      <c r="U1211" s="42"/>
      <c r="V1211" s="42"/>
      <c r="W1211" s="42"/>
      <c r="X1211" s="42"/>
      <c r="Y1211" s="42"/>
      <c r="Z1211" s="42"/>
    </row>
    <row r="1212" ht="12.75" customHeight="1">
      <c r="A1212" s="28" t="s">
        <v>3291</v>
      </c>
      <c r="B1212" s="28" t="s">
        <v>165</v>
      </c>
      <c r="C1212" s="42" t="s">
        <v>3292</v>
      </c>
      <c r="D1212" s="42" t="s">
        <v>3293</v>
      </c>
      <c r="E1212" s="42" t="s">
        <v>162</v>
      </c>
      <c r="F1212" s="28" t="s">
        <v>3294</v>
      </c>
      <c r="G1212" s="28">
        <v>19.6</v>
      </c>
      <c r="H1212" s="66"/>
      <c r="I1212" s="42"/>
      <c r="J1212" s="42"/>
      <c r="K1212" s="42"/>
      <c r="L1212" s="42"/>
      <c r="M1212" s="42"/>
      <c r="N1212" s="42"/>
      <c r="O1212" s="42"/>
      <c r="P1212" s="42"/>
      <c r="Q1212" s="42"/>
      <c r="R1212" s="42"/>
      <c r="S1212" s="42"/>
      <c r="T1212" s="42"/>
      <c r="U1212" s="42"/>
      <c r="V1212" s="42"/>
      <c r="W1212" s="42"/>
      <c r="X1212" s="42"/>
      <c r="Y1212" s="42"/>
      <c r="Z1212" s="42"/>
    </row>
    <row r="1213" ht="12.75" customHeight="1">
      <c r="A1213" s="28" t="s">
        <v>3295</v>
      </c>
      <c r="B1213" s="28" t="s">
        <v>463</v>
      </c>
      <c r="C1213" s="42" t="s">
        <v>3296</v>
      </c>
      <c r="D1213" s="42" t="s">
        <v>203</v>
      </c>
      <c r="E1213" s="42" t="s">
        <v>489</v>
      </c>
      <c r="F1213" s="28" t="s">
        <v>3297</v>
      </c>
      <c r="G1213" s="28">
        <v>31.5</v>
      </c>
      <c r="H1213" s="66"/>
      <c r="I1213" s="42"/>
      <c r="J1213" s="42"/>
      <c r="K1213" s="42"/>
      <c r="L1213" s="42"/>
      <c r="M1213" s="42"/>
      <c r="N1213" s="42"/>
      <c r="O1213" s="42"/>
      <c r="P1213" s="42"/>
      <c r="Q1213" s="42"/>
      <c r="R1213" s="42"/>
      <c r="S1213" s="42"/>
      <c r="T1213" s="42"/>
      <c r="U1213" s="42"/>
      <c r="V1213" s="42"/>
      <c r="W1213" s="42"/>
      <c r="X1213" s="42"/>
      <c r="Y1213" s="42"/>
      <c r="Z1213" s="42"/>
    </row>
    <row r="1214" ht="12.75" customHeight="1">
      <c r="A1214" s="28" t="s">
        <v>540</v>
      </c>
      <c r="B1214" s="28" t="s">
        <v>165</v>
      </c>
      <c r="C1214" s="42" t="s">
        <v>3298</v>
      </c>
      <c r="D1214" s="42" t="s">
        <v>3299</v>
      </c>
      <c r="E1214" s="42" t="s">
        <v>156</v>
      </c>
      <c r="F1214" s="28" t="s">
        <v>3300</v>
      </c>
      <c r="G1214" s="28">
        <v>25.4</v>
      </c>
      <c r="H1214" s="66"/>
      <c r="I1214" s="42"/>
      <c r="J1214" s="42"/>
      <c r="K1214" s="42"/>
      <c r="L1214" s="42"/>
      <c r="M1214" s="42"/>
      <c r="N1214" s="42"/>
      <c r="O1214" s="42"/>
      <c r="P1214" s="42"/>
      <c r="Q1214" s="42"/>
      <c r="R1214" s="42"/>
      <c r="S1214" s="42"/>
      <c r="T1214" s="42"/>
      <c r="U1214" s="42"/>
      <c r="V1214" s="42"/>
      <c r="W1214" s="42"/>
      <c r="X1214" s="42"/>
      <c r="Y1214" s="42"/>
      <c r="Z1214" s="42"/>
    </row>
    <row r="1215" ht="12.75" customHeight="1">
      <c r="A1215" s="28" t="s">
        <v>3301</v>
      </c>
      <c r="B1215" s="28" t="s">
        <v>165</v>
      </c>
      <c r="C1215" s="42" t="s">
        <v>3302</v>
      </c>
      <c r="D1215" s="42" t="s">
        <v>190</v>
      </c>
      <c r="E1215" s="42" t="s">
        <v>3303</v>
      </c>
      <c r="F1215" s="28" t="s">
        <v>3304</v>
      </c>
      <c r="G1215" s="28">
        <v>27.3</v>
      </c>
      <c r="H1215" s="66"/>
      <c r="I1215" s="42"/>
      <c r="J1215" s="42"/>
      <c r="K1215" s="42"/>
      <c r="L1215" s="42"/>
      <c r="M1215" s="42"/>
      <c r="N1215" s="42"/>
      <c r="O1215" s="42"/>
      <c r="P1215" s="42"/>
      <c r="Q1215" s="42"/>
      <c r="R1215" s="42"/>
      <c r="S1215" s="42"/>
      <c r="T1215" s="42"/>
      <c r="U1215" s="42"/>
      <c r="V1215" s="42"/>
      <c r="W1215" s="42"/>
      <c r="X1215" s="42"/>
      <c r="Y1215" s="42"/>
      <c r="Z1215" s="42"/>
    </row>
    <row r="1216" ht="12.75" customHeight="1">
      <c r="A1216" s="28" t="s">
        <v>3305</v>
      </c>
      <c r="B1216" s="28" t="s">
        <v>165</v>
      </c>
      <c r="C1216" s="42" t="s">
        <v>3302</v>
      </c>
      <c r="D1216" s="42" t="s">
        <v>185</v>
      </c>
      <c r="E1216" s="42" t="s">
        <v>3303</v>
      </c>
      <c r="F1216" s="28" t="s">
        <v>2274</v>
      </c>
      <c r="G1216" s="28">
        <v>27.1</v>
      </c>
      <c r="H1216" s="66"/>
      <c r="I1216" s="42"/>
      <c r="J1216" s="42"/>
      <c r="K1216" s="42"/>
      <c r="L1216" s="42"/>
      <c r="M1216" s="42"/>
      <c r="N1216" s="42"/>
      <c r="O1216" s="42"/>
      <c r="P1216" s="42"/>
      <c r="Q1216" s="42"/>
      <c r="R1216" s="42"/>
      <c r="S1216" s="42"/>
      <c r="T1216" s="42"/>
      <c r="U1216" s="42"/>
      <c r="V1216" s="42"/>
      <c r="W1216" s="42"/>
      <c r="X1216" s="42"/>
      <c r="Y1216" s="42"/>
      <c r="Z1216" s="42"/>
    </row>
    <row r="1217" ht="12.75" customHeight="1">
      <c r="A1217" s="28" t="s">
        <v>196</v>
      </c>
      <c r="B1217" s="28" t="s">
        <v>219</v>
      </c>
      <c r="C1217" s="42" t="s">
        <v>3306</v>
      </c>
      <c r="D1217" s="42" t="s">
        <v>501</v>
      </c>
      <c r="E1217" s="42" t="s">
        <v>199</v>
      </c>
      <c r="F1217" s="28" t="s">
        <v>1452</v>
      </c>
      <c r="G1217" s="28">
        <v>28.6</v>
      </c>
      <c r="H1217" s="66"/>
      <c r="I1217" s="42"/>
      <c r="J1217" s="42"/>
      <c r="K1217" s="42"/>
      <c r="L1217" s="42"/>
      <c r="M1217" s="42"/>
      <c r="N1217" s="42"/>
      <c r="O1217" s="42"/>
      <c r="P1217" s="42"/>
      <c r="Q1217" s="42"/>
      <c r="R1217" s="42"/>
      <c r="S1217" s="42"/>
      <c r="T1217" s="42"/>
      <c r="U1217" s="42"/>
      <c r="V1217" s="42"/>
      <c r="W1217" s="42"/>
      <c r="X1217" s="42"/>
      <c r="Y1217" s="42"/>
      <c r="Z1217" s="42"/>
    </row>
    <row r="1218" ht="12.75" customHeight="1">
      <c r="A1218" s="28" t="s">
        <v>196</v>
      </c>
      <c r="B1218" s="28" t="s">
        <v>219</v>
      </c>
      <c r="C1218" s="42" t="s">
        <v>3306</v>
      </c>
      <c r="D1218" s="42" t="s">
        <v>1896</v>
      </c>
      <c r="E1218" s="42" t="s">
        <v>199</v>
      </c>
      <c r="F1218" s="28" t="s">
        <v>3307</v>
      </c>
      <c r="G1218" s="28">
        <v>29.0</v>
      </c>
      <c r="H1218" s="66"/>
      <c r="I1218" s="42"/>
      <c r="J1218" s="42"/>
      <c r="K1218" s="42"/>
      <c r="L1218" s="42"/>
      <c r="M1218" s="42"/>
      <c r="N1218" s="42"/>
      <c r="O1218" s="42"/>
      <c r="P1218" s="42"/>
      <c r="Q1218" s="42"/>
      <c r="R1218" s="42"/>
      <c r="S1218" s="42"/>
      <c r="T1218" s="42"/>
      <c r="U1218" s="42"/>
      <c r="V1218" s="42"/>
      <c r="W1218" s="42"/>
      <c r="X1218" s="42"/>
      <c r="Y1218" s="42"/>
      <c r="Z1218" s="42"/>
    </row>
    <row r="1219" ht="12.75" customHeight="1">
      <c r="A1219" s="28" t="s">
        <v>585</v>
      </c>
      <c r="B1219" s="28" t="s">
        <v>219</v>
      </c>
      <c r="C1219" s="42" t="s">
        <v>3308</v>
      </c>
      <c r="D1219" s="42" t="s">
        <v>3309</v>
      </c>
      <c r="E1219" s="42" t="s">
        <v>489</v>
      </c>
      <c r="F1219" s="28" t="s">
        <v>3053</v>
      </c>
      <c r="G1219" s="28">
        <v>21.6</v>
      </c>
      <c r="H1219" s="66"/>
      <c r="I1219" s="42"/>
      <c r="J1219" s="42"/>
      <c r="K1219" s="42"/>
      <c r="L1219" s="42"/>
      <c r="M1219" s="42"/>
      <c r="N1219" s="42"/>
      <c r="O1219" s="42"/>
      <c r="P1219" s="42"/>
      <c r="Q1219" s="42"/>
      <c r="R1219" s="42"/>
      <c r="S1219" s="42"/>
      <c r="T1219" s="42"/>
      <c r="U1219" s="42"/>
      <c r="V1219" s="42"/>
      <c r="W1219" s="42"/>
      <c r="X1219" s="42"/>
      <c r="Y1219" s="42"/>
      <c r="Z1219" s="42"/>
    </row>
    <row r="1220" ht="12.75" customHeight="1">
      <c r="A1220" s="28" t="s">
        <v>3310</v>
      </c>
      <c r="B1220" s="28" t="s">
        <v>165</v>
      </c>
      <c r="C1220" s="42" t="s">
        <v>3311</v>
      </c>
      <c r="D1220" s="42" t="s">
        <v>3312</v>
      </c>
      <c r="E1220" s="42" t="s">
        <v>162</v>
      </c>
      <c r="F1220" s="28" t="s">
        <v>3313</v>
      </c>
      <c r="G1220" s="28">
        <v>19.3</v>
      </c>
      <c r="H1220" s="66"/>
      <c r="I1220" s="42"/>
      <c r="J1220" s="42"/>
      <c r="K1220" s="42"/>
      <c r="L1220" s="42"/>
      <c r="M1220" s="42"/>
      <c r="N1220" s="42"/>
      <c r="O1220" s="42"/>
      <c r="P1220" s="42"/>
      <c r="Q1220" s="42"/>
      <c r="R1220" s="42"/>
      <c r="S1220" s="42"/>
      <c r="T1220" s="42"/>
      <c r="U1220" s="42"/>
      <c r="V1220" s="42"/>
      <c r="W1220" s="42"/>
      <c r="X1220" s="42"/>
      <c r="Y1220" s="42"/>
      <c r="Z1220" s="42"/>
    </row>
    <row r="1221" ht="12.75" customHeight="1">
      <c r="A1221" s="28" t="s">
        <v>3314</v>
      </c>
      <c r="B1221" s="28" t="s">
        <v>165</v>
      </c>
      <c r="C1221" s="42" t="s">
        <v>3315</v>
      </c>
      <c r="D1221" s="42" t="s">
        <v>240</v>
      </c>
      <c r="E1221" s="42" t="s">
        <v>162</v>
      </c>
      <c r="F1221" s="28" t="s">
        <v>3316</v>
      </c>
      <c r="G1221" s="28">
        <v>28.2</v>
      </c>
      <c r="H1221" s="66"/>
      <c r="I1221" s="42"/>
      <c r="J1221" s="42"/>
      <c r="K1221" s="42"/>
      <c r="L1221" s="42"/>
      <c r="M1221" s="42"/>
      <c r="N1221" s="42"/>
      <c r="O1221" s="42"/>
      <c r="P1221" s="42"/>
      <c r="Q1221" s="42"/>
      <c r="R1221" s="42"/>
      <c r="S1221" s="42"/>
      <c r="T1221" s="42"/>
      <c r="U1221" s="42"/>
      <c r="V1221" s="42"/>
      <c r="W1221" s="42"/>
      <c r="X1221" s="42"/>
      <c r="Y1221" s="42"/>
      <c r="Z1221" s="42"/>
    </row>
    <row r="1222" ht="12.75" customHeight="1">
      <c r="A1222" s="28" t="s">
        <v>3317</v>
      </c>
      <c r="B1222" s="28" t="s">
        <v>210</v>
      </c>
      <c r="C1222" s="42" t="s">
        <v>3315</v>
      </c>
      <c r="D1222" s="42" t="s">
        <v>796</v>
      </c>
      <c r="E1222" s="42" t="s">
        <v>162</v>
      </c>
      <c r="F1222" s="28" t="s">
        <v>507</v>
      </c>
      <c r="G1222" s="28">
        <v>25.9</v>
      </c>
      <c r="H1222" s="66"/>
      <c r="I1222" s="42"/>
      <c r="J1222" s="42"/>
      <c r="K1222" s="42"/>
      <c r="L1222" s="42"/>
      <c r="M1222" s="42"/>
      <c r="N1222" s="42"/>
      <c r="O1222" s="42"/>
      <c r="P1222" s="42"/>
      <c r="Q1222" s="42"/>
      <c r="R1222" s="42"/>
      <c r="S1222" s="42"/>
      <c r="T1222" s="42"/>
      <c r="U1222" s="42"/>
      <c r="V1222" s="42"/>
      <c r="W1222" s="42"/>
      <c r="X1222" s="42"/>
      <c r="Y1222" s="42"/>
      <c r="Z1222" s="42"/>
    </row>
    <row r="1223" ht="12.75" customHeight="1">
      <c r="A1223" s="28" t="s">
        <v>3318</v>
      </c>
      <c r="B1223" s="28" t="s">
        <v>210</v>
      </c>
      <c r="C1223" s="42" t="s">
        <v>3319</v>
      </c>
      <c r="D1223" s="42" t="s">
        <v>395</v>
      </c>
      <c r="E1223" s="42" t="s">
        <v>559</v>
      </c>
      <c r="F1223" s="28" t="s">
        <v>3320</v>
      </c>
      <c r="G1223" s="28">
        <v>24.1</v>
      </c>
      <c r="H1223" s="66"/>
      <c r="I1223" s="42"/>
      <c r="J1223" s="42"/>
      <c r="K1223" s="42"/>
      <c r="L1223" s="42"/>
      <c r="M1223" s="42"/>
      <c r="N1223" s="42"/>
      <c r="O1223" s="42"/>
      <c r="P1223" s="42"/>
      <c r="Q1223" s="42"/>
      <c r="R1223" s="42"/>
      <c r="S1223" s="42"/>
      <c r="T1223" s="42"/>
      <c r="U1223" s="42"/>
      <c r="V1223" s="42"/>
      <c r="W1223" s="42"/>
      <c r="X1223" s="42"/>
      <c r="Y1223" s="42"/>
      <c r="Z1223" s="42"/>
    </row>
    <row r="1224" ht="12.75" customHeight="1">
      <c r="A1224" s="28" t="s">
        <v>765</v>
      </c>
      <c r="B1224" s="28" t="s">
        <v>497</v>
      </c>
      <c r="C1224" s="42" t="s">
        <v>3321</v>
      </c>
      <c r="D1224" s="42" t="s">
        <v>240</v>
      </c>
      <c r="E1224" s="42" t="s">
        <v>3322</v>
      </c>
      <c r="F1224" s="28" t="s">
        <v>3323</v>
      </c>
      <c r="G1224" s="28">
        <v>28.5</v>
      </c>
      <c r="H1224" s="66"/>
      <c r="I1224" s="42"/>
      <c r="J1224" s="42"/>
      <c r="K1224" s="42"/>
      <c r="L1224" s="42"/>
      <c r="M1224" s="42"/>
      <c r="N1224" s="42"/>
      <c r="O1224" s="42"/>
      <c r="P1224" s="42"/>
      <c r="Q1224" s="42"/>
      <c r="R1224" s="42"/>
      <c r="S1224" s="42"/>
      <c r="T1224" s="42"/>
      <c r="U1224" s="42"/>
      <c r="V1224" s="42"/>
      <c r="W1224" s="42"/>
      <c r="X1224" s="42"/>
      <c r="Y1224" s="42"/>
      <c r="Z1224" s="42"/>
    </row>
    <row r="1225" ht="12.75" customHeight="1">
      <c r="A1225" s="28" t="s">
        <v>3324</v>
      </c>
      <c r="B1225" s="28" t="s">
        <v>210</v>
      </c>
      <c r="C1225" s="42" t="s">
        <v>3325</v>
      </c>
      <c r="D1225" s="42" t="s">
        <v>1460</v>
      </c>
      <c r="E1225" s="42" t="s">
        <v>1524</v>
      </c>
      <c r="F1225" s="28" t="s">
        <v>3326</v>
      </c>
      <c r="G1225" s="28">
        <v>23.6</v>
      </c>
      <c r="H1225" s="66"/>
      <c r="I1225" s="42"/>
      <c r="J1225" s="42"/>
      <c r="K1225" s="42"/>
      <c r="L1225" s="42"/>
      <c r="M1225" s="42"/>
      <c r="N1225" s="42"/>
      <c r="O1225" s="42"/>
      <c r="P1225" s="42"/>
      <c r="Q1225" s="42"/>
      <c r="R1225" s="42"/>
      <c r="S1225" s="42"/>
      <c r="T1225" s="42"/>
      <c r="U1225" s="42"/>
      <c r="V1225" s="42"/>
      <c r="W1225" s="42"/>
      <c r="X1225" s="42"/>
      <c r="Y1225" s="42"/>
      <c r="Z1225" s="42"/>
    </row>
    <row r="1226" ht="12.75" customHeight="1">
      <c r="A1226" s="28" t="s">
        <v>3327</v>
      </c>
      <c r="B1226" s="28" t="s">
        <v>165</v>
      </c>
      <c r="C1226" s="42" t="s">
        <v>3328</v>
      </c>
      <c r="D1226" s="42" t="s">
        <v>3329</v>
      </c>
      <c r="E1226" s="42" t="s">
        <v>1524</v>
      </c>
      <c r="F1226" s="28" t="s">
        <v>2255</v>
      </c>
      <c r="G1226" s="28">
        <v>29.4</v>
      </c>
      <c r="H1226" s="66"/>
      <c r="I1226" s="42"/>
      <c r="J1226" s="42"/>
      <c r="K1226" s="42"/>
      <c r="L1226" s="42"/>
      <c r="M1226" s="42"/>
      <c r="N1226" s="42"/>
      <c r="O1226" s="42"/>
      <c r="P1226" s="42"/>
      <c r="Q1226" s="42"/>
      <c r="R1226" s="42"/>
      <c r="S1226" s="42"/>
      <c r="T1226" s="42"/>
      <c r="U1226" s="42"/>
      <c r="V1226" s="42"/>
      <c r="W1226" s="42"/>
      <c r="X1226" s="42"/>
      <c r="Y1226" s="42"/>
      <c r="Z1226" s="42"/>
    </row>
    <row r="1227" ht="12.75" customHeight="1">
      <c r="A1227" s="28" t="s">
        <v>433</v>
      </c>
      <c r="B1227" s="28" t="s">
        <v>159</v>
      </c>
      <c r="C1227" s="42" t="s">
        <v>3330</v>
      </c>
      <c r="D1227" s="42" t="s">
        <v>3331</v>
      </c>
      <c r="E1227" s="42" t="s">
        <v>2211</v>
      </c>
      <c r="F1227" s="28" t="s">
        <v>3332</v>
      </c>
      <c r="G1227" s="28">
        <v>34.3</v>
      </c>
      <c r="H1227" s="66"/>
      <c r="I1227" s="42"/>
      <c r="J1227" s="42"/>
      <c r="K1227" s="42"/>
      <c r="L1227" s="42"/>
      <c r="M1227" s="42"/>
      <c r="N1227" s="42"/>
      <c r="O1227" s="42"/>
      <c r="P1227" s="42"/>
      <c r="Q1227" s="42"/>
      <c r="R1227" s="42"/>
      <c r="S1227" s="42"/>
      <c r="T1227" s="42"/>
      <c r="U1227" s="42"/>
      <c r="V1227" s="42"/>
      <c r="W1227" s="42"/>
      <c r="X1227" s="42"/>
      <c r="Y1227" s="42"/>
      <c r="Z1227" s="42"/>
    </row>
    <row r="1228" ht="12.75" customHeight="1">
      <c r="A1228" s="28" t="s">
        <v>3333</v>
      </c>
      <c r="B1228" s="28" t="s">
        <v>210</v>
      </c>
      <c r="C1228" s="42" t="s">
        <v>3334</v>
      </c>
      <c r="D1228" s="42" t="s">
        <v>3335</v>
      </c>
      <c r="E1228" s="42" t="s">
        <v>162</v>
      </c>
      <c r="F1228" s="28" t="s">
        <v>2613</v>
      </c>
      <c r="G1228" s="28">
        <v>25.7</v>
      </c>
      <c r="H1228" s="66"/>
      <c r="I1228" s="42"/>
      <c r="J1228" s="42"/>
      <c r="K1228" s="42"/>
      <c r="L1228" s="42"/>
      <c r="M1228" s="42"/>
      <c r="N1228" s="42"/>
      <c r="O1228" s="42"/>
      <c r="P1228" s="42"/>
      <c r="Q1228" s="42"/>
      <c r="R1228" s="42"/>
      <c r="S1228" s="42"/>
      <c r="T1228" s="42"/>
      <c r="U1228" s="42"/>
      <c r="V1228" s="42"/>
      <c r="W1228" s="42"/>
      <c r="X1228" s="42"/>
      <c r="Y1228" s="42"/>
      <c r="Z1228" s="42"/>
    </row>
    <row r="1229" ht="12.75" customHeight="1">
      <c r="A1229" s="28" t="s">
        <v>3336</v>
      </c>
      <c r="B1229" s="28" t="s">
        <v>165</v>
      </c>
      <c r="C1229" s="42" t="s">
        <v>3337</v>
      </c>
      <c r="D1229" s="42" t="s">
        <v>633</v>
      </c>
      <c r="E1229" s="42" t="s">
        <v>162</v>
      </c>
      <c r="F1229" s="28" t="s">
        <v>865</v>
      </c>
      <c r="G1229" s="28">
        <v>26.4</v>
      </c>
      <c r="H1229" s="66"/>
      <c r="I1229" s="42"/>
      <c r="J1229" s="42"/>
      <c r="K1229" s="42"/>
      <c r="L1229" s="42"/>
      <c r="M1229" s="42"/>
      <c r="N1229" s="42"/>
      <c r="O1229" s="42"/>
      <c r="P1229" s="42"/>
      <c r="Q1229" s="42"/>
      <c r="R1229" s="42"/>
      <c r="S1229" s="42"/>
      <c r="T1229" s="42"/>
      <c r="U1229" s="42"/>
      <c r="V1229" s="42"/>
      <c r="W1229" s="42"/>
      <c r="X1229" s="42"/>
      <c r="Y1229" s="42"/>
      <c r="Z1229" s="42"/>
    </row>
    <row r="1230" ht="12.75" customHeight="1">
      <c r="A1230" s="28" t="s">
        <v>3338</v>
      </c>
      <c r="B1230" s="28" t="s">
        <v>165</v>
      </c>
      <c r="C1230" s="42" t="s">
        <v>3339</v>
      </c>
      <c r="D1230" s="42" t="s">
        <v>1688</v>
      </c>
      <c r="E1230" s="42" t="s">
        <v>653</v>
      </c>
      <c r="F1230" s="28" t="s">
        <v>684</v>
      </c>
      <c r="G1230" s="28">
        <v>26.5</v>
      </c>
      <c r="H1230" s="66"/>
      <c r="I1230" s="42"/>
      <c r="J1230" s="42"/>
      <c r="K1230" s="42"/>
      <c r="L1230" s="42"/>
      <c r="M1230" s="42"/>
      <c r="N1230" s="42"/>
      <c r="O1230" s="42"/>
      <c r="P1230" s="42"/>
      <c r="Q1230" s="42"/>
      <c r="R1230" s="42"/>
      <c r="S1230" s="42"/>
      <c r="T1230" s="42"/>
      <c r="U1230" s="42"/>
      <c r="V1230" s="42"/>
      <c r="W1230" s="42"/>
      <c r="X1230" s="42"/>
      <c r="Y1230" s="42"/>
      <c r="Z1230" s="42"/>
    </row>
    <row r="1231" ht="12.75" customHeight="1">
      <c r="A1231" s="28" t="s">
        <v>3340</v>
      </c>
      <c r="B1231" s="28" t="s">
        <v>210</v>
      </c>
      <c r="C1231" s="42" t="s">
        <v>3341</v>
      </c>
      <c r="D1231" s="42" t="s">
        <v>3272</v>
      </c>
      <c r="E1231" s="42" t="s">
        <v>162</v>
      </c>
      <c r="F1231" s="28" t="s">
        <v>3342</v>
      </c>
      <c r="G1231" s="28">
        <v>21.0</v>
      </c>
      <c r="H1231" s="66"/>
      <c r="I1231" s="42"/>
      <c r="J1231" s="42"/>
      <c r="K1231" s="42"/>
      <c r="L1231" s="42"/>
      <c r="M1231" s="42"/>
      <c r="N1231" s="42"/>
      <c r="O1231" s="42"/>
      <c r="P1231" s="42"/>
      <c r="Q1231" s="42"/>
      <c r="R1231" s="42"/>
      <c r="S1231" s="42"/>
      <c r="T1231" s="42"/>
      <c r="U1231" s="42"/>
      <c r="V1231" s="42"/>
      <c r="W1231" s="42"/>
      <c r="X1231" s="42"/>
      <c r="Y1231" s="42"/>
      <c r="Z1231" s="42"/>
    </row>
    <row r="1232" ht="12.75" customHeight="1">
      <c r="A1232" s="28" t="s">
        <v>3343</v>
      </c>
      <c r="B1232" s="28" t="s">
        <v>165</v>
      </c>
      <c r="C1232" s="42" t="s">
        <v>3344</v>
      </c>
      <c r="D1232" s="42" t="s">
        <v>3345</v>
      </c>
      <c r="E1232" s="42" t="s">
        <v>817</v>
      </c>
      <c r="F1232" s="28" t="s">
        <v>3346</v>
      </c>
      <c r="G1232" s="28">
        <v>33.2</v>
      </c>
      <c r="H1232" s="66"/>
      <c r="I1232" s="42"/>
      <c r="J1232" s="42"/>
      <c r="K1232" s="42"/>
      <c r="L1232" s="42"/>
      <c r="M1232" s="42"/>
      <c r="N1232" s="42"/>
      <c r="O1232" s="42"/>
      <c r="P1232" s="42"/>
      <c r="Q1232" s="42"/>
      <c r="R1232" s="42"/>
      <c r="S1232" s="42"/>
      <c r="T1232" s="42"/>
      <c r="U1232" s="42"/>
      <c r="V1232" s="42"/>
      <c r="W1232" s="42"/>
      <c r="X1232" s="42"/>
      <c r="Y1232" s="42"/>
      <c r="Z1232" s="42"/>
    </row>
    <row r="1233" ht="12.75" customHeight="1">
      <c r="A1233" s="28" t="s">
        <v>614</v>
      </c>
      <c r="B1233" s="28" t="s">
        <v>165</v>
      </c>
      <c r="C1233" s="42" t="s">
        <v>3347</v>
      </c>
      <c r="D1233" s="42" t="s">
        <v>354</v>
      </c>
      <c r="E1233" s="42" t="s">
        <v>3348</v>
      </c>
      <c r="F1233" s="28" t="s">
        <v>640</v>
      </c>
      <c r="G1233" s="28">
        <v>27.7</v>
      </c>
      <c r="H1233" s="66"/>
      <c r="I1233" s="42"/>
      <c r="J1233" s="42"/>
      <c r="K1233" s="42"/>
      <c r="L1233" s="42"/>
      <c r="M1233" s="42"/>
      <c r="N1233" s="42"/>
      <c r="O1233" s="42"/>
      <c r="P1233" s="42"/>
      <c r="Q1233" s="42"/>
      <c r="R1233" s="42"/>
      <c r="S1233" s="42"/>
      <c r="T1233" s="42"/>
      <c r="U1233" s="42"/>
      <c r="V1233" s="42"/>
      <c r="W1233" s="42"/>
      <c r="X1233" s="42"/>
      <c r="Y1233" s="42"/>
      <c r="Z1233" s="42"/>
    </row>
    <row r="1234" ht="12.75" customHeight="1">
      <c r="A1234" s="28" t="s">
        <v>960</v>
      </c>
      <c r="B1234" s="28" t="s">
        <v>153</v>
      </c>
      <c r="C1234" s="42" t="s">
        <v>3349</v>
      </c>
      <c r="D1234" s="42" t="s">
        <v>3350</v>
      </c>
      <c r="E1234" s="42" t="s">
        <v>3351</v>
      </c>
      <c r="F1234" s="28" t="s">
        <v>3352</v>
      </c>
      <c r="G1234" s="28">
        <v>20.3</v>
      </c>
      <c r="H1234" s="66"/>
      <c r="I1234" s="42"/>
      <c r="J1234" s="42"/>
      <c r="K1234" s="42"/>
      <c r="L1234" s="42"/>
      <c r="M1234" s="42"/>
      <c r="N1234" s="42"/>
      <c r="O1234" s="42"/>
      <c r="P1234" s="42"/>
      <c r="Q1234" s="42"/>
      <c r="R1234" s="42"/>
      <c r="S1234" s="42"/>
      <c r="T1234" s="42"/>
      <c r="U1234" s="42"/>
      <c r="V1234" s="42"/>
      <c r="W1234" s="42"/>
      <c r="X1234" s="42"/>
      <c r="Y1234" s="42"/>
      <c r="Z1234" s="42"/>
    </row>
    <row r="1235" ht="12.75" customHeight="1">
      <c r="A1235" s="28" t="s">
        <v>265</v>
      </c>
      <c r="B1235" s="28" t="s">
        <v>159</v>
      </c>
      <c r="C1235" s="42" t="s">
        <v>3353</v>
      </c>
      <c r="D1235" s="42" t="s">
        <v>224</v>
      </c>
      <c r="E1235" s="42" t="s">
        <v>162</v>
      </c>
      <c r="F1235" s="28" t="s">
        <v>3354</v>
      </c>
      <c r="G1235" s="28">
        <v>18.6</v>
      </c>
      <c r="H1235" s="66"/>
      <c r="I1235" s="42"/>
      <c r="J1235" s="42"/>
      <c r="K1235" s="42"/>
      <c r="L1235" s="42"/>
      <c r="M1235" s="42"/>
      <c r="N1235" s="42"/>
      <c r="O1235" s="42"/>
      <c r="P1235" s="42"/>
      <c r="Q1235" s="42"/>
      <c r="R1235" s="42"/>
      <c r="S1235" s="42"/>
      <c r="T1235" s="42"/>
      <c r="U1235" s="42"/>
      <c r="V1235" s="42"/>
      <c r="W1235" s="42"/>
      <c r="X1235" s="42"/>
      <c r="Y1235" s="42"/>
      <c r="Z1235" s="42"/>
    </row>
    <row r="1236" ht="12.75" customHeight="1">
      <c r="A1236" s="28" t="s">
        <v>3355</v>
      </c>
      <c r="B1236" s="28" t="s">
        <v>165</v>
      </c>
      <c r="C1236" s="42" t="s">
        <v>3356</v>
      </c>
      <c r="D1236" s="42" t="s">
        <v>290</v>
      </c>
      <c r="E1236" s="42" t="s">
        <v>162</v>
      </c>
      <c r="F1236" s="28" t="s">
        <v>3357</v>
      </c>
      <c r="G1236" s="28">
        <v>33.2</v>
      </c>
      <c r="H1236" s="66"/>
      <c r="I1236" s="42"/>
      <c r="J1236" s="42"/>
      <c r="K1236" s="42"/>
      <c r="L1236" s="42"/>
      <c r="M1236" s="42"/>
      <c r="N1236" s="42"/>
      <c r="O1236" s="42"/>
      <c r="P1236" s="42"/>
      <c r="Q1236" s="42"/>
      <c r="R1236" s="42"/>
      <c r="S1236" s="42"/>
      <c r="T1236" s="42"/>
      <c r="U1236" s="42"/>
      <c r="V1236" s="42"/>
      <c r="W1236" s="42"/>
      <c r="X1236" s="42"/>
      <c r="Y1236" s="42"/>
      <c r="Z1236" s="42"/>
    </row>
    <row r="1237" ht="12.75" customHeight="1">
      <c r="A1237" s="28" t="s">
        <v>218</v>
      </c>
      <c r="B1237" s="28" t="s">
        <v>159</v>
      </c>
      <c r="C1237" s="42" t="s">
        <v>3358</v>
      </c>
      <c r="D1237" s="42" t="s">
        <v>167</v>
      </c>
      <c r="E1237" s="42" t="s">
        <v>1524</v>
      </c>
      <c r="F1237" s="28" t="s">
        <v>3359</v>
      </c>
      <c r="G1237" s="28">
        <v>25.4</v>
      </c>
      <c r="H1237" s="66"/>
      <c r="I1237" s="42"/>
      <c r="J1237" s="42"/>
      <c r="K1237" s="42"/>
      <c r="L1237" s="42"/>
      <c r="M1237" s="42"/>
      <c r="N1237" s="42"/>
      <c r="O1237" s="42"/>
      <c r="P1237" s="42"/>
      <c r="Q1237" s="42"/>
      <c r="R1237" s="42"/>
      <c r="S1237" s="42"/>
      <c r="T1237" s="42"/>
      <c r="U1237" s="42"/>
      <c r="V1237" s="42"/>
      <c r="W1237" s="42"/>
      <c r="X1237" s="42"/>
      <c r="Y1237" s="42"/>
      <c r="Z1237" s="42"/>
    </row>
    <row r="1238" ht="12.75" customHeight="1">
      <c r="A1238" s="28" t="s">
        <v>3360</v>
      </c>
      <c r="B1238" s="28" t="s">
        <v>165</v>
      </c>
      <c r="C1238" s="42" t="s">
        <v>3361</v>
      </c>
      <c r="D1238" s="42" t="s">
        <v>832</v>
      </c>
      <c r="E1238" s="42" t="s">
        <v>162</v>
      </c>
      <c r="F1238" s="28" t="s">
        <v>1303</v>
      </c>
      <c r="G1238" s="28">
        <v>31.7</v>
      </c>
      <c r="H1238" s="66"/>
      <c r="I1238" s="42"/>
      <c r="J1238" s="42"/>
      <c r="K1238" s="42"/>
      <c r="L1238" s="42"/>
      <c r="M1238" s="42"/>
      <c r="N1238" s="42"/>
      <c r="O1238" s="42"/>
      <c r="P1238" s="42"/>
      <c r="Q1238" s="42"/>
      <c r="R1238" s="42"/>
      <c r="S1238" s="42"/>
      <c r="T1238" s="42"/>
      <c r="U1238" s="42"/>
      <c r="V1238" s="42"/>
      <c r="W1238" s="42"/>
      <c r="X1238" s="42"/>
      <c r="Y1238" s="42"/>
      <c r="Z1238" s="42"/>
    </row>
    <row r="1239" ht="12.75" customHeight="1">
      <c r="A1239" s="28" t="s">
        <v>3362</v>
      </c>
      <c r="B1239" s="28" t="s">
        <v>165</v>
      </c>
      <c r="C1239" s="42" t="s">
        <v>3363</v>
      </c>
      <c r="D1239" s="42" t="s">
        <v>357</v>
      </c>
      <c r="E1239" s="42" t="s">
        <v>162</v>
      </c>
      <c r="F1239" s="28" t="s">
        <v>3364</v>
      </c>
      <c r="G1239" s="28">
        <v>28.3</v>
      </c>
      <c r="H1239" s="66"/>
      <c r="I1239" s="42"/>
      <c r="J1239" s="42"/>
      <c r="K1239" s="42"/>
      <c r="L1239" s="42"/>
      <c r="M1239" s="42"/>
      <c r="N1239" s="42"/>
      <c r="O1239" s="42"/>
      <c r="P1239" s="42"/>
      <c r="Q1239" s="42"/>
      <c r="R1239" s="42"/>
      <c r="S1239" s="42"/>
      <c r="T1239" s="42"/>
      <c r="U1239" s="42"/>
      <c r="V1239" s="42"/>
      <c r="W1239" s="42"/>
      <c r="X1239" s="42"/>
      <c r="Y1239" s="42"/>
      <c r="Z1239" s="42"/>
    </row>
    <row r="1240" ht="12.75" customHeight="1">
      <c r="A1240" s="28" t="s">
        <v>869</v>
      </c>
      <c r="B1240" s="28" t="s">
        <v>215</v>
      </c>
      <c r="C1240" s="42" t="s">
        <v>3365</v>
      </c>
      <c r="D1240" s="42" t="s">
        <v>731</v>
      </c>
      <c r="E1240" s="42" t="s">
        <v>374</v>
      </c>
      <c r="F1240" s="28" t="s">
        <v>3366</v>
      </c>
      <c r="G1240" s="28">
        <v>32.0</v>
      </c>
      <c r="H1240" s="66"/>
      <c r="I1240" s="42"/>
      <c r="J1240" s="42"/>
      <c r="K1240" s="42"/>
      <c r="L1240" s="42"/>
      <c r="M1240" s="42"/>
      <c r="N1240" s="42"/>
      <c r="O1240" s="42"/>
      <c r="P1240" s="42"/>
      <c r="Q1240" s="42"/>
      <c r="R1240" s="42"/>
      <c r="S1240" s="42"/>
      <c r="T1240" s="42"/>
      <c r="U1240" s="42"/>
      <c r="V1240" s="42"/>
      <c r="W1240" s="42"/>
      <c r="X1240" s="42"/>
      <c r="Y1240" s="42"/>
      <c r="Z1240" s="42"/>
    </row>
    <row r="1241" ht="12.75" customHeight="1">
      <c r="A1241" s="28" t="s">
        <v>3367</v>
      </c>
      <c r="B1241" s="28" t="s">
        <v>165</v>
      </c>
      <c r="C1241" s="42" t="s">
        <v>3368</v>
      </c>
      <c r="D1241" s="42" t="s">
        <v>1012</v>
      </c>
      <c r="E1241" s="42" t="s">
        <v>162</v>
      </c>
      <c r="F1241" s="28" t="s">
        <v>3369</v>
      </c>
      <c r="G1241" s="28">
        <v>30.9</v>
      </c>
      <c r="H1241" s="66"/>
      <c r="I1241" s="42"/>
      <c r="J1241" s="42"/>
      <c r="K1241" s="42"/>
      <c r="L1241" s="42"/>
      <c r="M1241" s="42"/>
      <c r="N1241" s="42"/>
      <c r="O1241" s="42"/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</row>
    <row r="1242" ht="12.75" customHeight="1">
      <c r="A1242" s="28" t="s">
        <v>3370</v>
      </c>
      <c r="B1242" s="28" t="s">
        <v>165</v>
      </c>
      <c r="C1242" s="42" t="s">
        <v>3368</v>
      </c>
      <c r="D1242" s="42" t="s">
        <v>488</v>
      </c>
      <c r="E1242" s="42" t="s">
        <v>162</v>
      </c>
      <c r="F1242" s="28" t="s">
        <v>3371</v>
      </c>
      <c r="G1242" s="28">
        <v>22.9</v>
      </c>
      <c r="H1242" s="66"/>
      <c r="I1242" s="42"/>
      <c r="J1242" s="42"/>
      <c r="K1242" s="42"/>
      <c r="L1242" s="42"/>
      <c r="M1242" s="42"/>
      <c r="N1242" s="42"/>
      <c r="O1242" s="42"/>
      <c r="P1242" s="42"/>
      <c r="Q1242" s="42"/>
      <c r="R1242" s="42"/>
      <c r="S1242" s="42"/>
      <c r="T1242" s="42"/>
      <c r="U1242" s="42"/>
      <c r="V1242" s="42"/>
      <c r="W1242" s="42"/>
      <c r="X1242" s="42"/>
      <c r="Y1242" s="42"/>
      <c r="Z1242" s="42"/>
    </row>
    <row r="1243" ht="12.75" customHeight="1">
      <c r="A1243" s="28" t="s">
        <v>3372</v>
      </c>
      <c r="B1243" s="28" t="s">
        <v>165</v>
      </c>
      <c r="C1243" s="42" t="s">
        <v>3368</v>
      </c>
      <c r="D1243" s="42" t="s">
        <v>1411</v>
      </c>
      <c r="E1243" s="42" t="s">
        <v>162</v>
      </c>
      <c r="F1243" s="28" t="s">
        <v>2793</v>
      </c>
      <c r="G1243" s="28">
        <v>25.0</v>
      </c>
      <c r="H1243" s="66"/>
      <c r="I1243" s="42"/>
      <c r="J1243" s="42"/>
      <c r="K1243" s="42"/>
      <c r="L1243" s="42"/>
      <c r="M1243" s="42"/>
      <c r="N1243" s="42"/>
      <c r="O1243" s="42"/>
      <c r="P1243" s="42"/>
      <c r="Q1243" s="42"/>
      <c r="R1243" s="42"/>
      <c r="S1243" s="42"/>
      <c r="T1243" s="42"/>
      <c r="U1243" s="42"/>
      <c r="V1243" s="42"/>
      <c r="W1243" s="42"/>
      <c r="X1243" s="42"/>
      <c r="Y1243" s="42"/>
      <c r="Z1243" s="42"/>
    </row>
    <row r="1244" ht="12.75" customHeight="1">
      <c r="A1244" s="28" t="s">
        <v>449</v>
      </c>
      <c r="B1244" s="28" t="s">
        <v>165</v>
      </c>
      <c r="C1244" s="42" t="s">
        <v>3373</v>
      </c>
      <c r="D1244" s="42" t="s">
        <v>3373</v>
      </c>
      <c r="E1244" s="42" t="s">
        <v>156</v>
      </c>
      <c r="F1244" s="28" t="s">
        <v>3058</v>
      </c>
      <c r="G1244" s="28">
        <v>17.8</v>
      </c>
      <c r="H1244" s="66"/>
      <c r="I1244" s="42"/>
      <c r="J1244" s="42"/>
      <c r="K1244" s="42"/>
      <c r="L1244" s="42"/>
      <c r="M1244" s="42"/>
      <c r="N1244" s="42"/>
      <c r="O1244" s="42"/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</row>
    <row r="1245" ht="12.75" customHeight="1">
      <c r="A1245" s="28" t="s">
        <v>551</v>
      </c>
      <c r="B1245" s="28" t="s">
        <v>159</v>
      </c>
      <c r="C1245" s="42" t="s">
        <v>3373</v>
      </c>
      <c r="D1245" s="42" t="s">
        <v>401</v>
      </c>
      <c r="E1245" s="42" t="s">
        <v>162</v>
      </c>
      <c r="F1245" s="28" t="s">
        <v>3058</v>
      </c>
      <c r="G1245" s="28">
        <v>18.3</v>
      </c>
      <c r="H1245" s="66"/>
      <c r="I1245" s="42"/>
      <c r="J1245" s="42"/>
      <c r="K1245" s="42"/>
      <c r="L1245" s="42"/>
      <c r="M1245" s="42"/>
      <c r="N1245" s="42"/>
      <c r="O1245" s="42"/>
      <c r="P1245" s="42"/>
      <c r="Q1245" s="42"/>
      <c r="R1245" s="42"/>
      <c r="S1245" s="42"/>
      <c r="T1245" s="42"/>
      <c r="U1245" s="42"/>
      <c r="V1245" s="42"/>
      <c r="W1245" s="42"/>
      <c r="X1245" s="42"/>
      <c r="Y1245" s="42"/>
      <c r="Z1245" s="42"/>
    </row>
    <row r="1246" ht="12.75" customHeight="1">
      <c r="A1246" s="28" t="s">
        <v>3374</v>
      </c>
      <c r="B1246" s="28" t="s">
        <v>165</v>
      </c>
      <c r="C1246" s="42" t="s">
        <v>3375</v>
      </c>
      <c r="D1246" s="42" t="s">
        <v>3376</v>
      </c>
      <c r="E1246" s="42" t="s">
        <v>162</v>
      </c>
      <c r="F1246" s="28" t="s">
        <v>3377</v>
      </c>
      <c r="G1246" s="28">
        <v>30.6</v>
      </c>
      <c r="H1246" s="66"/>
      <c r="I1246" s="42"/>
      <c r="J1246" s="42"/>
      <c r="K1246" s="42"/>
      <c r="L1246" s="42"/>
      <c r="M1246" s="42"/>
      <c r="N1246" s="42"/>
      <c r="O1246" s="42"/>
      <c r="P1246" s="42"/>
      <c r="Q1246" s="42"/>
      <c r="R1246" s="42"/>
      <c r="S1246" s="42"/>
      <c r="T1246" s="42"/>
      <c r="U1246" s="42"/>
      <c r="V1246" s="42"/>
      <c r="W1246" s="42"/>
      <c r="X1246" s="42"/>
      <c r="Y1246" s="42"/>
      <c r="Z1246" s="42"/>
    </row>
    <row r="1247" ht="12.75" customHeight="1">
      <c r="A1247" s="28" t="s">
        <v>3378</v>
      </c>
      <c r="B1247" s="28" t="s">
        <v>165</v>
      </c>
      <c r="C1247" s="42" t="s">
        <v>3379</v>
      </c>
      <c r="D1247" s="42" t="s">
        <v>354</v>
      </c>
      <c r="E1247" s="42" t="s">
        <v>3380</v>
      </c>
      <c r="F1247" s="28" t="s">
        <v>3381</v>
      </c>
      <c r="G1247" s="28">
        <v>29.5</v>
      </c>
      <c r="H1247" s="66"/>
      <c r="I1247" s="42"/>
      <c r="J1247" s="42"/>
      <c r="K1247" s="42"/>
      <c r="L1247" s="42"/>
      <c r="M1247" s="42"/>
      <c r="N1247" s="42"/>
      <c r="O1247" s="42"/>
      <c r="P1247" s="42"/>
      <c r="Q1247" s="42"/>
      <c r="R1247" s="42"/>
      <c r="S1247" s="42"/>
      <c r="T1247" s="42"/>
      <c r="U1247" s="42"/>
      <c r="V1247" s="42"/>
      <c r="W1247" s="42"/>
      <c r="X1247" s="42"/>
      <c r="Y1247" s="42"/>
      <c r="Z1247" s="42"/>
    </row>
    <row r="1248" ht="12.75" customHeight="1">
      <c r="A1248" s="28" t="s">
        <v>3382</v>
      </c>
      <c r="B1248" s="28" t="s">
        <v>210</v>
      </c>
      <c r="C1248" s="42" t="s">
        <v>3383</v>
      </c>
      <c r="D1248" s="42" t="s">
        <v>813</v>
      </c>
      <c r="E1248" s="42" t="s">
        <v>162</v>
      </c>
      <c r="F1248" s="28" t="s">
        <v>3384</v>
      </c>
      <c r="G1248" s="28">
        <v>23.2</v>
      </c>
      <c r="H1248" s="66"/>
      <c r="I1248" s="42"/>
      <c r="J1248" s="42"/>
      <c r="K1248" s="42"/>
      <c r="L1248" s="42"/>
      <c r="M1248" s="42"/>
      <c r="N1248" s="42"/>
      <c r="O1248" s="42"/>
      <c r="P1248" s="42"/>
      <c r="Q1248" s="42"/>
      <c r="R1248" s="42"/>
      <c r="S1248" s="42"/>
      <c r="T1248" s="42"/>
      <c r="U1248" s="42"/>
      <c r="V1248" s="42"/>
      <c r="W1248" s="42"/>
      <c r="X1248" s="42"/>
      <c r="Y1248" s="42"/>
      <c r="Z1248" s="42"/>
    </row>
    <row r="1249" ht="12.75" customHeight="1">
      <c r="A1249" s="28" t="s">
        <v>919</v>
      </c>
      <c r="B1249" s="28" t="s">
        <v>165</v>
      </c>
      <c r="C1249" s="42" t="s">
        <v>3385</v>
      </c>
      <c r="D1249" s="42" t="s">
        <v>558</v>
      </c>
      <c r="E1249" s="42" t="s">
        <v>162</v>
      </c>
      <c r="F1249" s="28" t="s">
        <v>3386</v>
      </c>
      <c r="G1249" s="28">
        <v>23.5</v>
      </c>
      <c r="H1249" s="66"/>
      <c r="I1249" s="42"/>
      <c r="J1249" s="42"/>
      <c r="K1249" s="42"/>
      <c r="L1249" s="42"/>
      <c r="M1249" s="42"/>
      <c r="N1249" s="42"/>
      <c r="O1249" s="42"/>
      <c r="P1249" s="42"/>
      <c r="Q1249" s="42"/>
      <c r="R1249" s="42"/>
      <c r="S1249" s="42"/>
      <c r="T1249" s="42"/>
      <c r="U1249" s="42"/>
      <c r="V1249" s="42"/>
      <c r="W1249" s="42"/>
      <c r="X1249" s="42"/>
      <c r="Y1249" s="42"/>
      <c r="Z1249" s="42"/>
    </row>
    <row r="1250" ht="12.75" customHeight="1">
      <c r="A1250" s="28" t="s">
        <v>372</v>
      </c>
      <c r="B1250" s="28" t="s">
        <v>262</v>
      </c>
      <c r="C1250" s="42" t="s">
        <v>3387</v>
      </c>
      <c r="D1250" s="42" t="s">
        <v>1044</v>
      </c>
      <c r="E1250" s="42" t="s">
        <v>162</v>
      </c>
      <c r="F1250" s="28" t="s">
        <v>3388</v>
      </c>
      <c r="G1250" s="28">
        <v>25.5</v>
      </c>
      <c r="H1250" s="66"/>
      <c r="I1250" s="42"/>
      <c r="J1250" s="42"/>
      <c r="K1250" s="42"/>
      <c r="L1250" s="42"/>
      <c r="M1250" s="42"/>
      <c r="N1250" s="42"/>
      <c r="O1250" s="42"/>
      <c r="P1250" s="42"/>
      <c r="Q1250" s="42"/>
      <c r="R1250" s="42"/>
      <c r="S1250" s="42"/>
      <c r="T1250" s="42"/>
      <c r="U1250" s="42"/>
      <c r="V1250" s="42"/>
      <c r="W1250" s="42"/>
      <c r="X1250" s="42"/>
      <c r="Y1250" s="42"/>
      <c r="Z1250" s="42"/>
    </row>
    <row r="1251" ht="12.75" customHeight="1">
      <c r="A1251" s="28" t="s">
        <v>3389</v>
      </c>
      <c r="B1251" s="28" t="s">
        <v>165</v>
      </c>
      <c r="C1251" s="42" t="s">
        <v>3390</v>
      </c>
      <c r="D1251" s="42" t="s">
        <v>203</v>
      </c>
      <c r="E1251" s="42" t="s">
        <v>162</v>
      </c>
      <c r="F1251" s="28" t="s">
        <v>1847</v>
      </c>
      <c r="G1251" s="28">
        <v>26.8</v>
      </c>
      <c r="H1251" s="66"/>
      <c r="I1251" s="42"/>
      <c r="J1251" s="42"/>
      <c r="K1251" s="42"/>
      <c r="L1251" s="42"/>
      <c r="M1251" s="42"/>
      <c r="N1251" s="42"/>
      <c r="O1251" s="42"/>
      <c r="P1251" s="42"/>
      <c r="Q1251" s="42"/>
      <c r="R1251" s="42"/>
      <c r="S1251" s="42"/>
      <c r="T1251" s="42"/>
      <c r="U1251" s="42"/>
      <c r="V1251" s="42"/>
      <c r="W1251" s="42"/>
      <c r="X1251" s="42"/>
      <c r="Y1251" s="42"/>
      <c r="Z1251" s="42"/>
    </row>
    <row r="1252" ht="12.75" customHeight="1">
      <c r="A1252" s="28" t="s">
        <v>265</v>
      </c>
      <c r="B1252" s="28" t="s">
        <v>165</v>
      </c>
      <c r="C1252" s="42" t="s">
        <v>3391</v>
      </c>
      <c r="D1252" s="42" t="s">
        <v>3392</v>
      </c>
      <c r="E1252" s="42" t="s">
        <v>1154</v>
      </c>
      <c r="F1252" s="28" t="s">
        <v>3393</v>
      </c>
      <c r="G1252" s="28">
        <v>34.8</v>
      </c>
      <c r="H1252" s="66"/>
      <c r="I1252" s="42"/>
      <c r="J1252" s="42"/>
      <c r="K1252" s="42"/>
      <c r="L1252" s="42"/>
      <c r="M1252" s="42"/>
      <c r="N1252" s="42"/>
      <c r="O1252" s="42"/>
      <c r="P1252" s="42"/>
      <c r="Q1252" s="42"/>
      <c r="R1252" s="42"/>
      <c r="S1252" s="42"/>
      <c r="T1252" s="42"/>
      <c r="U1252" s="42"/>
      <c r="V1252" s="42"/>
      <c r="W1252" s="42"/>
      <c r="X1252" s="42"/>
      <c r="Y1252" s="42"/>
      <c r="Z1252" s="42"/>
    </row>
    <row r="1253" ht="12.75" customHeight="1">
      <c r="A1253" s="28" t="s">
        <v>261</v>
      </c>
      <c r="B1253" s="28" t="s">
        <v>215</v>
      </c>
      <c r="C1253" s="42" t="s">
        <v>3394</v>
      </c>
      <c r="D1253" s="42" t="s">
        <v>633</v>
      </c>
      <c r="E1253" s="42" t="s">
        <v>3395</v>
      </c>
      <c r="F1253" s="28" t="s">
        <v>3396</v>
      </c>
      <c r="G1253" s="28">
        <v>27.0</v>
      </c>
      <c r="H1253" s="66"/>
      <c r="I1253" s="42"/>
      <c r="J1253" s="42"/>
      <c r="K1253" s="42"/>
      <c r="L1253" s="42"/>
      <c r="M1253" s="42"/>
      <c r="N1253" s="42"/>
      <c r="O1253" s="42"/>
      <c r="P1253" s="42"/>
      <c r="Q1253" s="42"/>
      <c r="R1253" s="42"/>
      <c r="S1253" s="42"/>
      <c r="T1253" s="42"/>
      <c r="U1253" s="42"/>
      <c r="V1253" s="42"/>
      <c r="W1253" s="42"/>
      <c r="X1253" s="42"/>
      <c r="Y1253" s="42"/>
      <c r="Z1253" s="42"/>
    </row>
    <row r="1254" ht="12.75" customHeight="1">
      <c r="A1254" s="28" t="s">
        <v>3397</v>
      </c>
      <c r="B1254" s="28" t="s">
        <v>165</v>
      </c>
      <c r="C1254" s="42" t="s">
        <v>3398</v>
      </c>
      <c r="D1254" s="42" t="s">
        <v>516</v>
      </c>
      <c r="E1254" s="42" t="s">
        <v>162</v>
      </c>
      <c r="F1254" s="28" t="s">
        <v>1989</v>
      </c>
      <c r="G1254" s="28">
        <v>28.3</v>
      </c>
      <c r="H1254" s="66"/>
      <c r="I1254" s="42"/>
      <c r="J1254" s="42"/>
      <c r="K1254" s="42"/>
      <c r="L1254" s="42"/>
      <c r="M1254" s="42"/>
      <c r="N1254" s="42"/>
      <c r="O1254" s="42"/>
      <c r="P1254" s="42"/>
      <c r="Q1254" s="42"/>
      <c r="R1254" s="42"/>
      <c r="S1254" s="42"/>
      <c r="T1254" s="42"/>
      <c r="U1254" s="42"/>
      <c r="V1254" s="42"/>
      <c r="W1254" s="42"/>
      <c r="X1254" s="42"/>
      <c r="Y1254" s="42"/>
      <c r="Z1254" s="42"/>
    </row>
    <row r="1255" ht="12.75" customHeight="1">
      <c r="A1255" s="28" t="s">
        <v>3399</v>
      </c>
      <c r="B1255" s="28" t="s">
        <v>165</v>
      </c>
      <c r="C1255" s="42" t="s">
        <v>3400</v>
      </c>
      <c r="D1255" s="42" t="s">
        <v>185</v>
      </c>
      <c r="E1255" s="42" t="s">
        <v>362</v>
      </c>
      <c r="F1255" s="28" t="s">
        <v>2109</v>
      </c>
      <c r="G1255" s="28">
        <v>21.7</v>
      </c>
      <c r="H1255" s="66"/>
      <c r="I1255" s="42"/>
      <c r="J1255" s="42"/>
      <c r="K1255" s="42"/>
      <c r="L1255" s="42"/>
      <c r="M1255" s="42"/>
      <c r="N1255" s="42"/>
      <c r="O1255" s="42"/>
      <c r="P1255" s="42"/>
      <c r="Q1255" s="42"/>
      <c r="R1255" s="42"/>
      <c r="S1255" s="42"/>
      <c r="T1255" s="42"/>
      <c r="U1255" s="42"/>
      <c r="V1255" s="42"/>
      <c r="W1255" s="42"/>
      <c r="X1255" s="42"/>
      <c r="Y1255" s="42"/>
      <c r="Z1255" s="42"/>
    </row>
    <row r="1256" ht="12.75" customHeight="1">
      <c r="A1256" s="28" t="s">
        <v>734</v>
      </c>
      <c r="B1256" s="28" t="s">
        <v>159</v>
      </c>
      <c r="C1256" s="42" t="s">
        <v>3401</v>
      </c>
      <c r="D1256" s="42" t="s">
        <v>161</v>
      </c>
      <c r="E1256" s="42" t="s">
        <v>3402</v>
      </c>
      <c r="F1256" s="28" t="s">
        <v>2660</v>
      </c>
      <c r="G1256" s="28">
        <v>32.3</v>
      </c>
      <c r="H1256" s="66"/>
      <c r="I1256" s="42"/>
      <c r="J1256" s="42"/>
      <c r="K1256" s="42"/>
      <c r="L1256" s="42"/>
      <c r="M1256" s="42"/>
      <c r="N1256" s="42"/>
      <c r="O1256" s="42"/>
      <c r="P1256" s="42"/>
      <c r="Q1256" s="42"/>
      <c r="R1256" s="42"/>
      <c r="S1256" s="42"/>
      <c r="T1256" s="42"/>
      <c r="U1256" s="42"/>
      <c r="V1256" s="42"/>
      <c r="W1256" s="42"/>
      <c r="X1256" s="42"/>
      <c r="Y1256" s="42"/>
      <c r="Z1256" s="42"/>
    </row>
    <row r="1257" ht="12.75" customHeight="1">
      <c r="A1257" s="28" t="s">
        <v>923</v>
      </c>
      <c r="B1257" s="28" t="s">
        <v>210</v>
      </c>
      <c r="C1257" s="42" t="s">
        <v>3403</v>
      </c>
      <c r="D1257" s="42" t="s">
        <v>2866</v>
      </c>
      <c r="E1257" s="42" t="s">
        <v>162</v>
      </c>
      <c r="F1257" s="28" t="s">
        <v>2754</v>
      </c>
      <c r="G1257" s="28">
        <v>22.2</v>
      </c>
      <c r="H1257" s="66"/>
      <c r="I1257" s="42"/>
      <c r="J1257" s="42"/>
      <c r="K1257" s="42"/>
      <c r="L1257" s="42"/>
      <c r="M1257" s="42"/>
      <c r="N1257" s="42"/>
      <c r="O1257" s="42"/>
      <c r="P1257" s="42"/>
      <c r="Q1257" s="42"/>
      <c r="R1257" s="42"/>
      <c r="S1257" s="42"/>
      <c r="T1257" s="42"/>
      <c r="U1257" s="42"/>
      <c r="V1257" s="42"/>
      <c r="W1257" s="42"/>
      <c r="X1257" s="42"/>
      <c r="Y1257" s="42"/>
      <c r="Z1257" s="42"/>
    </row>
    <row r="1258" ht="12.75" customHeight="1">
      <c r="A1258" s="28" t="s">
        <v>3404</v>
      </c>
      <c r="B1258" s="28" t="s">
        <v>210</v>
      </c>
      <c r="C1258" s="42" t="s">
        <v>3405</v>
      </c>
      <c r="D1258" s="42" t="s">
        <v>3406</v>
      </c>
      <c r="E1258" s="42" t="s">
        <v>162</v>
      </c>
      <c r="F1258" s="28" t="s">
        <v>3407</v>
      </c>
      <c r="G1258" s="28">
        <v>24.2</v>
      </c>
      <c r="H1258" s="66"/>
      <c r="I1258" s="42"/>
      <c r="J1258" s="42"/>
      <c r="K1258" s="42"/>
      <c r="L1258" s="42"/>
      <c r="M1258" s="42"/>
      <c r="N1258" s="42"/>
      <c r="O1258" s="42"/>
      <c r="P1258" s="42"/>
      <c r="Q1258" s="42"/>
      <c r="R1258" s="42"/>
      <c r="S1258" s="42"/>
      <c r="T1258" s="42"/>
      <c r="U1258" s="42"/>
      <c r="V1258" s="42"/>
      <c r="W1258" s="42"/>
      <c r="X1258" s="42"/>
      <c r="Y1258" s="42"/>
      <c r="Z1258" s="42"/>
    </row>
    <row r="1259" ht="12.75" customHeight="1">
      <c r="A1259" s="28" t="s">
        <v>3408</v>
      </c>
      <c r="B1259" s="28" t="s">
        <v>210</v>
      </c>
      <c r="C1259" s="42" t="s">
        <v>3405</v>
      </c>
      <c r="D1259" s="42" t="s">
        <v>395</v>
      </c>
      <c r="E1259" s="42" t="s">
        <v>162</v>
      </c>
      <c r="F1259" s="28" t="s">
        <v>3409</v>
      </c>
      <c r="G1259" s="28">
        <v>22.7</v>
      </c>
      <c r="H1259" s="66"/>
      <c r="I1259" s="42"/>
      <c r="J1259" s="42"/>
      <c r="K1259" s="42"/>
      <c r="L1259" s="42"/>
      <c r="M1259" s="42"/>
      <c r="N1259" s="42"/>
      <c r="O1259" s="42"/>
      <c r="P1259" s="42"/>
      <c r="Q1259" s="42"/>
      <c r="R1259" s="42"/>
      <c r="S1259" s="42"/>
      <c r="T1259" s="42"/>
      <c r="U1259" s="42"/>
      <c r="V1259" s="42"/>
      <c r="W1259" s="42"/>
      <c r="X1259" s="42"/>
      <c r="Y1259" s="42"/>
      <c r="Z1259" s="42"/>
    </row>
    <row r="1260" ht="12.75" customHeight="1">
      <c r="A1260" s="28" t="s">
        <v>406</v>
      </c>
      <c r="B1260" s="28" t="s">
        <v>159</v>
      </c>
      <c r="C1260" s="42" t="s">
        <v>3410</v>
      </c>
      <c r="D1260" s="42" t="s">
        <v>141</v>
      </c>
      <c r="E1260" s="42" t="s">
        <v>887</v>
      </c>
      <c r="F1260" s="28" t="s">
        <v>3411</v>
      </c>
      <c r="G1260" s="28">
        <v>32.7</v>
      </c>
      <c r="H1260" s="66"/>
      <c r="I1260" s="42"/>
      <c r="J1260" s="42"/>
      <c r="K1260" s="42"/>
      <c r="L1260" s="42"/>
      <c r="M1260" s="42"/>
      <c r="N1260" s="42"/>
      <c r="O1260" s="42"/>
      <c r="P1260" s="42"/>
      <c r="Q1260" s="42"/>
      <c r="R1260" s="42"/>
      <c r="S1260" s="42"/>
      <c r="T1260" s="42"/>
      <c r="U1260" s="42"/>
      <c r="V1260" s="42"/>
      <c r="W1260" s="42"/>
      <c r="X1260" s="42"/>
      <c r="Y1260" s="42"/>
      <c r="Z1260" s="42"/>
    </row>
    <row r="1261" ht="12.75" customHeight="1">
      <c r="A1261" s="28" t="s">
        <v>265</v>
      </c>
      <c r="B1261" s="28" t="s">
        <v>554</v>
      </c>
      <c r="C1261" s="42" t="s">
        <v>3410</v>
      </c>
      <c r="D1261" s="42" t="s">
        <v>240</v>
      </c>
      <c r="E1261" s="42" t="s">
        <v>162</v>
      </c>
      <c r="F1261" s="28" t="s">
        <v>3412</v>
      </c>
      <c r="G1261" s="28">
        <v>19.3</v>
      </c>
      <c r="H1261" s="66"/>
      <c r="I1261" s="42"/>
      <c r="J1261" s="42"/>
      <c r="K1261" s="42"/>
      <c r="L1261" s="42"/>
      <c r="M1261" s="42"/>
      <c r="N1261" s="42"/>
      <c r="O1261" s="42"/>
      <c r="P1261" s="42"/>
      <c r="Q1261" s="42"/>
      <c r="R1261" s="42"/>
      <c r="S1261" s="42"/>
      <c r="T1261" s="42"/>
      <c r="U1261" s="42"/>
      <c r="V1261" s="42"/>
      <c r="W1261" s="42"/>
      <c r="X1261" s="42"/>
      <c r="Y1261" s="42"/>
      <c r="Z1261" s="42"/>
    </row>
    <row r="1262" ht="12.75" customHeight="1">
      <c r="A1262" s="28" t="s">
        <v>3413</v>
      </c>
      <c r="B1262" s="28" t="s">
        <v>165</v>
      </c>
      <c r="C1262" s="42" t="s">
        <v>3414</v>
      </c>
      <c r="D1262" s="42" t="s">
        <v>3415</v>
      </c>
      <c r="E1262" s="42" t="s">
        <v>460</v>
      </c>
      <c r="F1262" s="28" t="s">
        <v>3225</v>
      </c>
      <c r="G1262" s="28">
        <v>30.6</v>
      </c>
      <c r="H1262" s="66"/>
      <c r="I1262" s="42"/>
      <c r="J1262" s="42"/>
      <c r="K1262" s="42"/>
      <c r="L1262" s="42"/>
      <c r="M1262" s="42"/>
      <c r="N1262" s="42"/>
      <c r="O1262" s="42"/>
      <c r="P1262" s="42"/>
      <c r="Q1262" s="42"/>
      <c r="R1262" s="42"/>
      <c r="S1262" s="42"/>
      <c r="T1262" s="42"/>
      <c r="U1262" s="42"/>
      <c r="V1262" s="42"/>
      <c r="W1262" s="42"/>
      <c r="X1262" s="42"/>
      <c r="Y1262" s="42"/>
      <c r="Z1262" s="42"/>
    </row>
    <row r="1263" ht="12.75" customHeight="1">
      <c r="A1263" s="28" t="s">
        <v>3416</v>
      </c>
      <c r="B1263" s="28" t="s">
        <v>165</v>
      </c>
      <c r="C1263" s="42" t="s">
        <v>3417</v>
      </c>
      <c r="D1263" s="42" t="s">
        <v>1084</v>
      </c>
      <c r="E1263" s="42" t="s">
        <v>162</v>
      </c>
      <c r="F1263" s="28" t="s">
        <v>3418</v>
      </c>
      <c r="G1263" s="28">
        <v>22.0</v>
      </c>
      <c r="H1263" s="66"/>
      <c r="I1263" s="42"/>
      <c r="J1263" s="42"/>
      <c r="K1263" s="42"/>
      <c r="L1263" s="42"/>
      <c r="M1263" s="42"/>
      <c r="N1263" s="42"/>
      <c r="O1263" s="42"/>
      <c r="P1263" s="42"/>
      <c r="Q1263" s="42"/>
      <c r="R1263" s="42"/>
      <c r="S1263" s="42"/>
      <c r="T1263" s="42"/>
      <c r="U1263" s="42"/>
      <c r="V1263" s="42"/>
      <c r="W1263" s="42"/>
      <c r="X1263" s="42"/>
      <c r="Y1263" s="42"/>
      <c r="Z1263" s="42"/>
    </row>
    <row r="1264" ht="12.75" customHeight="1">
      <c r="A1264" s="28" t="s">
        <v>3419</v>
      </c>
      <c r="B1264" s="28" t="s">
        <v>210</v>
      </c>
      <c r="C1264" s="42" t="s">
        <v>3420</v>
      </c>
      <c r="D1264" s="42" t="s">
        <v>1096</v>
      </c>
      <c r="E1264" s="42" t="s">
        <v>715</v>
      </c>
      <c r="F1264" s="28" t="s">
        <v>3421</v>
      </c>
      <c r="G1264" s="28">
        <v>23.5</v>
      </c>
      <c r="H1264" s="66"/>
      <c r="I1264" s="42"/>
      <c r="J1264" s="42"/>
      <c r="K1264" s="42"/>
      <c r="L1264" s="42"/>
      <c r="M1264" s="42"/>
      <c r="N1264" s="42"/>
      <c r="O1264" s="42"/>
      <c r="P1264" s="42"/>
      <c r="Q1264" s="42"/>
      <c r="R1264" s="42"/>
      <c r="S1264" s="42"/>
      <c r="T1264" s="42"/>
      <c r="U1264" s="42"/>
      <c r="V1264" s="42"/>
      <c r="W1264" s="42"/>
      <c r="X1264" s="42"/>
      <c r="Y1264" s="42"/>
      <c r="Z1264" s="42"/>
    </row>
    <row r="1265" ht="12.75" customHeight="1">
      <c r="A1265" s="28" t="s">
        <v>382</v>
      </c>
      <c r="B1265" s="28" t="s">
        <v>210</v>
      </c>
      <c r="C1265" s="42" t="s">
        <v>3422</v>
      </c>
      <c r="D1265" s="42" t="s">
        <v>326</v>
      </c>
      <c r="E1265" s="42" t="s">
        <v>972</v>
      </c>
      <c r="F1265" s="28" t="s">
        <v>3423</v>
      </c>
      <c r="G1265" s="28">
        <v>21.4</v>
      </c>
      <c r="H1265" s="66"/>
      <c r="I1265" s="42"/>
      <c r="J1265" s="42"/>
      <c r="K1265" s="42"/>
      <c r="L1265" s="42"/>
      <c r="M1265" s="42"/>
      <c r="N1265" s="42"/>
      <c r="O1265" s="42"/>
      <c r="P1265" s="42"/>
      <c r="Q1265" s="42"/>
      <c r="R1265" s="42"/>
      <c r="S1265" s="42"/>
      <c r="T1265" s="42"/>
      <c r="U1265" s="42"/>
      <c r="V1265" s="42"/>
      <c r="W1265" s="42"/>
      <c r="X1265" s="42"/>
      <c r="Y1265" s="42"/>
      <c r="Z1265" s="42"/>
    </row>
    <row r="1266" ht="12.75" customHeight="1">
      <c r="A1266" s="28" t="s">
        <v>765</v>
      </c>
      <c r="B1266" s="28" t="s">
        <v>159</v>
      </c>
      <c r="C1266" s="42" t="s">
        <v>3424</v>
      </c>
      <c r="D1266" s="42" t="s">
        <v>665</v>
      </c>
      <c r="E1266" s="42" t="s">
        <v>162</v>
      </c>
      <c r="F1266" s="28" t="s">
        <v>3425</v>
      </c>
      <c r="G1266" s="28">
        <v>27.4</v>
      </c>
      <c r="H1266" s="66"/>
      <c r="I1266" s="42"/>
      <c r="J1266" s="42"/>
      <c r="K1266" s="42"/>
      <c r="L1266" s="42"/>
      <c r="M1266" s="42"/>
      <c r="N1266" s="42"/>
      <c r="O1266" s="42"/>
      <c r="P1266" s="42"/>
      <c r="Q1266" s="42"/>
      <c r="R1266" s="42"/>
      <c r="S1266" s="42"/>
      <c r="T1266" s="42"/>
      <c r="U1266" s="42"/>
      <c r="V1266" s="42"/>
      <c r="W1266" s="42"/>
      <c r="X1266" s="42"/>
      <c r="Y1266" s="42"/>
      <c r="Z1266" s="42"/>
    </row>
    <row r="1267" ht="12.75" customHeight="1">
      <c r="A1267" s="28" t="s">
        <v>773</v>
      </c>
      <c r="B1267" s="28" t="s">
        <v>159</v>
      </c>
      <c r="C1267" s="42" t="s">
        <v>3426</v>
      </c>
      <c r="D1267" s="42" t="s">
        <v>586</v>
      </c>
      <c r="E1267" s="42" t="s">
        <v>650</v>
      </c>
      <c r="F1267" s="28" t="s">
        <v>3427</v>
      </c>
      <c r="G1267" s="28">
        <v>31.3</v>
      </c>
      <c r="H1267" s="66"/>
      <c r="I1267" s="42"/>
      <c r="J1267" s="42"/>
      <c r="K1267" s="42"/>
      <c r="L1267" s="42"/>
      <c r="M1267" s="42"/>
      <c r="N1267" s="42"/>
      <c r="O1267" s="42"/>
      <c r="P1267" s="42"/>
      <c r="Q1267" s="42"/>
      <c r="R1267" s="42"/>
      <c r="S1267" s="42"/>
      <c r="T1267" s="42"/>
      <c r="U1267" s="42"/>
      <c r="V1267" s="42"/>
      <c r="W1267" s="42"/>
      <c r="X1267" s="42"/>
      <c r="Y1267" s="42"/>
      <c r="Z1267" s="42"/>
    </row>
    <row r="1268" ht="12.75" customHeight="1">
      <c r="A1268" s="28" t="s">
        <v>3428</v>
      </c>
      <c r="B1268" s="28" t="s">
        <v>165</v>
      </c>
      <c r="C1268" s="42" t="s">
        <v>3429</v>
      </c>
      <c r="D1268" s="42" t="s">
        <v>1583</v>
      </c>
      <c r="E1268" s="42" t="s">
        <v>1436</v>
      </c>
      <c r="F1268" s="28" t="s">
        <v>2325</v>
      </c>
      <c r="G1268" s="28">
        <v>32.3</v>
      </c>
      <c r="H1268" s="66"/>
      <c r="I1268" s="42"/>
      <c r="J1268" s="42"/>
      <c r="K1268" s="42"/>
      <c r="L1268" s="42"/>
      <c r="M1268" s="42"/>
      <c r="N1268" s="42"/>
      <c r="O1268" s="42"/>
      <c r="P1268" s="42"/>
      <c r="Q1268" s="42"/>
      <c r="R1268" s="42"/>
      <c r="S1268" s="42"/>
      <c r="T1268" s="42"/>
      <c r="U1268" s="42"/>
      <c r="V1268" s="42"/>
      <c r="W1268" s="42"/>
      <c r="X1268" s="42"/>
      <c r="Y1268" s="42"/>
      <c r="Z1268" s="42"/>
    </row>
    <row r="1269" ht="12.75" customHeight="1">
      <c r="A1269" s="28" t="s">
        <v>566</v>
      </c>
      <c r="B1269" s="28" t="s">
        <v>602</v>
      </c>
      <c r="C1269" s="42" t="s">
        <v>3430</v>
      </c>
      <c r="D1269" s="42" t="s">
        <v>240</v>
      </c>
      <c r="E1269" s="42" t="s">
        <v>255</v>
      </c>
      <c r="F1269" s="28" t="s">
        <v>3431</v>
      </c>
      <c r="G1269" s="28">
        <v>32.6</v>
      </c>
      <c r="H1269" s="66"/>
      <c r="I1269" s="42"/>
      <c r="J1269" s="42"/>
      <c r="K1269" s="42"/>
      <c r="L1269" s="42"/>
      <c r="M1269" s="42"/>
      <c r="N1269" s="42"/>
      <c r="O1269" s="42"/>
      <c r="P1269" s="42"/>
      <c r="Q1269" s="42"/>
      <c r="R1269" s="42"/>
      <c r="S1269" s="42"/>
      <c r="T1269" s="42"/>
      <c r="U1269" s="42"/>
      <c r="V1269" s="42"/>
      <c r="W1269" s="42"/>
      <c r="X1269" s="42"/>
      <c r="Y1269" s="42"/>
      <c r="Z1269" s="42"/>
    </row>
    <row r="1270" ht="12.75" customHeight="1">
      <c r="A1270" s="28" t="s">
        <v>3432</v>
      </c>
      <c r="B1270" s="28" t="s">
        <v>165</v>
      </c>
      <c r="C1270" s="42" t="s">
        <v>3430</v>
      </c>
      <c r="D1270" s="42" t="s">
        <v>495</v>
      </c>
      <c r="E1270" s="42" t="s">
        <v>255</v>
      </c>
      <c r="F1270" s="28" t="s">
        <v>3433</v>
      </c>
      <c r="G1270" s="28">
        <v>27.9</v>
      </c>
      <c r="H1270" s="66"/>
      <c r="I1270" s="42"/>
      <c r="J1270" s="42"/>
      <c r="K1270" s="42"/>
      <c r="L1270" s="42"/>
      <c r="M1270" s="42"/>
      <c r="N1270" s="42"/>
      <c r="O1270" s="42"/>
      <c r="P1270" s="42"/>
      <c r="Q1270" s="42"/>
      <c r="R1270" s="42"/>
      <c r="S1270" s="42"/>
      <c r="T1270" s="42"/>
      <c r="U1270" s="42"/>
      <c r="V1270" s="42"/>
      <c r="W1270" s="42"/>
      <c r="X1270" s="42"/>
      <c r="Y1270" s="42"/>
      <c r="Z1270" s="42"/>
    </row>
    <row r="1271" ht="12.75" customHeight="1">
      <c r="A1271" s="28" t="s">
        <v>2063</v>
      </c>
      <c r="B1271" s="28" t="s">
        <v>159</v>
      </c>
      <c r="C1271" s="42" t="s">
        <v>3434</v>
      </c>
      <c r="D1271" s="42" t="s">
        <v>522</v>
      </c>
      <c r="E1271" s="42" t="s">
        <v>700</v>
      </c>
      <c r="F1271" s="28" t="s">
        <v>3435</v>
      </c>
      <c r="G1271" s="28">
        <v>26.8</v>
      </c>
      <c r="H1271" s="66"/>
      <c r="I1271" s="42"/>
      <c r="J1271" s="42"/>
      <c r="K1271" s="42"/>
      <c r="L1271" s="42"/>
      <c r="M1271" s="42"/>
      <c r="N1271" s="42"/>
      <c r="O1271" s="42"/>
      <c r="P1271" s="42"/>
      <c r="Q1271" s="42"/>
      <c r="R1271" s="42"/>
      <c r="S1271" s="42"/>
      <c r="T1271" s="42"/>
      <c r="U1271" s="42"/>
      <c r="V1271" s="42"/>
      <c r="W1271" s="42"/>
      <c r="X1271" s="42"/>
      <c r="Y1271" s="42"/>
      <c r="Z1271" s="42"/>
    </row>
    <row r="1272" ht="12.75" customHeight="1">
      <c r="A1272" s="28" t="s">
        <v>677</v>
      </c>
      <c r="B1272" s="28" t="s">
        <v>153</v>
      </c>
      <c r="C1272" s="42" t="s">
        <v>3436</v>
      </c>
      <c r="D1272" s="42" t="s">
        <v>155</v>
      </c>
      <c r="E1272" s="42" t="s">
        <v>156</v>
      </c>
      <c r="F1272" s="28" t="s">
        <v>3437</v>
      </c>
      <c r="G1272" s="28">
        <v>18.2</v>
      </c>
      <c r="H1272" s="66"/>
      <c r="I1272" s="42"/>
      <c r="J1272" s="42"/>
      <c r="K1272" s="42"/>
      <c r="L1272" s="42"/>
      <c r="M1272" s="42"/>
      <c r="N1272" s="42"/>
      <c r="O1272" s="42"/>
      <c r="P1272" s="42"/>
      <c r="Q1272" s="42"/>
      <c r="R1272" s="42"/>
      <c r="S1272" s="42"/>
      <c r="T1272" s="42"/>
      <c r="U1272" s="42"/>
      <c r="V1272" s="42"/>
      <c r="W1272" s="42"/>
      <c r="X1272" s="42"/>
      <c r="Y1272" s="42"/>
      <c r="Z1272" s="42"/>
    </row>
    <row r="1273" ht="12.75" customHeight="1">
      <c r="A1273" s="28" t="s">
        <v>3438</v>
      </c>
      <c r="B1273" s="28" t="s">
        <v>165</v>
      </c>
      <c r="C1273" s="42" t="s">
        <v>3439</v>
      </c>
      <c r="D1273" s="42" t="s">
        <v>1164</v>
      </c>
      <c r="E1273" s="42" t="s">
        <v>162</v>
      </c>
      <c r="F1273" s="28" t="s">
        <v>3440</v>
      </c>
      <c r="G1273" s="28">
        <v>29.9</v>
      </c>
      <c r="H1273" s="66"/>
      <c r="I1273" s="42"/>
      <c r="J1273" s="42"/>
      <c r="K1273" s="42"/>
      <c r="L1273" s="42"/>
      <c r="M1273" s="42"/>
      <c r="N1273" s="42"/>
      <c r="O1273" s="42"/>
      <c r="P1273" s="42"/>
      <c r="Q1273" s="42"/>
      <c r="R1273" s="42"/>
      <c r="S1273" s="42"/>
      <c r="T1273" s="42"/>
      <c r="U1273" s="42"/>
      <c r="V1273" s="42"/>
      <c r="W1273" s="42"/>
      <c r="X1273" s="42"/>
      <c r="Y1273" s="42"/>
      <c r="Z1273" s="42"/>
    </row>
    <row r="1274" ht="12.75" customHeight="1">
      <c r="A1274" s="28" t="s">
        <v>449</v>
      </c>
      <c r="B1274" s="28" t="s">
        <v>165</v>
      </c>
      <c r="C1274" s="42" t="s">
        <v>3441</v>
      </c>
      <c r="D1274" s="42" t="s">
        <v>198</v>
      </c>
      <c r="E1274" s="42" t="s">
        <v>156</v>
      </c>
      <c r="F1274" s="28" t="s">
        <v>3442</v>
      </c>
      <c r="G1274" s="28">
        <v>22.0</v>
      </c>
      <c r="H1274" s="66"/>
      <c r="I1274" s="42"/>
      <c r="J1274" s="42"/>
      <c r="K1274" s="42"/>
      <c r="L1274" s="42"/>
      <c r="M1274" s="42"/>
      <c r="N1274" s="42"/>
      <c r="O1274" s="42"/>
      <c r="P1274" s="42"/>
      <c r="Q1274" s="42"/>
      <c r="R1274" s="42"/>
      <c r="S1274" s="42"/>
      <c r="T1274" s="42"/>
      <c r="U1274" s="42"/>
      <c r="V1274" s="42"/>
      <c r="W1274" s="42"/>
      <c r="X1274" s="42"/>
      <c r="Y1274" s="42"/>
      <c r="Z1274" s="42"/>
    </row>
    <row r="1275" ht="12.75" customHeight="1">
      <c r="A1275" s="28" t="s">
        <v>183</v>
      </c>
      <c r="B1275" s="28" t="s">
        <v>219</v>
      </c>
      <c r="C1275" s="42" t="s">
        <v>3441</v>
      </c>
      <c r="D1275" s="42" t="s">
        <v>354</v>
      </c>
      <c r="E1275" s="42" t="s">
        <v>3443</v>
      </c>
      <c r="F1275" s="28" t="s">
        <v>2919</v>
      </c>
      <c r="G1275" s="28">
        <v>26.6</v>
      </c>
      <c r="H1275" s="66"/>
      <c r="I1275" s="42"/>
      <c r="J1275" s="42"/>
      <c r="K1275" s="42"/>
      <c r="L1275" s="42"/>
      <c r="M1275" s="42"/>
      <c r="N1275" s="42"/>
      <c r="O1275" s="42"/>
      <c r="P1275" s="42"/>
      <c r="Q1275" s="42"/>
      <c r="R1275" s="42"/>
      <c r="S1275" s="42"/>
      <c r="T1275" s="42"/>
      <c r="U1275" s="42"/>
      <c r="V1275" s="42"/>
      <c r="W1275" s="42"/>
      <c r="X1275" s="42"/>
      <c r="Y1275" s="42"/>
      <c r="Z1275" s="42"/>
    </row>
    <row r="1276" ht="12.75" customHeight="1">
      <c r="A1276" s="28" t="s">
        <v>3444</v>
      </c>
      <c r="B1276" s="28" t="s">
        <v>165</v>
      </c>
      <c r="C1276" s="42" t="s">
        <v>3441</v>
      </c>
      <c r="D1276" s="42" t="s">
        <v>1092</v>
      </c>
      <c r="E1276" s="42" t="s">
        <v>715</v>
      </c>
      <c r="F1276" s="28" t="s">
        <v>3445</v>
      </c>
      <c r="G1276" s="28">
        <v>32.9</v>
      </c>
      <c r="H1276" s="66"/>
      <c r="I1276" s="42"/>
      <c r="J1276" s="42"/>
      <c r="K1276" s="42"/>
      <c r="L1276" s="42"/>
      <c r="M1276" s="42"/>
      <c r="N1276" s="42"/>
      <c r="O1276" s="42"/>
      <c r="P1276" s="42"/>
      <c r="Q1276" s="42"/>
      <c r="R1276" s="42"/>
      <c r="S1276" s="42"/>
      <c r="T1276" s="42"/>
      <c r="U1276" s="42"/>
      <c r="V1276" s="42"/>
      <c r="W1276" s="42"/>
      <c r="X1276" s="42"/>
      <c r="Y1276" s="42"/>
      <c r="Z1276" s="42"/>
    </row>
    <row r="1277" ht="12.75" customHeight="1">
      <c r="A1277" s="28" t="s">
        <v>3446</v>
      </c>
      <c r="B1277" s="28" t="s">
        <v>165</v>
      </c>
      <c r="C1277" s="42" t="s">
        <v>3441</v>
      </c>
      <c r="D1277" s="42" t="s">
        <v>1279</v>
      </c>
      <c r="E1277" s="42" t="s">
        <v>162</v>
      </c>
      <c r="F1277" s="28" t="s">
        <v>3447</v>
      </c>
      <c r="G1277" s="28">
        <v>25.1</v>
      </c>
      <c r="H1277" s="66"/>
      <c r="I1277" s="42"/>
      <c r="J1277" s="42"/>
      <c r="K1277" s="42"/>
      <c r="L1277" s="42"/>
      <c r="M1277" s="42"/>
      <c r="N1277" s="42"/>
      <c r="O1277" s="42"/>
      <c r="P1277" s="42"/>
      <c r="Q1277" s="42"/>
      <c r="R1277" s="42"/>
      <c r="S1277" s="42"/>
      <c r="T1277" s="42"/>
      <c r="U1277" s="42"/>
      <c r="V1277" s="42"/>
      <c r="W1277" s="42"/>
      <c r="X1277" s="42"/>
      <c r="Y1277" s="42"/>
      <c r="Z1277" s="42"/>
    </row>
    <row r="1278" ht="12.75" customHeight="1">
      <c r="A1278" s="28" t="s">
        <v>3448</v>
      </c>
      <c r="B1278" s="28" t="s">
        <v>165</v>
      </c>
      <c r="C1278" s="42" t="s">
        <v>3441</v>
      </c>
      <c r="D1278" s="42" t="s">
        <v>939</v>
      </c>
      <c r="E1278" s="42" t="s">
        <v>715</v>
      </c>
      <c r="F1278" s="28" t="s">
        <v>1013</v>
      </c>
      <c r="G1278" s="28">
        <v>28.8</v>
      </c>
      <c r="H1278" s="66"/>
      <c r="I1278" s="42"/>
      <c r="J1278" s="42"/>
      <c r="K1278" s="42"/>
      <c r="L1278" s="42"/>
      <c r="M1278" s="42"/>
      <c r="N1278" s="42"/>
      <c r="O1278" s="42"/>
      <c r="P1278" s="42"/>
      <c r="Q1278" s="42"/>
      <c r="R1278" s="42"/>
      <c r="S1278" s="42"/>
      <c r="T1278" s="42"/>
      <c r="U1278" s="42"/>
      <c r="V1278" s="42"/>
      <c r="W1278" s="42"/>
      <c r="X1278" s="42"/>
      <c r="Y1278" s="42"/>
      <c r="Z1278" s="42"/>
    </row>
    <row r="1279" ht="12.75" customHeight="1">
      <c r="A1279" s="28" t="s">
        <v>3449</v>
      </c>
      <c r="B1279" s="28" t="s">
        <v>165</v>
      </c>
      <c r="C1279" s="42" t="s">
        <v>3441</v>
      </c>
      <c r="D1279" s="42" t="s">
        <v>518</v>
      </c>
      <c r="E1279" s="42" t="s">
        <v>715</v>
      </c>
      <c r="F1279" s="28" t="s">
        <v>1101</v>
      </c>
      <c r="G1279" s="28">
        <v>25.9</v>
      </c>
      <c r="H1279" s="66"/>
      <c r="I1279" s="42"/>
      <c r="J1279" s="42"/>
      <c r="K1279" s="42"/>
      <c r="L1279" s="42"/>
      <c r="M1279" s="42"/>
      <c r="N1279" s="42"/>
      <c r="O1279" s="42"/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</row>
    <row r="1280" ht="12.75" customHeight="1">
      <c r="A1280" s="28" t="s">
        <v>3450</v>
      </c>
      <c r="B1280" s="28" t="s">
        <v>165</v>
      </c>
      <c r="C1280" s="42" t="s">
        <v>3451</v>
      </c>
      <c r="D1280" s="42" t="s">
        <v>321</v>
      </c>
      <c r="E1280" s="42" t="s">
        <v>162</v>
      </c>
      <c r="F1280" s="28" t="s">
        <v>3452</v>
      </c>
      <c r="G1280" s="28">
        <v>29.8</v>
      </c>
      <c r="H1280" s="66"/>
      <c r="I1280" s="42"/>
      <c r="J1280" s="42"/>
      <c r="K1280" s="42"/>
      <c r="L1280" s="42"/>
      <c r="M1280" s="42"/>
      <c r="N1280" s="42"/>
      <c r="O1280" s="42"/>
      <c r="P1280" s="42"/>
      <c r="Q1280" s="42"/>
      <c r="R1280" s="42"/>
      <c r="S1280" s="42"/>
      <c r="T1280" s="42"/>
      <c r="U1280" s="42"/>
      <c r="V1280" s="42"/>
      <c r="W1280" s="42"/>
      <c r="X1280" s="42"/>
      <c r="Y1280" s="42"/>
      <c r="Z1280" s="42"/>
    </row>
    <row r="1281" ht="12.75" customHeight="1">
      <c r="A1281" s="28" t="s">
        <v>3453</v>
      </c>
      <c r="B1281" s="28" t="s">
        <v>210</v>
      </c>
      <c r="C1281" s="42" t="s">
        <v>3454</v>
      </c>
      <c r="D1281" s="42" t="s">
        <v>708</v>
      </c>
      <c r="E1281" s="42" t="s">
        <v>162</v>
      </c>
      <c r="F1281" s="28" t="s">
        <v>3455</v>
      </c>
      <c r="G1281" s="28">
        <v>28.1</v>
      </c>
      <c r="H1281" s="66"/>
      <c r="I1281" s="42"/>
      <c r="J1281" s="42"/>
      <c r="K1281" s="42"/>
      <c r="L1281" s="42"/>
      <c r="M1281" s="42"/>
      <c r="N1281" s="42"/>
      <c r="O1281" s="42"/>
      <c r="P1281" s="42"/>
      <c r="Q1281" s="42"/>
      <c r="R1281" s="42"/>
      <c r="S1281" s="42"/>
      <c r="T1281" s="42"/>
      <c r="U1281" s="42"/>
      <c r="V1281" s="42"/>
      <c r="W1281" s="42"/>
      <c r="X1281" s="42"/>
      <c r="Y1281" s="42"/>
      <c r="Z1281" s="42"/>
    </row>
    <row r="1282" ht="12.75" customHeight="1">
      <c r="A1282" s="28" t="s">
        <v>3456</v>
      </c>
      <c r="B1282" s="28" t="s">
        <v>210</v>
      </c>
      <c r="C1282" s="42" t="s">
        <v>3454</v>
      </c>
      <c r="D1282" s="42" t="s">
        <v>3237</v>
      </c>
      <c r="E1282" s="42" t="s">
        <v>162</v>
      </c>
      <c r="F1282" s="28" t="s">
        <v>3457</v>
      </c>
      <c r="G1282" s="28">
        <v>20.6</v>
      </c>
      <c r="H1282" s="66"/>
      <c r="I1282" s="42"/>
      <c r="J1282" s="42"/>
      <c r="K1282" s="42"/>
      <c r="L1282" s="42"/>
      <c r="M1282" s="42"/>
      <c r="N1282" s="42"/>
      <c r="O1282" s="42"/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</row>
    <row r="1283" ht="12.75" customHeight="1">
      <c r="A1283" s="28" t="s">
        <v>847</v>
      </c>
      <c r="B1283" s="28" t="s">
        <v>159</v>
      </c>
      <c r="C1283" s="42" t="s">
        <v>3458</v>
      </c>
      <c r="D1283" s="42" t="s">
        <v>2022</v>
      </c>
      <c r="E1283" s="42" t="s">
        <v>2569</v>
      </c>
      <c r="F1283" s="28" t="s">
        <v>3459</v>
      </c>
      <c r="G1283" s="28">
        <v>27.7</v>
      </c>
      <c r="H1283" s="66"/>
      <c r="I1283" s="42"/>
      <c r="J1283" s="42"/>
      <c r="K1283" s="42"/>
      <c r="L1283" s="42"/>
      <c r="M1283" s="42"/>
      <c r="N1283" s="42"/>
      <c r="O1283" s="42"/>
      <c r="P1283" s="42"/>
      <c r="Q1283" s="42"/>
      <c r="R1283" s="42"/>
      <c r="S1283" s="42"/>
      <c r="T1283" s="42"/>
      <c r="U1283" s="42"/>
      <c r="V1283" s="42"/>
      <c r="W1283" s="42"/>
      <c r="X1283" s="42"/>
      <c r="Y1283" s="42"/>
      <c r="Z1283" s="42"/>
    </row>
    <row r="1284" ht="12.75" customHeight="1">
      <c r="A1284" s="28" t="s">
        <v>3460</v>
      </c>
      <c r="B1284" s="28" t="s">
        <v>165</v>
      </c>
      <c r="C1284" s="42" t="s">
        <v>3458</v>
      </c>
      <c r="D1284" s="42" t="s">
        <v>633</v>
      </c>
      <c r="E1284" s="42" t="s">
        <v>162</v>
      </c>
      <c r="F1284" s="28" t="s">
        <v>3189</v>
      </c>
      <c r="G1284" s="28">
        <v>25.4</v>
      </c>
      <c r="H1284" s="66"/>
      <c r="I1284" s="42"/>
      <c r="J1284" s="42"/>
      <c r="K1284" s="42"/>
      <c r="L1284" s="42"/>
      <c r="M1284" s="42"/>
      <c r="N1284" s="42"/>
      <c r="O1284" s="42"/>
      <c r="P1284" s="42"/>
      <c r="Q1284" s="42"/>
      <c r="R1284" s="42"/>
      <c r="S1284" s="42"/>
      <c r="T1284" s="42"/>
      <c r="U1284" s="42"/>
      <c r="V1284" s="42"/>
      <c r="W1284" s="42"/>
      <c r="X1284" s="42"/>
      <c r="Y1284" s="42"/>
      <c r="Z1284" s="42"/>
    </row>
    <row r="1285" ht="12.75" customHeight="1">
      <c r="A1285" s="28" t="s">
        <v>3461</v>
      </c>
      <c r="B1285" s="28" t="s">
        <v>165</v>
      </c>
      <c r="C1285" s="42" t="s">
        <v>3462</v>
      </c>
      <c r="D1285" s="42" t="s">
        <v>586</v>
      </c>
      <c r="E1285" s="42" t="s">
        <v>650</v>
      </c>
      <c r="F1285" s="28" t="s">
        <v>3463</v>
      </c>
      <c r="G1285" s="28">
        <v>27.6</v>
      </c>
      <c r="H1285" s="66"/>
      <c r="I1285" s="42"/>
      <c r="J1285" s="42"/>
      <c r="K1285" s="42"/>
      <c r="L1285" s="42"/>
      <c r="M1285" s="42"/>
      <c r="N1285" s="42"/>
      <c r="O1285" s="42"/>
      <c r="P1285" s="42"/>
      <c r="Q1285" s="42"/>
      <c r="R1285" s="42"/>
      <c r="S1285" s="42"/>
      <c r="T1285" s="42"/>
      <c r="U1285" s="42"/>
      <c r="V1285" s="42"/>
      <c r="W1285" s="42"/>
      <c r="X1285" s="42"/>
      <c r="Y1285" s="42"/>
      <c r="Z1285" s="42"/>
    </row>
    <row r="1286" ht="12.75" customHeight="1">
      <c r="A1286" s="28" t="s">
        <v>3464</v>
      </c>
      <c r="B1286" s="28" t="s">
        <v>165</v>
      </c>
      <c r="C1286" s="42" t="s">
        <v>3465</v>
      </c>
      <c r="D1286" s="42" t="s">
        <v>841</v>
      </c>
      <c r="E1286" s="42" t="s">
        <v>162</v>
      </c>
      <c r="F1286" s="28" t="s">
        <v>2664</v>
      </c>
      <c r="G1286" s="28">
        <v>28.6</v>
      </c>
      <c r="H1286" s="66"/>
      <c r="I1286" s="42"/>
      <c r="J1286" s="42"/>
      <c r="K1286" s="42"/>
      <c r="L1286" s="42"/>
      <c r="M1286" s="42"/>
      <c r="N1286" s="42"/>
      <c r="O1286" s="42"/>
      <c r="P1286" s="42"/>
      <c r="Q1286" s="42"/>
      <c r="R1286" s="42"/>
      <c r="S1286" s="42"/>
      <c r="T1286" s="42"/>
      <c r="U1286" s="42"/>
      <c r="V1286" s="42"/>
      <c r="W1286" s="42"/>
      <c r="X1286" s="42"/>
      <c r="Y1286" s="42"/>
      <c r="Z1286" s="42"/>
    </row>
    <row r="1287" ht="12.75" customHeight="1">
      <c r="A1287" s="28" t="s">
        <v>3466</v>
      </c>
      <c r="B1287" s="28" t="s">
        <v>165</v>
      </c>
      <c r="C1287" s="42" t="s">
        <v>3467</v>
      </c>
      <c r="D1287" s="42" t="s">
        <v>401</v>
      </c>
      <c r="E1287" s="42" t="s">
        <v>162</v>
      </c>
      <c r="F1287" s="28" t="s">
        <v>3468</v>
      </c>
      <c r="G1287" s="28">
        <v>31.4</v>
      </c>
      <c r="H1287" s="66"/>
      <c r="I1287" s="42"/>
      <c r="J1287" s="42"/>
      <c r="K1287" s="42"/>
      <c r="L1287" s="42"/>
      <c r="M1287" s="42"/>
      <c r="N1287" s="42"/>
      <c r="O1287" s="42"/>
      <c r="P1287" s="42"/>
      <c r="Q1287" s="42"/>
      <c r="R1287" s="42"/>
      <c r="S1287" s="42"/>
      <c r="T1287" s="42"/>
      <c r="U1287" s="42"/>
      <c r="V1287" s="42"/>
      <c r="W1287" s="42"/>
      <c r="X1287" s="42"/>
      <c r="Y1287" s="42"/>
      <c r="Z1287" s="42"/>
    </row>
    <row r="1288" ht="12.75" customHeight="1">
      <c r="A1288" s="28" t="s">
        <v>433</v>
      </c>
      <c r="B1288" s="28" t="s">
        <v>159</v>
      </c>
      <c r="C1288" s="42" t="s">
        <v>3469</v>
      </c>
      <c r="D1288" s="42" t="s">
        <v>501</v>
      </c>
      <c r="E1288" s="42" t="s">
        <v>1114</v>
      </c>
      <c r="F1288" s="28" t="s">
        <v>2422</v>
      </c>
      <c r="G1288" s="28">
        <v>33.8</v>
      </c>
      <c r="H1288" s="66"/>
      <c r="I1288" s="42"/>
      <c r="J1288" s="42"/>
      <c r="K1288" s="42"/>
      <c r="L1288" s="42"/>
      <c r="M1288" s="42"/>
      <c r="N1288" s="42"/>
      <c r="O1288" s="42"/>
      <c r="P1288" s="42"/>
      <c r="Q1288" s="42"/>
      <c r="R1288" s="42"/>
      <c r="S1288" s="42"/>
      <c r="T1288" s="42"/>
      <c r="U1288" s="42"/>
      <c r="V1288" s="42"/>
      <c r="W1288" s="42"/>
      <c r="X1288" s="42"/>
      <c r="Y1288" s="42"/>
      <c r="Z1288" s="42"/>
    </row>
    <row r="1289" ht="12.75" customHeight="1">
      <c r="A1289" s="28" t="s">
        <v>682</v>
      </c>
      <c r="B1289" s="28" t="s">
        <v>153</v>
      </c>
      <c r="C1289" s="42" t="s">
        <v>3470</v>
      </c>
      <c r="D1289" s="42" t="s">
        <v>361</v>
      </c>
      <c r="E1289" s="42" t="s">
        <v>162</v>
      </c>
      <c r="F1289" s="28" t="s">
        <v>3471</v>
      </c>
      <c r="G1289" s="28">
        <v>24.4</v>
      </c>
      <c r="H1289" s="66"/>
      <c r="I1289" s="42"/>
      <c r="J1289" s="42"/>
      <c r="K1289" s="42"/>
      <c r="L1289" s="42"/>
      <c r="M1289" s="42"/>
      <c r="N1289" s="42"/>
      <c r="O1289" s="42"/>
      <c r="P1289" s="42"/>
      <c r="Q1289" s="42"/>
      <c r="R1289" s="42"/>
      <c r="S1289" s="42"/>
      <c r="T1289" s="42"/>
      <c r="U1289" s="42"/>
      <c r="V1289" s="42"/>
      <c r="W1289" s="42"/>
      <c r="X1289" s="42"/>
      <c r="Y1289" s="42"/>
      <c r="Z1289" s="42"/>
    </row>
    <row r="1290" ht="12.75" customHeight="1">
      <c r="A1290" s="28" t="s">
        <v>333</v>
      </c>
      <c r="B1290" s="28" t="s">
        <v>159</v>
      </c>
      <c r="C1290" s="42" t="s">
        <v>3472</v>
      </c>
      <c r="D1290" s="42" t="s">
        <v>198</v>
      </c>
      <c r="E1290" s="42" t="s">
        <v>156</v>
      </c>
      <c r="F1290" s="28" t="s">
        <v>1555</v>
      </c>
      <c r="G1290" s="28">
        <v>28.1</v>
      </c>
      <c r="H1290" s="66"/>
      <c r="I1290" s="42"/>
      <c r="J1290" s="42"/>
      <c r="K1290" s="42"/>
      <c r="L1290" s="42"/>
      <c r="M1290" s="42"/>
      <c r="N1290" s="42"/>
      <c r="O1290" s="42"/>
      <c r="P1290" s="42"/>
      <c r="Q1290" s="42"/>
      <c r="R1290" s="42"/>
      <c r="S1290" s="42"/>
      <c r="T1290" s="42"/>
      <c r="U1290" s="42"/>
      <c r="V1290" s="42"/>
      <c r="W1290" s="42"/>
      <c r="X1290" s="42"/>
      <c r="Y1290" s="42"/>
      <c r="Z1290" s="42"/>
    </row>
    <row r="1291" ht="12.75" customHeight="1">
      <c r="A1291" s="28" t="s">
        <v>3473</v>
      </c>
      <c r="B1291" s="28" t="s">
        <v>165</v>
      </c>
      <c r="C1291" s="42" t="s">
        <v>3474</v>
      </c>
      <c r="D1291" s="42" t="s">
        <v>1749</v>
      </c>
      <c r="E1291" s="42" t="s">
        <v>653</v>
      </c>
      <c r="F1291" s="28" t="s">
        <v>3475</v>
      </c>
      <c r="G1291" s="28">
        <v>26.3</v>
      </c>
      <c r="H1291" s="66"/>
      <c r="I1291" s="42"/>
      <c r="J1291" s="42"/>
      <c r="K1291" s="42"/>
      <c r="L1291" s="42"/>
      <c r="M1291" s="42"/>
      <c r="N1291" s="42"/>
      <c r="O1291" s="42"/>
      <c r="P1291" s="42"/>
      <c r="Q1291" s="42"/>
      <c r="R1291" s="42"/>
      <c r="S1291" s="42"/>
      <c r="T1291" s="42"/>
      <c r="U1291" s="42"/>
      <c r="V1291" s="42"/>
      <c r="W1291" s="42"/>
      <c r="X1291" s="42"/>
      <c r="Y1291" s="42"/>
      <c r="Z1291" s="42"/>
    </row>
    <row r="1292" ht="12.75" customHeight="1">
      <c r="A1292" s="28" t="s">
        <v>3476</v>
      </c>
      <c r="B1292" s="28" t="s">
        <v>165</v>
      </c>
      <c r="C1292" s="42" t="s">
        <v>3474</v>
      </c>
      <c r="D1292" s="42" t="s">
        <v>658</v>
      </c>
      <c r="E1292" s="42" t="s">
        <v>1518</v>
      </c>
      <c r="F1292" s="28" t="s">
        <v>3477</v>
      </c>
      <c r="G1292" s="28">
        <v>24.9</v>
      </c>
      <c r="H1292" s="66"/>
      <c r="I1292" s="42"/>
      <c r="J1292" s="42"/>
      <c r="K1292" s="42"/>
      <c r="L1292" s="42"/>
      <c r="M1292" s="42"/>
      <c r="N1292" s="42"/>
      <c r="O1292" s="42"/>
      <c r="P1292" s="42"/>
      <c r="Q1292" s="42"/>
      <c r="R1292" s="42"/>
      <c r="S1292" s="42"/>
      <c r="T1292" s="42"/>
      <c r="U1292" s="42"/>
      <c r="V1292" s="42"/>
      <c r="W1292" s="42"/>
      <c r="X1292" s="42"/>
      <c r="Y1292" s="42"/>
      <c r="Z1292" s="42"/>
    </row>
    <row r="1293" ht="12.75" customHeight="1">
      <c r="A1293" s="28" t="s">
        <v>3478</v>
      </c>
      <c r="B1293" s="28" t="s">
        <v>165</v>
      </c>
      <c r="C1293" s="42" t="s">
        <v>3479</v>
      </c>
      <c r="D1293" s="42" t="s">
        <v>3480</v>
      </c>
      <c r="E1293" s="42" t="s">
        <v>162</v>
      </c>
      <c r="F1293" s="28" t="s">
        <v>3481</v>
      </c>
      <c r="G1293" s="28">
        <v>23.8</v>
      </c>
      <c r="H1293" s="66"/>
      <c r="I1293" s="42"/>
      <c r="J1293" s="42"/>
      <c r="K1293" s="42"/>
      <c r="L1293" s="42"/>
      <c r="M1293" s="42"/>
      <c r="N1293" s="42"/>
      <c r="O1293" s="42"/>
      <c r="P1293" s="42"/>
      <c r="Q1293" s="42"/>
      <c r="R1293" s="42"/>
      <c r="S1293" s="42"/>
      <c r="T1293" s="42"/>
      <c r="U1293" s="42"/>
      <c r="V1293" s="42"/>
      <c r="W1293" s="42"/>
      <c r="X1293" s="42"/>
      <c r="Y1293" s="42"/>
      <c r="Z1293" s="42"/>
    </row>
    <row r="1294" ht="12.75" customHeight="1">
      <c r="A1294" s="28" t="s">
        <v>3482</v>
      </c>
      <c r="B1294" s="28" t="s">
        <v>165</v>
      </c>
      <c r="C1294" s="42" t="s">
        <v>3479</v>
      </c>
      <c r="D1294" s="42" t="s">
        <v>208</v>
      </c>
      <c r="E1294" s="42" t="s">
        <v>162</v>
      </c>
      <c r="F1294" s="28" t="s">
        <v>3483</v>
      </c>
      <c r="G1294" s="28">
        <v>23.3</v>
      </c>
      <c r="H1294" s="66"/>
      <c r="I1294" s="42"/>
      <c r="J1294" s="42"/>
      <c r="K1294" s="42"/>
      <c r="L1294" s="42"/>
      <c r="M1294" s="42"/>
      <c r="N1294" s="42"/>
      <c r="O1294" s="42"/>
      <c r="P1294" s="42"/>
      <c r="Q1294" s="42"/>
      <c r="R1294" s="42"/>
      <c r="S1294" s="42"/>
      <c r="T1294" s="42"/>
      <c r="U1294" s="42"/>
      <c r="V1294" s="42"/>
      <c r="W1294" s="42"/>
      <c r="X1294" s="42"/>
      <c r="Y1294" s="42"/>
      <c r="Z1294" s="42"/>
    </row>
    <row r="1295" ht="12.75" customHeight="1">
      <c r="A1295" s="28" t="s">
        <v>183</v>
      </c>
      <c r="B1295" s="28" t="s">
        <v>159</v>
      </c>
      <c r="C1295" s="42" t="s">
        <v>3484</v>
      </c>
      <c r="D1295" s="42" t="s">
        <v>665</v>
      </c>
      <c r="E1295" s="42" t="s">
        <v>420</v>
      </c>
      <c r="F1295" s="28" t="s">
        <v>3485</v>
      </c>
      <c r="G1295" s="28">
        <v>28.7</v>
      </c>
      <c r="H1295" s="66"/>
      <c r="I1295" s="42"/>
      <c r="J1295" s="42"/>
      <c r="K1295" s="42"/>
      <c r="L1295" s="42"/>
      <c r="M1295" s="42"/>
      <c r="N1295" s="42"/>
      <c r="O1295" s="42"/>
      <c r="P1295" s="42"/>
      <c r="Q1295" s="42"/>
      <c r="R1295" s="42"/>
      <c r="S1295" s="42"/>
      <c r="T1295" s="42"/>
      <c r="U1295" s="42"/>
      <c r="V1295" s="42"/>
      <c r="W1295" s="42"/>
      <c r="X1295" s="42"/>
      <c r="Y1295" s="42"/>
      <c r="Z1295" s="42"/>
    </row>
    <row r="1296" ht="12.75" customHeight="1">
      <c r="A1296" s="28" t="s">
        <v>3486</v>
      </c>
      <c r="B1296" s="28" t="s">
        <v>210</v>
      </c>
      <c r="C1296" s="42" t="s">
        <v>3487</v>
      </c>
      <c r="D1296" s="42" t="s">
        <v>2495</v>
      </c>
      <c r="E1296" s="42" t="s">
        <v>817</v>
      </c>
      <c r="F1296" s="28" t="s">
        <v>200</v>
      </c>
      <c r="G1296" s="28">
        <v>25.1</v>
      </c>
      <c r="H1296" s="66"/>
      <c r="I1296" s="42"/>
      <c r="J1296" s="42"/>
      <c r="K1296" s="42"/>
      <c r="L1296" s="42"/>
      <c r="M1296" s="42"/>
      <c r="N1296" s="42"/>
      <c r="O1296" s="42"/>
      <c r="P1296" s="42"/>
      <c r="Q1296" s="42"/>
      <c r="R1296" s="42"/>
      <c r="S1296" s="42"/>
      <c r="T1296" s="42"/>
      <c r="U1296" s="42"/>
      <c r="V1296" s="42"/>
      <c r="W1296" s="42"/>
      <c r="X1296" s="42"/>
      <c r="Y1296" s="42"/>
      <c r="Z1296" s="42"/>
    </row>
    <row r="1297" ht="12.75" customHeight="1">
      <c r="A1297" s="28" t="s">
        <v>3488</v>
      </c>
      <c r="B1297" s="28" t="s">
        <v>165</v>
      </c>
      <c r="C1297" s="42" t="s">
        <v>3489</v>
      </c>
      <c r="D1297" s="42" t="s">
        <v>832</v>
      </c>
      <c r="E1297" s="42" t="s">
        <v>162</v>
      </c>
      <c r="F1297" s="28" t="s">
        <v>3490</v>
      </c>
      <c r="G1297" s="28">
        <v>23.5</v>
      </c>
      <c r="H1297" s="66"/>
      <c r="I1297" s="42"/>
      <c r="J1297" s="42"/>
      <c r="K1297" s="42"/>
      <c r="L1297" s="42"/>
      <c r="M1297" s="42"/>
      <c r="N1297" s="42"/>
      <c r="O1297" s="42"/>
      <c r="P1297" s="42"/>
      <c r="Q1297" s="42"/>
      <c r="R1297" s="42"/>
      <c r="S1297" s="42"/>
      <c r="T1297" s="42"/>
      <c r="U1297" s="42"/>
      <c r="V1297" s="42"/>
      <c r="W1297" s="42"/>
      <c r="X1297" s="42"/>
      <c r="Y1297" s="42"/>
      <c r="Z1297" s="42"/>
    </row>
    <row r="1298" ht="12.75" customHeight="1">
      <c r="A1298" s="28" t="s">
        <v>3491</v>
      </c>
      <c r="B1298" s="28" t="s">
        <v>165</v>
      </c>
      <c r="C1298" s="42" t="s">
        <v>3492</v>
      </c>
      <c r="D1298" s="42" t="s">
        <v>220</v>
      </c>
      <c r="E1298" s="42" t="s">
        <v>162</v>
      </c>
      <c r="F1298" s="28" t="s">
        <v>3493</v>
      </c>
      <c r="G1298" s="28">
        <v>32.6</v>
      </c>
      <c r="H1298" s="66"/>
      <c r="I1298" s="42"/>
      <c r="J1298" s="42"/>
      <c r="K1298" s="42"/>
      <c r="L1298" s="42"/>
      <c r="M1298" s="42"/>
      <c r="N1298" s="42"/>
      <c r="O1298" s="42"/>
      <c r="P1298" s="42"/>
      <c r="Q1298" s="42"/>
      <c r="R1298" s="42"/>
      <c r="S1298" s="42"/>
      <c r="T1298" s="42"/>
      <c r="U1298" s="42"/>
      <c r="V1298" s="42"/>
      <c r="W1298" s="42"/>
      <c r="X1298" s="42"/>
      <c r="Y1298" s="42"/>
      <c r="Z1298" s="42"/>
    </row>
    <row r="1299" ht="12.75" customHeight="1">
      <c r="A1299" s="28" t="s">
        <v>3494</v>
      </c>
      <c r="B1299" s="28" t="s">
        <v>165</v>
      </c>
      <c r="C1299" s="42" t="s">
        <v>3492</v>
      </c>
      <c r="D1299" s="42" t="s">
        <v>955</v>
      </c>
      <c r="E1299" s="42" t="s">
        <v>162</v>
      </c>
      <c r="F1299" s="28" t="s">
        <v>3495</v>
      </c>
      <c r="G1299" s="28">
        <v>31.1</v>
      </c>
      <c r="H1299" s="66"/>
      <c r="I1299" s="42"/>
      <c r="J1299" s="42"/>
      <c r="K1299" s="42"/>
      <c r="L1299" s="42"/>
      <c r="M1299" s="42"/>
      <c r="N1299" s="42"/>
      <c r="O1299" s="42"/>
      <c r="P1299" s="42"/>
      <c r="Q1299" s="42"/>
      <c r="R1299" s="42"/>
      <c r="S1299" s="42"/>
      <c r="T1299" s="42"/>
      <c r="U1299" s="42"/>
      <c r="V1299" s="42"/>
      <c r="W1299" s="42"/>
      <c r="X1299" s="42"/>
      <c r="Y1299" s="42"/>
      <c r="Z1299" s="42"/>
    </row>
    <row r="1300" ht="12.75" customHeight="1">
      <c r="A1300" s="28" t="s">
        <v>3496</v>
      </c>
      <c r="B1300" s="28" t="s">
        <v>487</v>
      </c>
      <c r="C1300" s="42" t="s">
        <v>3497</v>
      </c>
      <c r="D1300" s="42" t="s">
        <v>306</v>
      </c>
      <c r="E1300" s="42" t="s">
        <v>1412</v>
      </c>
      <c r="F1300" s="28" t="s">
        <v>3498</v>
      </c>
      <c r="G1300" s="28">
        <v>43.2</v>
      </c>
      <c r="H1300" s="66"/>
      <c r="I1300" s="42"/>
      <c r="J1300" s="42"/>
      <c r="K1300" s="42"/>
      <c r="L1300" s="42"/>
      <c r="M1300" s="42"/>
      <c r="N1300" s="42"/>
      <c r="O1300" s="42"/>
      <c r="P1300" s="42"/>
      <c r="Q1300" s="42"/>
      <c r="R1300" s="42"/>
      <c r="S1300" s="42"/>
      <c r="T1300" s="42"/>
      <c r="U1300" s="42"/>
      <c r="V1300" s="42"/>
      <c r="W1300" s="42"/>
      <c r="X1300" s="42"/>
      <c r="Y1300" s="42"/>
      <c r="Z1300" s="42"/>
    </row>
    <row r="1301" ht="12.75" customHeight="1">
      <c r="A1301" s="28" t="s">
        <v>261</v>
      </c>
      <c r="B1301" s="28" t="s">
        <v>159</v>
      </c>
      <c r="C1301" s="42" t="s">
        <v>3499</v>
      </c>
      <c r="D1301" s="42" t="s">
        <v>306</v>
      </c>
      <c r="E1301" s="42" t="s">
        <v>3395</v>
      </c>
      <c r="F1301" s="28" t="s">
        <v>3500</v>
      </c>
      <c r="G1301" s="28">
        <v>26.4</v>
      </c>
      <c r="H1301" s="66"/>
      <c r="I1301" s="42"/>
      <c r="J1301" s="42"/>
      <c r="K1301" s="42"/>
      <c r="L1301" s="42"/>
      <c r="M1301" s="42"/>
      <c r="N1301" s="42"/>
      <c r="O1301" s="42"/>
      <c r="P1301" s="42"/>
      <c r="Q1301" s="42"/>
      <c r="R1301" s="42"/>
      <c r="S1301" s="42"/>
      <c r="T1301" s="42"/>
      <c r="U1301" s="42"/>
      <c r="V1301" s="42"/>
      <c r="W1301" s="42"/>
      <c r="X1301" s="42"/>
      <c r="Y1301" s="42"/>
      <c r="Z1301" s="42"/>
    </row>
    <row r="1302" ht="12.75" customHeight="1">
      <c r="A1302" s="28" t="s">
        <v>3501</v>
      </c>
      <c r="B1302" s="28" t="s">
        <v>210</v>
      </c>
      <c r="C1302" s="42" t="s">
        <v>3502</v>
      </c>
      <c r="D1302" s="42" t="s">
        <v>1609</v>
      </c>
      <c r="E1302" s="42" t="s">
        <v>2302</v>
      </c>
      <c r="F1302" s="28" t="s">
        <v>3503</v>
      </c>
      <c r="G1302" s="28">
        <v>28.5</v>
      </c>
      <c r="H1302" s="66"/>
      <c r="I1302" s="42"/>
      <c r="J1302" s="42"/>
      <c r="K1302" s="42"/>
      <c r="L1302" s="42"/>
      <c r="M1302" s="42"/>
      <c r="N1302" s="42"/>
      <c r="O1302" s="42"/>
      <c r="P1302" s="42"/>
      <c r="Q1302" s="42"/>
      <c r="R1302" s="42"/>
      <c r="S1302" s="42"/>
      <c r="T1302" s="42"/>
      <c r="U1302" s="42"/>
      <c r="V1302" s="42"/>
      <c r="W1302" s="42"/>
      <c r="X1302" s="42"/>
      <c r="Y1302" s="42"/>
      <c r="Z1302" s="42"/>
    </row>
    <row r="1303" ht="12.75" customHeight="1">
      <c r="A1303" s="28" t="s">
        <v>406</v>
      </c>
      <c r="B1303" s="28" t="s">
        <v>159</v>
      </c>
      <c r="C1303" s="42" t="s">
        <v>3504</v>
      </c>
      <c r="D1303" s="42" t="s">
        <v>1156</v>
      </c>
      <c r="E1303" s="42" t="s">
        <v>581</v>
      </c>
      <c r="F1303" s="28" t="s">
        <v>3505</v>
      </c>
      <c r="G1303" s="28">
        <v>30.7</v>
      </c>
      <c r="H1303" s="66"/>
      <c r="I1303" s="42"/>
      <c r="J1303" s="42"/>
      <c r="K1303" s="42"/>
      <c r="L1303" s="42"/>
      <c r="M1303" s="42"/>
      <c r="N1303" s="42"/>
      <c r="O1303" s="42"/>
      <c r="P1303" s="42"/>
      <c r="Q1303" s="42"/>
      <c r="R1303" s="42"/>
      <c r="S1303" s="42"/>
      <c r="T1303" s="42"/>
      <c r="U1303" s="42"/>
      <c r="V1303" s="42"/>
      <c r="W1303" s="42"/>
      <c r="X1303" s="42"/>
      <c r="Y1303" s="42"/>
      <c r="Z1303" s="42"/>
    </row>
    <row r="1304" ht="12.75" customHeight="1">
      <c r="A1304" s="28" t="s">
        <v>152</v>
      </c>
      <c r="B1304" s="28" t="s">
        <v>153</v>
      </c>
      <c r="C1304" s="42" t="s">
        <v>3506</v>
      </c>
      <c r="D1304" s="42" t="s">
        <v>1024</v>
      </c>
      <c r="E1304" s="42" t="s">
        <v>162</v>
      </c>
      <c r="F1304" s="28" t="s">
        <v>3507</v>
      </c>
      <c r="G1304" s="28">
        <v>19.6</v>
      </c>
      <c r="H1304" s="66"/>
      <c r="I1304" s="42"/>
      <c r="J1304" s="42"/>
      <c r="K1304" s="42"/>
      <c r="L1304" s="42"/>
      <c r="M1304" s="42"/>
      <c r="N1304" s="42"/>
      <c r="O1304" s="42"/>
      <c r="P1304" s="42"/>
      <c r="Q1304" s="42"/>
      <c r="R1304" s="42"/>
      <c r="S1304" s="42"/>
      <c r="T1304" s="42"/>
      <c r="U1304" s="42"/>
      <c r="V1304" s="42"/>
      <c r="W1304" s="42"/>
      <c r="X1304" s="42"/>
      <c r="Y1304" s="42"/>
      <c r="Z1304" s="42"/>
    </row>
    <row r="1305" ht="12.75" customHeight="1">
      <c r="A1305" s="28" t="s">
        <v>3508</v>
      </c>
      <c r="B1305" s="28" t="s">
        <v>165</v>
      </c>
      <c r="C1305" s="42" t="s">
        <v>3509</v>
      </c>
      <c r="D1305" s="42" t="s">
        <v>841</v>
      </c>
      <c r="E1305" s="42" t="s">
        <v>162</v>
      </c>
      <c r="F1305" s="28" t="s">
        <v>3129</v>
      </c>
      <c r="G1305" s="28">
        <v>20.6</v>
      </c>
      <c r="H1305" s="66"/>
      <c r="I1305" s="42"/>
      <c r="J1305" s="42"/>
      <c r="K1305" s="42"/>
      <c r="L1305" s="42"/>
      <c r="M1305" s="42"/>
      <c r="N1305" s="42"/>
      <c r="O1305" s="42"/>
      <c r="P1305" s="42"/>
      <c r="Q1305" s="42"/>
      <c r="R1305" s="42"/>
      <c r="S1305" s="42"/>
      <c r="T1305" s="42"/>
      <c r="U1305" s="42"/>
      <c r="V1305" s="42"/>
      <c r="W1305" s="42"/>
      <c r="X1305" s="42"/>
      <c r="Y1305" s="42"/>
      <c r="Z1305" s="42"/>
    </row>
    <row r="1306" ht="12.75" customHeight="1">
      <c r="A1306" s="28" t="s">
        <v>3510</v>
      </c>
      <c r="B1306" s="28" t="s">
        <v>165</v>
      </c>
      <c r="C1306" s="42" t="s">
        <v>3509</v>
      </c>
      <c r="D1306" s="42" t="s">
        <v>270</v>
      </c>
      <c r="E1306" s="42" t="s">
        <v>162</v>
      </c>
      <c r="F1306" s="28" t="s">
        <v>3511</v>
      </c>
      <c r="G1306" s="28">
        <v>23.6</v>
      </c>
      <c r="H1306" s="66"/>
      <c r="I1306" s="42"/>
      <c r="J1306" s="42"/>
      <c r="K1306" s="42"/>
      <c r="L1306" s="42"/>
      <c r="M1306" s="42"/>
      <c r="N1306" s="42"/>
      <c r="O1306" s="42"/>
      <c r="P1306" s="42"/>
      <c r="Q1306" s="42"/>
      <c r="R1306" s="42"/>
      <c r="S1306" s="42"/>
      <c r="T1306" s="42"/>
      <c r="U1306" s="42"/>
      <c r="V1306" s="42"/>
      <c r="W1306" s="42"/>
      <c r="X1306" s="42"/>
      <c r="Y1306" s="42"/>
      <c r="Z1306" s="42"/>
    </row>
    <row r="1307" ht="12.75" customHeight="1">
      <c r="A1307" s="28" t="s">
        <v>3512</v>
      </c>
      <c r="B1307" s="28" t="s">
        <v>165</v>
      </c>
      <c r="C1307" s="42" t="s">
        <v>3513</v>
      </c>
      <c r="D1307" s="42" t="s">
        <v>357</v>
      </c>
      <c r="E1307" s="42" t="s">
        <v>1554</v>
      </c>
      <c r="F1307" s="28" t="s">
        <v>3514</v>
      </c>
      <c r="G1307" s="28">
        <v>29.5</v>
      </c>
      <c r="H1307" s="66"/>
      <c r="I1307" s="42"/>
      <c r="J1307" s="42"/>
      <c r="K1307" s="42"/>
      <c r="L1307" s="42"/>
      <c r="M1307" s="42"/>
      <c r="N1307" s="42"/>
      <c r="O1307" s="42"/>
      <c r="P1307" s="42"/>
      <c r="Q1307" s="42"/>
      <c r="R1307" s="42"/>
      <c r="S1307" s="42"/>
      <c r="T1307" s="42"/>
      <c r="U1307" s="42"/>
      <c r="V1307" s="42"/>
      <c r="W1307" s="42"/>
      <c r="X1307" s="42"/>
      <c r="Y1307" s="42"/>
      <c r="Z1307" s="42"/>
    </row>
    <row r="1308" ht="12.75" customHeight="1">
      <c r="A1308" s="28" t="s">
        <v>3515</v>
      </c>
      <c r="B1308" s="28" t="s">
        <v>165</v>
      </c>
      <c r="C1308" s="42" t="s">
        <v>3513</v>
      </c>
      <c r="D1308" s="42" t="s">
        <v>518</v>
      </c>
      <c r="E1308" s="42" t="s">
        <v>1554</v>
      </c>
      <c r="F1308" s="28" t="s">
        <v>2370</v>
      </c>
      <c r="G1308" s="28">
        <v>26.7</v>
      </c>
      <c r="H1308" s="66"/>
      <c r="I1308" s="42"/>
      <c r="J1308" s="42"/>
      <c r="K1308" s="42"/>
      <c r="L1308" s="42"/>
      <c r="M1308" s="42"/>
      <c r="N1308" s="42"/>
      <c r="O1308" s="42"/>
      <c r="P1308" s="42"/>
      <c r="Q1308" s="42"/>
      <c r="R1308" s="42"/>
      <c r="S1308" s="42"/>
      <c r="T1308" s="42"/>
      <c r="U1308" s="42"/>
      <c r="V1308" s="42"/>
      <c r="W1308" s="42"/>
      <c r="X1308" s="42"/>
      <c r="Y1308" s="42"/>
      <c r="Z1308" s="42"/>
    </row>
    <row r="1309" ht="12.75" customHeight="1">
      <c r="A1309" s="28" t="s">
        <v>3516</v>
      </c>
      <c r="B1309" s="28" t="s">
        <v>165</v>
      </c>
      <c r="C1309" s="42" t="s">
        <v>3517</v>
      </c>
      <c r="D1309" s="42" t="s">
        <v>3518</v>
      </c>
      <c r="E1309" s="42" t="s">
        <v>162</v>
      </c>
      <c r="F1309" s="28" t="s">
        <v>3519</v>
      </c>
      <c r="G1309" s="28">
        <v>17.1</v>
      </c>
      <c r="H1309" s="66"/>
      <c r="I1309" s="42"/>
      <c r="J1309" s="42"/>
      <c r="K1309" s="42"/>
      <c r="L1309" s="42"/>
      <c r="M1309" s="42"/>
      <c r="N1309" s="42"/>
      <c r="O1309" s="42"/>
      <c r="P1309" s="42"/>
      <c r="Q1309" s="42"/>
      <c r="R1309" s="42"/>
      <c r="S1309" s="42"/>
      <c r="T1309" s="42"/>
      <c r="U1309" s="42"/>
      <c r="V1309" s="42"/>
      <c r="W1309" s="42"/>
      <c r="X1309" s="42"/>
      <c r="Y1309" s="42"/>
      <c r="Z1309" s="42"/>
    </row>
    <row r="1310" ht="12.75" customHeight="1">
      <c r="A1310" s="28" t="s">
        <v>3520</v>
      </c>
      <c r="B1310" s="28" t="s">
        <v>457</v>
      </c>
      <c r="C1310" s="42" t="s">
        <v>3521</v>
      </c>
      <c r="D1310" s="42" t="s">
        <v>454</v>
      </c>
      <c r="E1310" s="42" t="s">
        <v>1165</v>
      </c>
      <c r="F1310" s="28" t="s">
        <v>3522</v>
      </c>
      <c r="G1310" s="28">
        <v>43.2</v>
      </c>
      <c r="H1310" s="66"/>
      <c r="I1310" s="42"/>
      <c r="J1310" s="42"/>
      <c r="K1310" s="42"/>
      <c r="L1310" s="42"/>
      <c r="M1310" s="42"/>
      <c r="N1310" s="42"/>
      <c r="O1310" s="42"/>
      <c r="P1310" s="42"/>
      <c r="Q1310" s="42"/>
      <c r="R1310" s="42"/>
      <c r="S1310" s="42"/>
      <c r="T1310" s="42"/>
      <c r="U1310" s="42"/>
      <c r="V1310" s="42"/>
      <c r="W1310" s="42"/>
      <c r="X1310" s="42"/>
      <c r="Y1310" s="42"/>
      <c r="Z1310" s="42"/>
    </row>
    <row r="1311" ht="12.75" customHeight="1">
      <c r="A1311" s="28" t="s">
        <v>1873</v>
      </c>
      <c r="B1311" s="28" t="s">
        <v>159</v>
      </c>
      <c r="C1311" s="42" t="s">
        <v>3523</v>
      </c>
      <c r="D1311" s="42" t="s">
        <v>454</v>
      </c>
      <c r="E1311" s="42" t="s">
        <v>769</v>
      </c>
      <c r="F1311" s="28" t="s">
        <v>3524</v>
      </c>
      <c r="G1311" s="28">
        <v>25.7</v>
      </c>
      <c r="H1311" s="66"/>
      <c r="I1311" s="42"/>
      <c r="J1311" s="42"/>
      <c r="K1311" s="42"/>
      <c r="L1311" s="42"/>
      <c r="M1311" s="42"/>
      <c r="N1311" s="42"/>
      <c r="O1311" s="42"/>
      <c r="P1311" s="42"/>
      <c r="Q1311" s="42"/>
      <c r="R1311" s="42"/>
      <c r="S1311" s="42"/>
      <c r="T1311" s="42"/>
      <c r="U1311" s="42"/>
      <c r="V1311" s="42"/>
      <c r="W1311" s="42"/>
      <c r="X1311" s="42"/>
      <c r="Y1311" s="42"/>
      <c r="Z1311" s="42"/>
    </row>
    <row r="1312" ht="12.75" customHeight="1">
      <c r="A1312" s="28" t="s">
        <v>3525</v>
      </c>
      <c r="B1312" s="28" t="s">
        <v>165</v>
      </c>
      <c r="C1312" s="42" t="s">
        <v>3526</v>
      </c>
      <c r="D1312" s="42" t="s">
        <v>606</v>
      </c>
      <c r="E1312" s="42" t="s">
        <v>2606</v>
      </c>
      <c r="F1312" s="28" t="s">
        <v>3080</v>
      </c>
      <c r="G1312" s="28">
        <v>29.0</v>
      </c>
      <c r="H1312" s="66"/>
      <c r="I1312" s="42"/>
      <c r="J1312" s="42"/>
      <c r="K1312" s="42"/>
      <c r="L1312" s="42"/>
      <c r="M1312" s="42"/>
      <c r="N1312" s="42"/>
      <c r="O1312" s="42"/>
      <c r="P1312" s="42"/>
      <c r="Q1312" s="42"/>
      <c r="R1312" s="42"/>
      <c r="S1312" s="42"/>
      <c r="T1312" s="42"/>
      <c r="U1312" s="42"/>
      <c r="V1312" s="42"/>
      <c r="W1312" s="42"/>
      <c r="X1312" s="42"/>
      <c r="Y1312" s="42"/>
      <c r="Z1312" s="42"/>
    </row>
    <row r="1313" ht="12.75" customHeight="1">
      <c r="A1313" s="28" t="s">
        <v>442</v>
      </c>
      <c r="B1313" s="28" t="s">
        <v>165</v>
      </c>
      <c r="C1313" s="42" t="s">
        <v>3527</v>
      </c>
      <c r="D1313" s="42" t="s">
        <v>203</v>
      </c>
      <c r="E1313" s="42" t="s">
        <v>156</v>
      </c>
      <c r="F1313" s="28" t="s">
        <v>3119</v>
      </c>
      <c r="G1313" s="28">
        <v>27.2</v>
      </c>
      <c r="H1313" s="66"/>
      <c r="I1313" s="42"/>
      <c r="J1313" s="42"/>
      <c r="K1313" s="42"/>
      <c r="L1313" s="42"/>
      <c r="M1313" s="42"/>
      <c r="N1313" s="42"/>
      <c r="O1313" s="42"/>
      <c r="P1313" s="42"/>
      <c r="Q1313" s="42"/>
      <c r="R1313" s="42"/>
      <c r="S1313" s="42"/>
      <c r="T1313" s="42"/>
      <c r="U1313" s="42"/>
      <c r="V1313" s="42"/>
      <c r="W1313" s="42"/>
      <c r="X1313" s="42"/>
      <c r="Y1313" s="42"/>
      <c r="Z1313" s="42"/>
    </row>
    <row r="1314" ht="12.75" customHeight="1">
      <c r="A1314" s="28" t="s">
        <v>218</v>
      </c>
      <c r="B1314" s="28" t="s">
        <v>159</v>
      </c>
      <c r="C1314" s="42" t="s">
        <v>3528</v>
      </c>
      <c r="D1314" s="42" t="s">
        <v>251</v>
      </c>
      <c r="E1314" s="42" t="s">
        <v>3529</v>
      </c>
      <c r="F1314" s="28" t="s">
        <v>2074</v>
      </c>
      <c r="G1314" s="28">
        <v>27.4</v>
      </c>
      <c r="H1314" s="66"/>
      <c r="I1314" s="42"/>
      <c r="J1314" s="42"/>
      <c r="K1314" s="42"/>
      <c r="L1314" s="42"/>
      <c r="M1314" s="42"/>
      <c r="N1314" s="42"/>
      <c r="O1314" s="42"/>
      <c r="P1314" s="42"/>
      <c r="Q1314" s="42"/>
      <c r="R1314" s="42"/>
      <c r="S1314" s="42"/>
      <c r="T1314" s="42"/>
      <c r="U1314" s="42"/>
      <c r="V1314" s="42"/>
      <c r="W1314" s="42"/>
      <c r="X1314" s="42"/>
      <c r="Y1314" s="42"/>
      <c r="Z1314" s="42"/>
    </row>
    <row r="1315" ht="12.75" customHeight="1">
      <c r="A1315" s="28" t="s">
        <v>1056</v>
      </c>
      <c r="B1315" s="28" t="s">
        <v>165</v>
      </c>
      <c r="C1315" s="42" t="s">
        <v>3530</v>
      </c>
      <c r="D1315" s="42" t="s">
        <v>1922</v>
      </c>
      <c r="E1315" s="42" t="s">
        <v>277</v>
      </c>
      <c r="F1315" s="28" t="s">
        <v>3036</v>
      </c>
      <c r="G1315" s="28">
        <v>27.1</v>
      </c>
      <c r="H1315" s="66"/>
      <c r="I1315" s="42"/>
      <c r="J1315" s="42"/>
      <c r="K1315" s="42"/>
      <c r="L1315" s="42"/>
      <c r="M1315" s="42"/>
      <c r="N1315" s="42"/>
      <c r="O1315" s="42"/>
      <c r="P1315" s="42"/>
      <c r="Q1315" s="42"/>
      <c r="R1315" s="42"/>
      <c r="S1315" s="42"/>
      <c r="T1315" s="42"/>
      <c r="U1315" s="42"/>
      <c r="V1315" s="42"/>
      <c r="W1315" s="42"/>
      <c r="X1315" s="42"/>
      <c r="Y1315" s="42"/>
      <c r="Z1315" s="42"/>
    </row>
    <row r="1316" ht="12.75" customHeight="1">
      <c r="A1316" s="28" t="s">
        <v>3531</v>
      </c>
      <c r="B1316" s="28" t="s">
        <v>210</v>
      </c>
      <c r="C1316" s="42" t="s">
        <v>3532</v>
      </c>
      <c r="D1316" s="42" t="s">
        <v>1288</v>
      </c>
      <c r="E1316" s="42" t="s">
        <v>191</v>
      </c>
      <c r="F1316" s="28" t="s">
        <v>3533</v>
      </c>
      <c r="G1316" s="28">
        <v>28.8</v>
      </c>
      <c r="H1316" s="66"/>
      <c r="I1316" s="42"/>
      <c r="J1316" s="42"/>
      <c r="K1316" s="42"/>
      <c r="L1316" s="42"/>
      <c r="M1316" s="42"/>
      <c r="N1316" s="42"/>
      <c r="O1316" s="42"/>
      <c r="P1316" s="42"/>
      <c r="Q1316" s="42"/>
      <c r="R1316" s="42"/>
      <c r="S1316" s="42"/>
      <c r="T1316" s="42"/>
      <c r="U1316" s="42"/>
      <c r="V1316" s="42"/>
      <c r="W1316" s="42"/>
      <c r="X1316" s="42"/>
      <c r="Y1316" s="42"/>
      <c r="Z1316" s="42"/>
    </row>
    <row r="1317" ht="12.75" customHeight="1">
      <c r="A1317" s="28" t="s">
        <v>3534</v>
      </c>
      <c r="B1317" s="28" t="s">
        <v>210</v>
      </c>
      <c r="C1317" s="42" t="s">
        <v>3532</v>
      </c>
      <c r="D1317" s="42" t="s">
        <v>2116</v>
      </c>
      <c r="E1317" s="42" t="s">
        <v>191</v>
      </c>
      <c r="F1317" s="28" t="s">
        <v>3535</v>
      </c>
      <c r="G1317" s="28">
        <v>20.2</v>
      </c>
      <c r="H1317" s="66"/>
      <c r="I1317" s="42"/>
      <c r="J1317" s="42"/>
      <c r="K1317" s="42"/>
      <c r="L1317" s="42"/>
      <c r="M1317" s="42"/>
      <c r="N1317" s="42"/>
      <c r="O1317" s="42"/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</row>
    <row r="1318" ht="12.75" customHeight="1">
      <c r="A1318" s="28" t="s">
        <v>682</v>
      </c>
      <c r="B1318" s="28" t="s">
        <v>554</v>
      </c>
      <c r="C1318" s="42" t="s">
        <v>3536</v>
      </c>
      <c r="D1318" s="42" t="s">
        <v>1583</v>
      </c>
      <c r="E1318" s="42" t="s">
        <v>162</v>
      </c>
      <c r="F1318" s="28" t="s">
        <v>3537</v>
      </c>
      <c r="G1318" s="28">
        <v>25.1</v>
      </c>
      <c r="H1318" s="66"/>
      <c r="I1318" s="42"/>
      <c r="J1318" s="42"/>
      <c r="K1318" s="42"/>
      <c r="L1318" s="42"/>
      <c r="M1318" s="42"/>
      <c r="N1318" s="42"/>
      <c r="O1318" s="42"/>
      <c r="P1318" s="42"/>
      <c r="Q1318" s="42"/>
      <c r="R1318" s="42"/>
      <c r="S1318" s="42"/>
      <c r="T1318" s="42"/>
      <c r="U1318" s="42"/>
      <c r="V1318" s="42"/>
      <c r="W1318" s="42"/>
      <c r="X1318" s="42"/>
      <c r="Y1318" s="42"/>
      <c r="Z1318" s="42"/>
    </row>
    <row r="1319" ht="12.75" customHeight="1">
      <c r="A1319" s="28" t="s">
        <v>540</v>
      </c>
      <c r="B1319" s="28" t="s">
        <v>210</v>
      </c>
      <c r="C1319" s="42" t="s">
        <v>3538</v>
      </c>
      <c r="D1319" s="42" t="s">
        <v>1946</v>
      </c>
      <c r="E1319" s="42" t="s">
        <v>650</v>
      </c>
      <c r="F1319" s="28" t="s">
        <v>3539</v>
      </c>
      <c r="G1319" s="28">
        <v>16.6</v>
      </c>
      <c r="H1319" s="66"/>
      <c r="I1319" s="42"/>
      <c r="J1319" s="42"/>
      <c r="K1319" s="42"/>
      <c r="L1319" s="42"/>
      <c r="M1319" s="42"/>
      <c r="N1319" s="42"/>
      <c r="O1319" s="42"/>
      <c r="P1319" s="42"/>
      <c r="Q1319" s="42"/>
      <c r="R1319" s="42"/>
      <c r="S1319" s="42"/>
      <c r="T1319" s="42"/>
      <c r="U1319" s="42"/>
      <c r="V1319" s="42"/>
      <c r="W1319" s="42"/>
      <c r="X1319" s="42"/>
      <c r="Y1319" s="42"/>
      <c r="Z1319" s="42"/>
    </row>
    <row r="1320" ht="12.75" customHeight="1">
      <c r="A1320" s="28" t="s">
        <v>3540</v>
      </c>
      <c r="B1320" s="28" t="s">
        <v>165</v>
      </c>
      <c r="C1320" s="42" t="s">
        <v>3541</v>
      </c>
      <c r="D1320" s="42" t="s">
        <v>2380</v>
      </c>
      <c r="E1320" s="42" t="s">
        <v>162</v>
      </c>
      <c r="F1320" s="28" t="s">
        <v>1306</v>
      </c>
      <c r="G1320" s="28">
        <v>17.7</v>
      </c>
      <c r="H1320" s="66"/>
      <c r="I1320" s="42"/>
      <c r="J1320" s="42"/>
      <c r="K1320" s="42"/>
      <c r="L1320" s="42"/>
      <c r="M1320" s="42"/>
      <c r="N1320" s="42"/>
      <c r="O1320" s="42"/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</row>
    <row r="1321" ht="12.75" customHeight="1">
      <c r="A1321" s="28" t="s">
        <v>907</v>
      </c>
      <c r="B1321" s="28" t="s">
        <v>219</v>
      </c>
      <c r="C1321" s="42" t="s">
        <v>3542</v>
      </c>
      <c r="D1321" s="42" t="s">
        <v>3543</v>
      </c>
      <c r="E1321" s="42" t="s">
        <v>3544</v>
      </c>
      <c r="F1321" s="28" t="s">
        <v>3545</v>
      </c>
      <c r="G1321" s="28">
        <v>34.0</v>
      </c>
      <c r="H1321" s="66"/>
      <c r="I1321" s="42"/>
      <c r="J1321" s="42"/>
      <c r="K1321" s="42"/>
      <c r="L1321" s="42"/>
      <c r="M1321" s="42"/>
      <c r="N1321" s="42"/>
      <c r="O1321" s="42"/>
      <c r="P1321" s="42"/>
      <c r="Q1321" s="42"/>
      <c r="R1321" s="42"/>
      <c r="S1321" s="42"/>
      <c r="T1321" s="42"/>
      <c r="U1321" s="42"/>
      <c r="V1321" s="42"/>
      <c r="W1321" s="42"/>
      <c r="X1321" s="42"/>
      <c r="Y1321" s="42"/>
      <c r="Z1321" s="42"/>
    </row>
    <row r="1322" ht="12.75" customHeight="1">
      <c r="A1322" s="28" t="s">
        <v>523</v>
      </c>
      <c r="B1322" s="28" t="s">
        <v>497</v>
      </c>
      <c r="C1322" s="42" t="s">
        <v>3542</v>
      </c>
      <c r="D1322" s="42" t="s">
        <v>459</v>
      </c>
      <c r="E1322" s="42" t="s">
        <v>3544</v>
      </c>
      <c r="F1322" s="28" t="s">
        <v>3463</v>
      </c>
      <c r="G1322" s="28">
        <v>28.4</v>
      </c>
      <c r="H1322" s="66"/>
      <c r="I1322" s="42"/>
      <c r="J1322" s="42"/>
      <c r="K1322" s="42"/>
      <c r="L1322" s="42"/>
      <c r="M1322" s="42"/>
      <c r="N1322" s="42"/>
      <c r="O1322" s="42"/>
      <c r="P1322" s="42"/>
      <c r="Q1322" s="42"/>
      <c r="R1322" s="42"/>
      <c r="S1322" s="42"/>
      <c r="T1322" s="42"/>
      <c r="U1322" s="42"/>
      <c r="V1322" s="42"/>
      <c r="W1322" s="42"/>
      <c r="X1322" s="42"/>
      <c r="Y1322" s="42"/>
      <c r="Z1322" s="42"/>
    </row>
    <row r="1323" ht="12.75" customHeight="1">
      <c r="A1323" s="28" t="s">
        <v>466</v>
      </c>
      <c r="B1323" s="28" t="s">
        <v>497</v>
      </c>
      <c r="C1323" s="42" t="s">
        <v>3546</v>
      </c>
      <c r="D1323" s="42" t="s">
        <v>1092</v>
      </c>
      <c r="E1323" s="42" t="s">
        <v>162</v>
      </c>
      <c r="F1323" s="28" t="s">
        <v>3129</v>
      </c>
      <c r="G1323" s="28">
        <v>21.2</v>
      </c>
      <c r="H1323" s="66"/>
      <c r="I1323" s="42"/>
      <c r="J1323" s="42"/>
      <c r="K1323" s="42"/>
      <c r="L1323" s="42"/>
      <c r="M1323" s="42"/>
      <c r="N1323" s="42"/>
      <c r="O1323" s="42"/>
      <c r="P1323" s="42"/>
      <c r="Q1323" s="42"/>
      <c r="R1323" s="42"/>
      <c r="S1323" s="42"/>
      <c r="T1323" s="42"/>
      <c r="U1323" s="42"/>
      <c r="V1323" s="42"/>
      <c r="W1323" s="42"/>
      <c r="X1323" s="42"/>
      <c r="Y1323" s="42"/>
      <c r="Z1323" s="42"/>
    </row>
    <row r="1324" ht="12.75" customHeight="1">
      <c r="A1324" s="28" t="s">
        <v>466</v>
      </c>
      <c r="B1324" s="28" t="s">
        <v>219</v>
      </c>
      <c r="C1324" s="42" t="s">
        <v>3546</v>
      </c>
      <c r="D1324" s="42" t="s">
        <v>3547</v>
      </c>
      <c r="E1324" s="42" t="s">
        <v>162</v>
      </c>
      <c r="F1324" s="28" t="s">
        <v>3548</v>
      </c>
      <c r="G1324" s="28">
        <v>29.0</v>
      </c>
      <c r="H1324" s="66"/>
      <c r="I1324" s="42"/>
      <c r="J1324" s="42"/>
      <c r="K1324" s="42"/>
      <c r="L1324" s="42"/>
      <c r="M1324" s="42"/>
      <c r="N1324" s="42"/>
      <c r="O1324" s="42"/>
      <c r="P1324" s="42"/>
      <c r="Q1324" s="42"/>
      <c r="R1324" s="42"/>
      <c r="S1324" s="42"/>
      <c r="T1324" s="42"/>
      <c r="U1324" s="42"/>
      <c r="V1324" s="42"/>
      <c r="W1324" s="42"/>
      <c r="X1324" s="42"/>
      <c r="Y1324" s="42"/>
      <c r="Z1324" s="42"/>
    </row>
    <row r="1325" ht="12.75" customHeight="1">
      <c r="A1325" s="28" t="s">
        <v>3549</v>
      </c>
      <c r="B1325" s="28" t="s">
        <v>165</v>
      </c>
      <c r="C1325" s="42" t="s">
        <v>3550</v>
      </c>
      <c r="D1325" s="42" t="s">
        <v>3551</v>
      </c>
      <c r="E1325" s="42" t="s">
        <v>1867</v>
      </c>
      <c r="F1325" s="28" t="s">
        <v>2862</v>
      </c>
      <c r="G1325" s="28">
        <v>27.7</v>
      </c>
      <c r="H1325" s="66"/>
      <c r="I1325" s="42"/>
      <c r="J1325" s="42"/>
      <c r="K1325" s="42"/>
      <c r="L1325" s="42"/>
      <c r="M1325" s="42"/>
      <c r="N1325" s="42"/>
      <c r="O1325" s="42"/>
      <c r="P1325" s="42"/>
      <c r="Q1325" s="42"/>
      <c r="R1325" s="42"/>
      <c r="S1325" s="42"/>
      <c r="T1325" s="42"/>
      <c r="U1325" s="42"/>
      <c r="V1325" s="42"/>
      <c r="W1325" s="42"/>
      <c r="X1325" s="42"/>
      <c r="Y1325" s="42"/>
      <c r="Z1325" s="42"/>
    </row>
    <row r="1326" ht="12.75" customHeight="1">
      <c r="A1326" s="28" t="s">
        <v>896</v>
      </c>
      <c r="B1326" s="28" t="s">
        <v>153</v>
      </c>
      <c r="C1326" s="42" t="s">
        <v>3552</v>
      </c>
      <c r="D1326" s="42" t="s">
        <v>630</v>
      </c>
      <c r="E1326" s="42" t="s">
        <v>3553</v>
      </c>
      <c r="F1326" s="28" t="s">
        <v>1844</v>
      </c>
      <c r="G1326" s="28">
        <v>24.5</v>
      </c>
      <c r="H1326" s="66"/>
      <c r="I1326" s="42"/>
      <c r="J1326" s="42"/>
      <c r="K1326" s="42"/>
      <c r="L1326" s="42"/>
      <c r="M1326" s="42"/>
      <c r="N1326" s="42"/>
      <c r="O1326" s="42"/>
      <c r="P1326" s="42"/>
      <c r="Q1326" s="42"/>
      <c r="R1326" s="42"/>
      <c r="S1326" s="42"/>
      <c r="T1326" s="42"/>
      <c r="U1326" s="42"/>
      <c r="V1326" s="42"/>
      <c r="W1326" s="42"/>
      <c r="X1326" s="42"/>
      <c r="Y1326" s="42"/>
      <c r="Z1326" s="42"/>
    </row>
    <row r="1327" ht="12.75" customHeight="1">
      <c r="A1327" s="28" t="s">
        <v>3554</v>
      </c>
      <c r="B1327" s="28" t="s">
        <v>210</v>
      </c>
      <c r="C1327" s="42" t="s">
        <v>3555</v>
      </c>
      <c r="D1327" s="42" t="s">
        <v>3556</v>
      </c>
      <c r="E1327" s="42" t="s">
        <v>295</v>
      </c>
      <c r="F1327" s="28" t="s">
        <v>3557</v>
      </c>
      <c r="G1327" s="28">
        <v>22.1</v>
      </c>
      <c r="H1327" s="66"/>
      <c r="I1327" s="42"/>
      <c r="J1327" s="42"/>
      <c r="K1327" s="42"/>
      <c r="L1327" s="42"/>
      <c r="M1327" s="42"/>
      <c r="N1327" s="42"/>
      <c r="O1327" s="42"/>
      <c r="P1327" s="42"/>
      <c r="Q1327" s="42"/>
      <c r="R1327" s="42"/>
      <c r="S1327" s="42"/>
      <c r="T1327" s="42"/>
      <c r="U1327" s="42"/>
      <c r="V1327" s="42"/>
      <c r="W1327" s="42"/>
      <c r="X1327" s="42"/>
      <c r="Y1327" s="42"/>
      <c r="Z1327" s="42"/>
    </row>
    <row r="1328" ht="12.75" customHeight="1">
      <c r="A1328" s="28" t="s">
        <v>3558</v>
      </c>
      <c r="B1328" s="28" t="s">
        <v>314</v>
      </c>
      <c r="C1328" s="42" t="s">
        <v>3559</v>
      </c>
      <c r="D1328" s="42" t="s">
        <v>447</v>
      </c>
      <c r="E1328" s="42" t="s">
        <v>295</v>
      </c>
      <c r="F1328" s="28" t="s">
        <v>3560</v>
      </c>
      <c r="G1328" s="28">
        <v>43.9</v>
      </c>
      <c r="H1328" s="66"/>
      <c r="I1328" s="42"/>
      <c r="J1328" s="42"/>
      <c r="K1328" s="42"/>
      <c r="L1328" s="42"/>
      <c r="M1328" s="42"/>
      <c r="N1328" s="42"/>
      <c r="O1328" s="42"/>
      <c r="P1328" s="42"/>
      <c r="Q1328" s="42"/>
      <c r="R1328" s="42"/>
      <c r="S1328" s="42"/>
      <c r="T1328" s="42"/>
      <c r="U1328" s="42"/>
      <c r="V1328" s="42"/>
      <c r="W1328" s="42"/>
      <c r="X1328" s="42"/>
      <c r="Y1328" s="42"/>
      <c r="Z1328" s="42"/>
    </row>
    <row r="1329" ht="12.75" customHeight="1">
      <c r="A1329" s="28" t="s">
        <v>3561</v>
      </c>
      <c r="B1329" s="28" t="s">
        <v>165</v>
      </c>
      <c r="C1329" s="42" t="s">
        <v>3559</v>
      </c>
      <c r="D1329" s="42" t="s">
        <v>220</v>
      </c>
      <c r="E1329" s="42" t="s">
        <v>295</v>
      </c>
      <c r="F1329" s="28" t="s">
        <v>2444</v>
      </c>
      <c r="G1329" s="28">
        <v>25.0</v>
      </c>
      <c r="H1329" s="66"/>
      <c r="I1329" s="42"/>
      <c r="J1329" s="42"/>
      <c r="K1329" s="42"/>
      <c r="L1329" s="42"/>
      <c r="M1329" s="42"/>
      <c r="N1329" s="42"/>
      <c r="O1329" s="42"/>
      <c r="P1329" s="42"/>
      <c r="Q1329" s="42"/>
      <c r="R1329" s="42"/>
      <c r="S1329" s="42"/>
      <c r="T1329" s="42"/>
      <c r="U1329" s="42"/>
      <c r="V1329" s="42"/>
      <c r="W1329" s="42"/>
      <c r="X1329" s="42"/>
      <c r="Y1329" s="42"/>
      <c r="Z1329" s="42"/>
    </row>
    <row r="1330" ht="12.75" customHeight="1">
      <c r="A1330" s="28" t="s">
        <v>3562</v>
      </c>
      <c r="B1330" s="28" t="s">
        <v>210</v>
      </c>
      <c r="C1330" s="42" t="s">
        <v>3563</v>
      </c>
      <c r="D1330" s="42" t="s">
        <v>905</v>
      </c>
      <c r="E1330" s="42" t="s">
        <v>653</v>
      </c>
      <c r="F1330" s="28" t="s">
        <v>3564</v>
      </c>
      <c r="G1330" s="28">
        <v>21.8</v>
      </c>
      <c r="H1330" s="66"/>
      <c r="I1330" s="42"/>
      <c r="J1330" s="42"/>
      <c r="K1330" s="42"/>
      <c r="L1330" s="42"/>
      <c r="M1330" s="42"/>
      <c r="N1330" s="42"/>
      <c r="O1330" s="42"/>
      <c r="P1330" s="42"/>
      <c r="Q1330" s="42"/>
      <c r="R1330" s="42"/>
      <c r="S1330" s="42"/>
      <c r="T1330" s="42"/>
      <c r="U1330" s="42"/>
      <c r="V1330" s="42"/>
      <c r="W1330" s="42"/>
      <c r="X1330" s="42"/>
      <c r="Y1330" s="42"/>
      <c r="Z1330" s="42"/>
    </row>
    <row r="1331" ht="12.75" customHeight="1">
      <c r="A1331" s="28" t="s">
        <v>425</v>
      </c>
      <c r="B1331" s="28" t="s">
        <v>165</v>
      </c>
      <c r="C1331" s="42" t="s">
        <v>3565</v>
      </c>
      <c r="D1331" s="42" t="s">
        <v>3116</v>
      </c>
      <c r="E1331" s="42" t="s">
        <v>277</v>
      </c>
      <c r="F1331" s="28" t="s">
        <v>2062</v>
      </c>
      <c r="G1331" s="28">
        <v>25.2</v>
      </c>
      <c r="H1331" s="66"/>
      <c r="I1331" s="42"/>
      <c r="J1331" s="42"/>
      <c r="K1331" s="42"/>
      <c r="L1331" s="42"/>
      <c r="M1331" s="42"/>
      <c r="N1331" s="42"/>
      <c r="O1331" s="42"/>
      <c r="P1331" s="42"/>
      <c r="Q1331" s="42"/>
      <c r="R1331" s="42"/>
      <c r="S1331" s="42"/>
      <c r="T1331" s="42"/>
      <c r="U1331" s="42"/>
      <c r="V1331" s="42"/>
      <c r="W1331" s="42"/>
      <c r="X1331" s="42"/>
      <c r="Y1331" s="42"/>
      <c r="Z1331" s="42"/>
    </row>
    <row r="1332" ht="12.75" customHeight="1">
      <c r="A1332" s="28" t="s">
        <v>3566</v>
      </c>
      <c r="B1332" s="28" t="s">
        <v>280</v>
      </c>
      <c r="C1332" s="42" t="s">
        <v>3567</v>
      </c>
      <c r="D1332" s="42" t="s">
        <v>488</v>
      </c>
      <c r="E1332" s="42" t="s">
        <v>489</v>
      </c>
      <c r="F1332" s="28" t="s">
        <v>2940</v>
      </c>
      <c r="G1332" s="28">
        <v>43.1</v>
      </c>
      <c r="H1332" s="66"/>
      <c r="I1332" s="42"/>
      <c r="J1332" s="42"/>
      <c r="K1332" s="42"/>
      <c r="L1332" s="42"/>
      <c r="M1332" s="42"/>
      <c r="N1332" s="42"/>
      <c r="O1332" s="42"/>
      <c r="P1332" s="42"/>
      <c r="Q1332" s="42"/>
      <c r="R1332" s="42"/>
      <c r="S1332" s="42"/>
      <c r="T1332" s="42"/>
      <c r="U1332" s="42"/>
      <c r="V1332" s="42"/>
      <c r="W1332" s="42"/>
      <c r="X1332" s="42"/>
      <c r="Y1332" s="42"/>
      <c r="Z1332" s="42"/>
    </row>
    <row r="1333" ht="12.75" customHeight="1">
      <c r="A1333" s="28" t="s">
        <v>152</v>
      </c>
      <c r="B1333" s="28" t="s">
        <v>165</v>
      </c>
      <c r="C1333" s="42" t="s">
        <v>3568</v>
      </c>
      <c r="D1333" s="42" t="s">
        <v>306</v>
      </c>
      <c r="E1333" s="42" t="s">
        <v>1436</v>
      </c>
      <c r="F1333" s="28" t="s">
        <v>3569</v>
      </c>
      <c r="G1333" s="28">
        <v>27.2</v>
      </c>
      <c r="H1333" s="66"/>
      <c r="I1333" s="42"/>
      <c r="J1333" s="42"/>
      <c r="K1333" s="42"/>
      <c r="L1333" s="42"/>
      <c r="M1333" s="42"/>
      <c r="N1333" s="42"/>
      <c r="O1333" s="42"/>
      <c r="P1333" s="42"/>
      <c r="Q1333" s="42"/>
      <c r="R1333" s="42"/>
      <c r="S1333" s="42"/>
      <c r="T1333" s="42"/>
      <c r="U1333" s="42"/>
      <c r="V1333" s="42"/>
      <c r="W1333" s="42"/>
      <c r="X1333" s="42"/>
      <c r="Y1333" s="42"/>
      <c r="Z1333" s="42"/>
    </row>
    <row r="1334" ht="12.75" customHeight="1">
      <c r="A1334" s="28" t="s">
        <v>3570</v>
      </c>
      <c r="B1334" s="28" t="s">
        <v>165</v>
      </c>
      <c r="C1334" s="42" t="s">
        <v>3571</v>
      </c>
      <c r="D1334" s="42" t="s">
        <v>306</v>
      </c>
      <c r="E1334" s="42" t="s">
        <v>162</v>
      </c>
      <c r="F1334" s="28" t="s">
        <v>3572</v>
      </c>
      <c r="G1334" s="28">
        <v>33.2</v>
      </c>
      <c r="H1334" s="66"/>
      <c r="I1334" s="42"/>
      <c r="J1334" s="42"/>
      <c r="K1334" s="42"/>
      <c r="L1334" s="42"/>
      <c r="M1334" s="42"/>
      <c r="N1334" s="42"/>
      <c r="O1334" s="42"/>
      <c r="P1334" s="42"/>
      <c r="Q1334" s="42"/>
      <c r="R1334" s="42"/>
      <c r="S1334" s="42"/>
      <c r="T1334" s="42"/>
      <c r="U1334" s="42"/>
      <c r="V1334" s="42"/>
      <c r="W1334" s="42"/>
      <c r="X1334" s="42"/>
      <c r="Y1334" s="42"/>
      <c r="Z1334" s="42"/>
    </row>
    <row r="1335" ht="12.75" customHeight="1">
      <c r="A1335" s="28" t="s">
        <v>3573</v>
      </c>
      <c r="B1335" s="28" t="s">
        <v>210</v>
      </c>
      <c r="C1335" s="42" t="s">
        <v>3574</v>
      </c>
      <c r="D1335" s="42" t="s">
        <v>3575</v>
      </c>
      <c r="E1335" s="42" t="s">
        <v>1154</v>
      </c>
      <c r="F1335" s="28" t="s">
        <v>3576</v>
      </c>
      <c r="G1335" s="28">
        <v>22.4</v>
      </c>
      <c r="H1335" s="66"/>
      <c r="I1335" s="42"/>
      <c r="J1335" s="42"/>
      <c r="K1335" s="42"/>
      <c r="L1335" s="42"/>
      <c r="M1335" s="42"/>
      <c r="N1335" s="42"/>
      <c r="O1335" s="42"/>
      <c r="P1335" s="42"/>
      <c r="Q1335" s="42"/>
      <c r="R1335" s="42"/>
      <c r="S1335" s="42"/>
      <c r="T1335" s="42"/>
      <c r="U1335" s="42"/>
      <c r="V1335" s="42"/>
      <c r="W1335" s="42"/>
      <c r="X1335" s="42"/>
      <c r="Y1335" s="42"/>
      <c r="Z1335" s="42"/>
    </row>
    <row r="1336" ht="12.75" customHeight="1">
      <c r="A1336" s="28" t="s">
        <v>442</v>
      </c>
      <c r="B1336" s="28" t="s">
        <v>165</v>
      </c>
      <c r="C1336" s="42" t="s">
        <v>3577</v>
      </c>
      <c r="D1336" s="42" t="s">
        <v>3578</v>
      </c>
      <c r="E1336" s="42" t="s">
        <v>277</v>
      </c>
      <c r="F1336" s="28" t="s">
        <v>3579</v>
      </c>
      <c r="G1336" s="28">
        <v>20.1</v>
      </c>
      <c r="H1336" s="66"/>
      <c r="I1336" s="42"/>
      <c r="J1336" s="42"/>
      <c r="K1336" s="42"/>
      <c r="L1336" s="42"/>
      <c r="M1336" s="42"/>
      <c r="N1336" s="42"/>
      <c r="O1336" s="42"/>
      <c r="P1336" s="42"/>
      <c r="Q1336" s="42"/>
      <c r="R1336" s="42"/>
      <c r="S1336" s="42"/>
      <c r="T1336" s="42"/>
      <c r="U1336" s="42"/>
      <c r="V1336" s="42"/>
      <c r="W1336" s="42"/>
      <c r="X1336" s="42"/>
      <c r="Y1336" s="42"/>
      <c r="Z1336" s="42"/>
    </row>
    <row r="1337" ht="12.75" customHeight="1">
      <c r="A1337" s="28" t="s">
        <v>3580</v>
      </c>
      <c r="B1337" s="28" t="s">
        <v>457</v>
      </c>
      <c r="C1337" s="42" t="s">
        <v>3581</v>
      </c>
      <c r="D1337" s="42" t="s">
        <v>198</v>
      </c>
      <c r="E1337" s="42" t="s">
        <v>2211</v>
      </c>
      <c r="F1337" s="28" t="s">
        <v>3582</v>
      </c>
      <c r="G1337" s="28">
        <v>43.3</v>
      </c>
      <c r="H1337" s="66"/>
      <c r="I1337" s="42"/>
      <c r="J1337" s="42"/>
      <c r="K1337" s="42"/>
      <c r="L1337" s="42"/>
      <c r="M1337" s="42"/>
      <c r="N1337" s="42"/>
      <c r="O1337" s="42"/>
      <c r="P1337" s="42"/>
      <c r="Q1337" s="42"/>
      <c r="R1337" s="42"/>
      <c r="S1337" s="42"/>
      <c r="T1337" s="42"/>
      <c r="U1337" s="42"/>
      <c r="V1337" s="42"/>
      <c r="W1337" s="42"/>
      <c r="X1337" s="42"/>
      <c r="Y1337" s="42"/>
      <c r="Z1337" s="42"/>
    </row>
    <row r="1338" ht="12.75" customHeight="1">
      <c r="A1338" s="28" t="s">
        <v>3583</v>
      </c>
      <c r="B1338" s="28" t="s">
        <v>165</v>
      </c>
      <c r="C1338" s="42" t="s">
        <v>3581</v>
      </c>
      <c r="D1338" s="42" t="s">
        <v>3276</v>
      </c>
      <c r="E1338" s="42" t="s">
        <v>715</v>
      </c>
      <c r="F1338" s="28" t="s">
        <v>1087</v>
      </c>
      <c r="G1338" s="28">
        <v>23.5</v>
      </c>
      <c r="H1338" s="66"/>
      <c r="I1338" s="42"/>
      <c r="J1338" s="42"/>
      <c r="K1338" s="42"/>
      <c r="L1338" s="42"/>
      <c r="M1338" s="42"/>
      <c r="N1338" s="42"/>
      <c r="O1338" s="42"/>
      <c r="P1338" s="42"/>
      <c r="Q1338" s="42"/>
      <c r="R1338" s="42"/>
      <c r="S1338" s="42"/>
      <c r="T1338" s="42"/>
      <c r="U1338" s="42"/>
      <c r="V1338" s="42"/>
      <c r="W1338" s="42"/>
      <c r="X1338" s="42"/>
      <c r="Y1338" s="42"/>
      <c r="Z1338" s="42"/>
    </row>
    <row r="1339" ht="12.75" customHeight="1">
      <c r="A1339" s="28" t="s">
        <v>1873</v>
      </c>
      <c r="B1339" s="28" t="s">
        <v>159</v>
      </c>
      <c r="C1339" s="42" t="s">
        <v>3584</v>
      </c>
      <c r="D1339" s="42" t="s">
        <v>171</v>
      </c>
      <c r="E1339" s="42" t="s">
        <v>769</v>
      </c>
      <c r="F1339" s="28" t="s">
        <v>1536</v>
      </c>
      <c r="G1339" s="28">
        <v>31.3</v>
      </c>
      <c r="H1339" s="66"/>
      <c r="I1339" s="42"/>
      <c r="J1339" s="42"/>
      <c r="K1339" s="42"/>
      <c r="L1339" s="42"/>
      <c r="M1339" s="42"/>
      <c r="N1339" s="42"/>
      <c r="O1339" s="42"/>
      <c r="P1339" s="42"/>
      <c r="Q1339" s="42"/>
      <c r="R1339" s="42"/>
      <c r="S1339" s="42"/>
      <c r="T1339" s="42"/>
      <c r="U1339" s="42"/>
      <c r="V1339" s="42"/>
      <c r="W1339" s="42"/>
      <c r="X1339" s="42"/>
      <c r="Y1339" s="42"/>
      <c r="Z1339" s="42"/>
    </row>
    <row r="1340" ht="12.75" customHeight="1">
      <c r="A1340" s="28" t="s">
        <v>183</v>
      </c>
      <c r="B1340" s="28" t="s">
        <v>159</v>
      </c>
      <c r="C1340" s="42" t="s">
        <v>3585</v>
      </c>
      <c r="D1340" s="42" t="s">
        <v>240</v>
      </c>
      <c r="E1340" s="42" t="s">
        <v>162</v>
      </c>
      <c r="F1340" s="28" t="s">
        <v>3586</v>
      </c>
      <c r="G1340" s="28">
        <v>27.7</v>
      </c>
      <c r="H1340" s="66"/>
      <c r="I1340" s="42"/>
      <c r="J1340" s="42"/>
      <c r="K1340" s="42"/>
      <c r="L1340" s="42"/>
      <c r="M1340" s="42"/>
      <c r="N1340" s="42"/>
      <c r="O1340" s="42"/>
      <c r="P1340" s="42"/>
      <c r="Q1340" s="42"/>
      <c r="R1340" s="42"/>
      <c r="S1340" s="42"/>
      <c r="T1340" s="42"/>
      <c r="U1340" s="42"/>
      <c r="V1340" s="42"/>
      <c r="W1340" s="42"/>
      <c r="X1340" s="42"/>
      <c r="Y1340" s="42"/>
      <c r="Z1340" s="42"/>
    </row>
    <row r="1341" ht="12.75" customHeight="1">
      <c r="A1341" s="28" t="s">
        <v>3587</v>
      </c>
      <c r="B1341" s="28" t="s">
        <v>165</v>
      </c>
      <c r="C1341" s="42" t="s">
        <v>3588</v>
      </c>
      <c r="D1341" s="42" t="s">
        <v>495</v>
      </c>
      <c r="E1341" s="42" t="s">
        <v>647</v>
      </c>
      <c r="F1341" s="28" t="s">
        <v>3589</v>
      </c>
      <c r="G1341" s="28">
        <v>26.0</v>
      </c>
      <c r="H1341" s="66"/>
      <c r="I1341" s="42"/>
      <c r="J1341" s="42"/>
      <c r="K1341" s="42"/>
      <c r="L1341" s="42"/>
      <c r="M1341" s="42"/>
      <c r="N1341" s="42"/>
      <c r="O1341" s="42"/>
      <c r="P1341" s="42"/>
      <c r="Q1341" s="42"/>
      <c r="R1341" s="42"/>
      <c r="S1341" s="42"/>
      <c r="T1341" s="42"/>
      <c r="U1341" s="42"/>
      <c r="V1341" s="42"/>
      <c r="W1341" s="42"/>
      <c r="X1341" s="42"/>
      <c r="Y1341" s="42"/>
      <c r="Z1341" s="42"/>
    </row>
    <row r="1342" ht="12.75" customHeight="1">
      <c r="A1342" s="28" t="s">
        <v>3590</v>
      </c>
      <c r="B1342" s="28" t="s">
        <v>165</v>
      </c>
      <c r="C1342" s="42" t="s">
        <v>3591</v>
      </c>
      <c r="D1342" s="42" t="s">
        <v>321</v>
      </c>
      <c r="E1342" s="42" t="s">
        <v>3592</v>
      </c>
      <c r="F1342" s="28" t="s">
        <v>3593</v>
      </c>
      <c r="G1342" s="28">
        <v>30.4</v>
      </c>
      <c r="H1342" s="66"/>
      <c r="I1342" s="42"/>
      <c r="J1342" s="42"/>
      <c r="K1342" s="42"/>
      <c r="L1342" s="42"/>
      <c r="M1342" s="42"/>
      <c r="N1342" s="42"/>
      <c r="O1342" s="42"/>
      <c r="P1342" s="42"/>
      <c r="Q1342" s="42"/>
      <c r="R1342" s="42"/>
      <c r="S1342" s="42"/>
      <c r="T1342" s="42"/>
      <c r="U1342" s="42"/>
      <c r="V1342" s="42"/>
      <c r="W1342" s="42"/>
      <c r="X1342" s="42"/>
      <c r="Y1342" s="42"/>
      <c r="Z1342" s="42"/>
    </row>
    <row r="1343" ht="12.75" customHeight="1">
      <c r="A1343" s="28" t="s">
        <v>3594</v>
      </c>
      <c r="B1343" s="28" t="s">
        <v>210</v>
      </c>
      <c r="C1343" s="42" t="s">
        <v>3595</v>
      </c>
      <c r="D1343" s="42" t="s">
        <v>155</v>
      </c>
      <c r="E1343" s="42" t="s">
        <v>162</v>
      </c>
      <c r="F1343" s="28" t="s">
        <v>984</v>
      </c>
      <c r="G1343" s="28">
        <v>22.8</v>
      </c>
      <c r="H1343" s="66"/>
      <c r="I1343" s="42"/>
      <c r="J1343" s="42"/>
      <c r="K1343" s="42"/>
      <c r="L1343" s="42"/>
      <c r="M1343" s="42"/>
      <c r="N1343" s="42"/>
      <c r="O1343" s="42"/>
      <c r="P1343" s="42"/>
      <c r="Q1343" s="42"/>
      <c r="R1343" s="42"/>
      <c r="S1343" s="42"/>
      <c r="T1343" s="42"/>
      <c r="U1343" s="42"/>
      <c r="V1343" s="42"/>
      <c r="W1343" s="42"/>
      <c r="X1343" s="42"/>
      <c r="Y1343" s="42"/>
      <c r="Z1343" s="42"/>
    </row>
    <row r="1344" ht="12.75" customHeight="1">
      <c r="A1344" s="28" t="s">
        <v>3596</v>
      </c>
      <c r="B1344" s="28" t="s">
        <v>165</v>
      </c>
      <c r="C1344" s="42" t="s">
        <v>3597</v>
      </c>
      <c r="D1344" s="42" t="s">
        <v>1145</v>
      </c>
      <c r="E1344" s="42" t="s">
        <v>162</v>
      </c>
      <c r="F1344" s="28" t="s">
        <v>2698</v>
      </c>
      <c r="G1344" s="28">
        <v>29.9</v>
      </c>
      <c r="H1344" s="66"/>
      <c r="I1344" s="42"/>
      <c r="J1344" s="42"/>
      <c r="K1344" s="42"/>
      <c r="L1344" s="42"/>
      <c r="M1344" s="42"/>
      <c r="N1344" s="42"/>
      <c r="O1344" s="42"/>
      <c r="P1344" s="42"/>
      <c r="Q1344" s="42"/>
      <c r="R1344" s="42"/>
      <c r="S1344" s="42"/>
      <c r="T1344" s="42"/>
      <c r="U1344" s="42"/>
      <c r="V1344" s="42"/>
      <c r="W1344" s="42"/>
      <c r="X1344" s="42"/>
      <c r="Y1344" s="42"/>
      <c r="Z1344" s="42"/>
    </row>
    <row r="1345" ht="12.75" customHeight="1">
      <c r="A1345" s="28" t="s">
        <v>3598</v>
      </c>
      <c r="B1345" s="28" t="s">
        <v>165</v>
      </c>
      <c r="C1345" s="42" t="s">
        <v>3599</v>
      </c>
      <c r="D1345" s="42" t="s">
        <v>3600</v>
      </c>
      <c r="E1345" s="42" t="s">
        <v>162</v>
      </c>
      <c r="F1345" s="28" t="s">
        <v>3262</v>
      </c>
      <c r="G1345" s="28">
        <v>27.7</v>
      </c>
      <c r="H1345" s="66"/>
      <c r="I1345" s="42"/>
      <c r="J1345" s="42"/>
      <c r="K1345" s="42"/>
      <c r="L1345" s="42"/>
      <c r="M1345" s="42"/>
      <c r="N1345" s="42"/>
      <c r="O1345" s="42"/>
      <c r="P1345" s="42"/>
      <c r="Q1345" s="42"/>
      <c r="R1345" s="42"/>
      <c r="S1345" s="42"/>
      <c r="T1345" s="42"/>
      <c r="U1345" s="42"/>
      <c r="V1345" s="42"/>
      <c r="W1345" s="42"/>
      <c r="X1345" s="42"/>
      <c r="Y1345" s="42"/>
      <c r="Z1345" s="42"/>
    </row>
    <row r="1346" ht="12.75" customHeight="1">
      <c r="A1346" s="28" t="s">
        <v>3601</v>
      </c>
      <c r="B1346" s="28" t="s">
        <v>165</v>
      </c>
      <c r="C1346" s="42" t="s">
        <v>3602</v>
      </c>
      <c r="D1346" s="42" t="s">
        <v>665</v>
      </c>
      <c r="E1346" s="42" t="s">
        <v>3603</v>
      </c>
      <c r="F1346" s="28" t="s">
        <v>3604</v>
      </c>
      <c r="G1346" s="28">
        <v>29.0</v>
      </c>
      <c r="H1346" s="66"/>
      <c r="I1346" s="42"/>
      <c r="J1346" s="42"/>
      <c r="K1346" s="42"/>
      <c r="L1346" s="42"/>
      <c r="M1346" s="42"/>
      <c r="N1346" s="42"/>
      <c r="O1346" s="42"/>
      <c r="P1346" s="42"/>
      <c r="Q1346" s="42"/>
      <c r="R1346" s="42"/>
      <c r="S1346" s="42"/>
      <c r="T1346" s="42"/>
      <c r="U1346" s="42"/>
      <c r="V1346" s="42"/>
      <c r="W1346" s="42"/>
      <c r="X1346" s="42"/>
      <c r="Y1346" s="42"/>
      <c r="Z1346" s="42"/>
    </row>
    <row r="1347" ht="12.75" customHeight="1">
      <c r="A1347" s="28" t="s">
        <v>238</v>
      </c>
      <c r="B1347" s="28" t="s">
        <v>165</v>
      </c>
      <c r="C1347" s="42" t="s">
        <v>3605</v>
      </c>
      <c r="D1347" s="42" t="s">
        <v>3606</v>
      </c>
      <c r="E1347" s="42" t="s">
        <v>3607</v>
      </c>
      <c r="F1347" s="28" t="s">
        <v>3608</v>
      </c>
      <c r="G1347" s="28">
        <v>33.9</v>
      </c>
      <c r="H1347" s="66"/>
      <c r="I1347" s="42"/>
      <c r="J1347" s="42"/>
      <c r="K1347" s="42"/>
      <c r="L1347" s="42"/>
      <c r="M1347" s="42"/>
      <c r="N1347" s="42"/>
      <c r="O1347" s="42"/>
      <c r="P1347" s="42"/>
      <c r="Q1347" s="42"/>
      <c r="R1347" s="42"/>
      <c r="S1347" s="42"/>
      <c r="T1347" s="42"/>
      <c r="U1347" s="42"/>
      <c r="V1347" s="42"/>
      <c r="W1347" s="42"/>
      <c r="X1347" s="42"/>
      <c r="Y1347" s="42"/>
      <c r="Z1347" s="42"/>
    </row>
    <row r="1348" ht="12.75" customHeight="1">
      <c r="A1348" s="28" t="s">
        <v>3609</v>
      </c>
      <c r="B1348" s="28" t="s">
        <v>165</v>
      </c>
      <c r="C1348" s="42" t="s">
        <v>3605</v>
      </c>
      <c r="D1348" s="42" t="s">
        <v>2425</v>
      </c>
      <c r="E1348" s="42" t="s">
        <v>3610</v>
      </c>
      <c r="F1348" s="28" t="s">
        <v>3611</v>
      </c>
      <c r="G1348" s="28">
        <v>32.1</v>
      </c>
      <c r="H1348" s="66"/>
      <c r="I1348" s="42"/>
      <c r="J1348" s="42"/>
      <c r="K1348" s="42"/>
      <c r="L1348" s="42"/>
      <c r="M1348" s="42"/>
      <c r="N1348" s="42"/>
      <c r="O1348" s="42"/>
      <c r="P1348" s="42"/>
      <c r="Q1348" s="42"/>
      <c r="R1348" s="42"/>
      <c r="S1348" s="42"/>
      <c r="T1348" s="42"/>
      <c r="U1348" s="42"/>
      <c r="V1348" s="42"/>
      <c r="W1348" s="42"/>
      <c r="X1348" s="42"/>
      <c r="Y1348" s="42"/>
      <c r="Z1348" s="42"/>
    </row>
    <row r="1349" ht="12.75" customHeight="1">
      <c r="A1349" s="28" t="s">
        <v>3612</v>
      </c>
      <c r="B1349" s="28" t="s">
        <v>165</v>
      </c>
      <c r="C1349" s="42" t="s">
        <v>3613</v>
      </c>
      <c r="D1349" s="42" t="s">
        <v>3614</v>
      </c>
      <c r="E1349" s="42" t="s">
        <v>255</v>
      </c>
      <c r="F1349" s="28" t="s">
        <v>3615</v>
      </c>
      <c r="G1349" s="28">
        <v>24.2</v>
      </c>
      <c r="H1349" s="66"/>
      <c r="I1349" s="42"/>
      <c r="J1349" s="42"/>
      <c r="K1349" s="42"/>
      <c r="L1349" s="42"/>
      <c r="M1349" s="42"/>
      <c r="N1349" s="42"/>
      <c r="O1349" s="42"/>
      <c r="P1349" s="42"/>
      <c r="Q1349" s="42"/>
      <c r="R1349" s="42"/>
      <c r="S1349" s="42"/>
      <c r="T1349" s="42"/>
      <c r="U1349" s="42"/>
      <c r="V1349" s="42"/>
      <c r="W1349" s="42"/>
      <c r="X1349" s="42"/>
      <c r="Y1349" s="42"/>
      <c r="Z1349" s="42"/>
    </row>
    <row r="1350" ht="12.75" customHeight="1">
      <c r="A1350" s="28" t="s">
        <v>3616</v>
      </c>
      <c r="B1350" s="28" t="s">
        <v>210</v>
      </c>
      <c r="C1350" s="42" t="s">
        <v>3617</v>
      </c>
      <c r="D1350" s="42" t="s">
        <v>624</v>
      </c>
      <c r="E1350" s="42" t="s">
        <v>162</v>
      </c>
      <c r="F1350" s="28" t="s">
        <v>3618</v>
      </c>
      <c r="G1350" s="28">
        <v>23.6</v>
      </c>
      <c r="H1350" s="66"/>
      <c r="I1350" s="42"/>
      <c r="J1350" s="42"/>
      <c r="K1350" s="42"/>
      <c r="L1350" s="42"/>
      <c r="M1350" s="42"/>
      <c r="N1350" s="42"/>
      <c r="O1350" s="42"/>
      <c r="P1350" s="42"/>
      <c r="Q1350" s="42"/>
      <c r="R1350" s="42"/>
      <c r="S1350" s="42"/>
      <c r="T1350" s="42"/>
      <c r="U1350" s="42"/>
      <c r="V1350" s="42"/>
      <c r="W1350" s="42"/>
      <c r="X1350" s="42"/>
      <c r="Y1350" s="42"/>
      <c r="Z1350" s="42"/>
    </row>
    <row r="1351" ht="12.75" customHeight="1">
      <c r="A1351" s="28" t="s">
        <v>1882</v>
      </c>
      <c r="B1351" s="28" t="s">
        <v>165</v>
      </c>
      <c r="C1351" s="42" t="s">
        <v>3619</v>
      </c>
      <c r="D1351" s="42" t="s">
        <v>447</v>
      </c>
      <c r="E1351" s="42" t="s">
        <v>1987</v>
      </c>
      <c r="F1351" s="28" t="s">
        <v>3620</v>
      </c>
      <c r="G1351" s="28">
        <v>27.0</v>
      </c>
      <c r="H1351" s="66"/>
      <c r="I1351" s="42"/>
      <c r="J1351" s="42"/>
      <c r="K1351" s="42"/>
      <c r="L1351" s="42"/>
      <c r="M1351" s="42"/>
      <c r="N1351" s="42"/>
      <c r="O1351" s="42"/>
      <c r="P1351" s="42"/>
      <c r="Q1351" s="42"/>
      <c r="R1351" s="42"/>
      <c r="S1351" s="42"/>
      <c r="T1351" s="42"/>
      <c r="U1351" s="42"/>
      <c r="V1351" s="42"/>
      <c r="W1351" s="42"/>
      <c r="X1351" s="42"/>
      <c r="Y1351" s="42"/>
      <c r="Z1351" s="42"/>
    </row>
    <row r="1352" ht="12.75" customHeight="1">
      <c r="A1352" s="28" t="s">
        <v>3621</v>
      </c>
      <c r="B1352" s="28" t="s">
        <v>487</v>
      </c>
      <c r="C1352" s="42" t="s">
        <v>3622</v>
      </c>
      <c r="D1352" s="42" t="s">
        <v>633</v>
      </c>
      <c r="E1352" s="42" t="s">
        <v>1412</v>
      </c>
      <c r="F1352" s="28" t="s">
        <v>3623</v>
      </c>
      <c r="G1352" s="28">
        <v>37.9</v>
      </c>
      <c r="H1352" s="66"/>
      <c r="I1352" s="42"/>
      <c r="J1352" s="42"/>
      <c r="K1352" s="42"/>
      <c r="L1352" s="42"/>
      <c r="M1352" s="42"/>
      <c r="N1352" s="42"/>
      <c r="O1352" s="42"/>
      <c r="P1352" s="42"/>
      <c r="Q1352" s="42"/>
      <c r="R1352" s="42"/>
      <c r="S1352" s="42"/>
      <c r="T1352" s="42"/>
      <c r="U1352" s="42"/>
      <c r="V1352" s="42"/>
      <c r="W1352" s="42"/>
      <c r="X1352" s="42"/>
      <c r="Y1352" s="42"/>
      <c r="Z1352" s="42"/>
    </row>
    <row r="1353" ht="12.75" customHeight="1">
      <c r="A1353" s="28" t="s">
        <v>1194</v>
      </c>
      <c r="B1353" s="28" t="s">
        <v>219</v>
      </c>
      <c r="C1353" s="42" t="s">
        <v>3624</v>
      </c>
      <c r="D1353" s="42" t="s">
        <v>1145</v>
      </c>
      <c r="E1353" s="42" t="s">
        <v>162</v>
      </c>
      <c r="F1353" s="28" t="s">
        <v>3625</v>
      </c>
      <c r="G1353" s="28">
        <v>19.9</v>
      </c>
      <c r="H1353" s="66"/>
      <c r="I1353" s="42"/>
      <c r="J1353" s="42"/>
      <c r="K1353" s="42"/>
      <c r="L1353" s="42"/>
      <c r="M1353" s="42"/>
      <c r="N1353" s="42"/>
      <c r="O1353" s="42"/>
      <c r="P1353" s="42"/>
      <c r="Q1353" s="42"/>
      <c r="R1353" s="42"/>
      <c r="S1353" s="42"/>
      <c r="T1353" s="42"/>
      <c r="U1353" s="42"/>
      <c r="V1353" s="42"/>
      <c r="W1353" s="42"/>
      <c r="X1353" s="42"/>
      <c r="Y1353" s="42"/>
      <c r="Z1353" s="42"/>
    </row>
    <row r="1354" ht="12.75" customHeight="1">
      <c r="A1354" s="28" t="s">
        <v>3626</v>
      </c>
      <c r="B1354" s="28" t="s">
        <v>165</v>
      </c>
      <c r="C1354" s="42" t="s">
        <v>3624</v>
      </c>
      <c r="D1354" s="42" t="s">
        <v>495</v>
      </c>
      <c r="E1354" s="42" t="s">
        <v>162</v>
      </c>
      <c r="F1354" s="28" t="s">
        <v>3627</v>
      </c>
      <c r="G1354" s="28">
        <v>23.3</v>
      </c>
      <c r="H1354" s="66"/>
      <c r="I1354" s="42"/>
      <c r="J1354" s="42"/>
      <c r="K1354" s="42"/>
      <c r="L1354" s="42"/>
      <c r="M1354" s="42"/>
      <c r="N1354" s="42"/>
      <c r="O1354" s="42"/>
      <c r="P1354" s="42"/>
      <c r="Q1354" s="42"/>
      <c r="R1354" s="42"/>
      <c r="S1354" s="42"/>
      <c r="T1354" s="42"/>
      <c r="U1354" s="42"/>
      <c r="V1354" s="42"/>
      <c r="W1354" s="42"/>
      <c r="X1354" s="42"/>
      <c r="Y1354" s="42"/>
      <c r="Z1354" s="42"/>
    </row>
    <row r="1355" ht="12.75" customHeight="1">
      <c r="A1355" s="28" t="s">
        <v>551</v>
      </c>
      <c r="B1355" s="28" t="s">
        <v>153</v>
      </c>
      <c r="C1355" s="42" t="s">
        <v>3628</v>
      </c>
      <c r="D1355" s="42" t="s">
        <v>902</v>
      </c>
      <c r="E1355" s="42" t="s">
        <v>650</v>
      </c>
      <c r="F1355" s="28" t="s">
        <v>3629</v>
      </c>
      <c r="G1355" s="28">
        <v>16.1</v>
      </c>
      <c r="H1355" s="66"/>
      <c r="I1355" s="42"/>
      <c r="J1355" s="42"/>
      <c r="K1355" s="42"/>
      <c r="L1355" s="42"/>
      <c r="M1355" s="42"/>
      <c r="N1355" s="42"/>
      <c r="O1355" s="42"/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</row>
    <row r="1356" ht="12.75" customHeight="1">
      <c r="A1356" s="28" t="s">
        <v>284</v>
      </c>
      <c r="B1356" s="28" t="s">
        <v>219</v>
      </c>
      <c r="C1356" s="42" t="s">
        <v>3630</v>
      </c>
      <c r="D1356" s="42" t="s">
        <v>633</v>
      </c>
      <c r="E1356" s="42" t="s">
        <v>162</v>
      </c>
      <c r="F1356" s="28" t="s">
        <v>3631</v>
      </c>
      <c r="G1356" s="28">
        <v>18.7</v>
      </c>
      <c r="H1356" s="66"/>
      <c r="I1356" s="42"/>
      <c r="J1356" s="42"/>
      <c r="K1356" s="42"/>
      <c r="L1356" s="42"/>
      <c r="M1356" s="42"/>
      <c r="N1356" s="42"/>
      <c r="O1356" s="42"/>
      <c r="P1356" s="42"/>
      <c r="Q1356" s="42"/>
      <c r="R1356" s="42"/>
      <c r="S1356" s="42"/>
      <c r="T1356" s="42"/>
      <c r="U1356" s="42"/>
      <c r="V1356" s="42"/>
      <c r="W1356" s="42"/>
      <c r="X1356" s="42"/>
      <c r="Y1356" s="42"/>
      <c r="Z1356" s="42"/>
    </row>
    <row r="1357" ht="12.75" customHeight="1">
      <c r="A1357" s="28" t="s">
        <v>3632</v>
      </c>
      <c r="B1357" s="28" t="s">
        <v>165</v>
      </c>
      <c r="C1357" s="42" t="s">
        <v>3633</v>
      </c>
      <c r="D1357" s="42" t="s">
        <v>3634</v>
      </c>
      <c r="E1357" s="42" t="s">
        <v>559</v>
      </c>
      <c r="F1357" s="28" t="s">
        <v>3635</v>
      </c>
      <c r="G1357" s="28">
        <v>26.7</v>
      </c>
      <c r="H1357" s="66"/>
      <c r="I1357" s="42"/>
      <c r="J1357" s="42"/>
      <c r="K1357" s="42"/>
      <c r="L1357" s="42"/>
      <c r="M1357" s="42"/>
      <c r="N1357" s="42"/>
      <c r="O1357" s="42"/>
      <c r="P1357" s="42"/>
      <c r="Q1357" s="42"/>
      <c r="R1357" s="42"/>
      <c r="S1357" s="42"/>
      <c r="T1357" s="42"/>
      <c r="U1357" s="42"/>
      <c r="V1357" s="42"/>
      <c r="W1357" s="42"/>
      <c r="X1357" s="42"/>
      <c r="Y1357" s="42"/>
      <c r="Z1357" s="42"/>
    </row>
    <row r="1358" ht="12.75" customHeight="1">
      <c r="A1358" s="28" t="s">
        <v>3636</v>
      </c>
      <c r="B1358" s="28" t="s">
        <v>165</v>
      </c>
      <c r="C1358" s="42" t="s">
        <v>3637</v>
      </c>
      <c r="D1358" s="42" t="s">
        <v>2380</v>
      </c>
      <c r="E1358" s="42" t="s">
        <v>255</v>
      </c>
      <c r="F1358" s="28" t="s">
        <v>2729</v>
      </c>
      <c r="G1358" s="28">
        <v>30.9</v>
      </c>
      <c r="H1358" s="66"/>
      <c r="I1358" s="42"/>
      <c r="J1358" s="42"/>
      <c r="K1358" s="42"/>
      <c r="L1358" s="42"/>
      <c r="M1358" s="42"/>
      <c r="N1358" s="42"/>
      <c r="O1358" s="42"/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</row>
    <row r="1359" ht="12.75" customHeight="1">
      <c r="A1359" s="28" t="s">
        <v>3638</v>
      </c>
      <c r="B1359" s="28" t="s">
        <v>165</v>
      </c>
      <c r="C1359" s="42" t="s">
        <v>3637</v>
      </c>
      <c r="D1359" s="42" t="s">
        <v>224</v>
      </c>
      <c r="E1359" s="42" t="s">
        <v>255</v>
      </c>
      <c r="F1359" s="28" t="s">
        <v>3639</v>
      </c>
      <c r="G1359" s="28">
        <v>30.2</v>
      </c>
      <c r="H1359" s="66"/>
      <c r="I1359" s="42"/>
      <c r="J1359" s="42"/>
      <c r="K1359" s="42"/>
      <c r="L1359" s="42"/>
      <c r="M1359" s="42"/>
      <c r="N1359" s="42"/>
      <c r="O1359" s="42"/>
      <c r="P1359" s="42"/>
      <c r="Q1359" s="42"/>
      <c r="R1359" s="42"/>
      <c r="S1359" s="42"/>
      <c r="T1359" s="42"/>
      <c r="U1359" s="42"/>
      <c r="V1359" s="42"/>
      <c r="W1359" s="42"/>
      <c r="X1359" s="42"/>
      <c r="Y1359" s="42"/>
      <c r="Z1359" s="42"/>
    </row>
    <row r="1360" ht="12.75" customHeight="1">
      <c r="A1360" s="28" t="s">
        <v>3640</v>
      </c>
      <c r="B1360" s="28" t="s">
        <v>210</v>
      </c>
      <c r="C1360" s="42" t="s">
        <v>3641</v>
      </c>
      <c r="D1360" s="42" t="s">
        <v>3642</v>
      </c>
      <c r="E1360" s="42" t="s">
        <v>1518</v>
      </c>
      <c r="F1360" s="28" t="s">
        <v>3643</v>
      </c>
      <c r="G1360" s="28">
        <v>29.3</v>
      </c>
      <c r="H1360" s="66"/>
      <c r="I1360" s="42"/>
      <c r="J1360" s="42"/>
      <c r="K1360" s="42"/>
      <c r="L1360" s="42"/>
      <c r="M1360" s="42"/>
      <c r="N1360" s="42"/>
      <c r="O1360" s="42"/>
      <c r="P1360" s="42"/>
      <c r="Q1360" s="42"/>
      <c r="R1360" s="42"/>
      <c r="S1360" s="42"/>
      <c r="T1360" s="42"/>
      <c r="U1360" s="42"/>
      <c r="V1360" s="42"/>
      <c r="W1360" s="42"/>
      <c r="X1360" s="42"/>
      <c r="Y1360" s="42"/>
      <c r="Z1360" s="42"/>
    </row>
    <row r="1361" ht="12.75" customHeight="1">
      <c r="A1361" s="28" t="s">
        <v>847</v>
      </c>
      <c r="B1361" s="28" t="s">
        <v>219</v>
      </c>
      <c r="C1361" s="42" t="s">
        <v>3644</v>
      </c>
      <c r="D1361" s="42" t="s">
        <v>522</v>
      </c>
      <c r="E1361" s="42" t="s">
        <v>1518</v>
      </c>
      <c r="F1361" s="28" t="s">
        <v>2646</v>
      </c>
      <c r="G1361" s="28">
        <v>27.5</v>
      </c>
      <c r="H1361" s="66"/>
      <c r="I1361" s="42"/>
      <c r="J1361" s="42"/>
      <c r="K1361" s="42"/>
      <c r="L1361" s="42"/>
      <c r="M1361" s="42"/>
      <c r="N1361" s="42"/>
      <c r="O1361" s="42"/>
      <c r="P1361" s="42"/>
      <c r="Q1361" s="42"/>
      <c r="R1361" s="42"/>
      <c r="S1361" s="42"/>
      <c r="T1361" s="42"/>
      <c r="U1361" s="42"/>
      <c r="V1361" s="42"/>
      <c r="W1361" s="42"/>
      <c r="X1361" s="42"/>
      <c r="Y1361" s="42"/>
      <c r="Z1361" s="42"/>
    </row>
    <row r="1362" ht="12.75" customHeight="1">
      <c r="A1362" s="28" t="s">
        <v>601</v>
      </c>
      <c r="B1362" s="28" t="s">
        <v>159</v>
      </c>
      <c r="C1362" s="42" t="s">
        <v>3645</v>
      </c>
      <c r="D1362" s="42" t="s">
        <v>401</v>
      </c>
      <c r="E1362" s="42" t="s">
        <v>1300</v>
      </c>
      <c r="F1362" s="28" t="s">
        <v>3036</v>
      </c>
      <c r="G1362" s="28">
        <v>27.9</v>
      </c>
      <c r="H1362" s="66"/>
      <c r="I1362" s="42"/>
      <c r="J1362" s="42"/>
      <c r="K1362" s="42"/>
      <c r="L1362" s="42"/>
      <c r="M1362" s="42"/>
      <c r="N1362" s="42"/>
      <c r="O1362" s="42"/>
      <c r="P1362" s="42"/>
      <c r="Q1362" s="42"/>
      <c r="R1362" s="42"/>
      <c r="S1362" s="42"/>
      <c r="T1362" s="42"/>
      <c r="U1362" s="42"/>
      <c r="V1362" s="42"/>
      <c r="W1362" s="42"/>
      <c r="X1362" s="42"/>
      <c r="Y1362" s="42"/>
      <c r="Z1362" s="42"/>
    </row>
    <row r="1363" ht="12.75" customHeight="1">
      <c r="A1363" s="28" t="s">
        <v>257</v>
      </c>
      <c r="B1363" s="28" t="s">
        <v>165</v>
      </c>
      <c r="C1363" s="42" t="s">
        <v>3646</v>
      </c>
      <c r="D1363" s="42" t="s">
        <v>141</v>
      </c>
      <c r="E1363" s="42" t="s">
        <v>700</v>
      </c>
      <c r="F1363" s="28" t="s">
        <v>3647</v>
      </c>
      <c r="G1363" s="28">
        <v>33.3</v>
      </c>
      <c r="H1363" s="66"/>
      <c r="I1363" s="42"/>
      <c r="J1363" s="42"/>
      <c r="K1363" s="42"/>
      <c r="L1363" s="42"/>
      <c r="M1363" s="42"/>
      <c r="N1363" s="42"/>
      <c r="O1363" s="42"/>
      <c r="P1363" s="42"/>
      <c r="Q1363" s="42"/>
      <c r="R1363" s="42"/>
      <c r="S1363" s="42"/>
      <c r="T1363" s="42"/>
      <c r="U1363" s="42"/>
      <c r="V1363" s="42"/>
      <c r="W1363" s="42"/>
      <c r="X1363" s="42"/>
      <c r="Y1363" s="42"/>
      <c r="Z1363" s="42"/>
    </row>
    <row r="1364" ht="12.75" customHeight="1">
      <c r="A1364" s="28" t="s">
        <v>1038</v>
      </c>
      <c r="B1364" s="28" t="s">
        <v>165</v>
      </c>
      <c r="C1364" s="42" t="s">
        <v>3648</v>
      </c>
      <c r="D1364" s="42" t="s">
        <v>167</v>
      </c>
      <c r="E1364" s="42" t="s">
        <v>650</v>
      </c>
      <c r="F1364" s="28" t="s">
        <v>3649</v>
      </c>
      <c r="G1364" s="28">
        <v>24.4</v>
      </c>
      <c r="H1364" s="66"/>
      <c r="I1364" s="42"/>
      <c r="J1364" s="42"/>
      <c r="K1364" s="42"/>
      <c r="L1364" s="42"/>
      <c r="M1364" s="42"/>
      <c r="N1364" s="42"/>
      <c r="O1364" s="42"/>
      <c r="P1364" s="42"/>
      <c r="Q1364" s="42"/>
      <c r="R1364" s="42"/>
      <c r="S1364" s="42"/>
      <c r="T1364" s="42"/>
      <c r="U1364" s="42"/>
      <c r="V1364" s="42"/>
      <c r="W1364" s="42"/>
      <c r="X1364" s="42"/>
      <c r="Y1364" s="42"/>
      <c r="Z1364" s="42"/>
    </row>
    <row r="1365" ht="12.75" customHeight="1">
      <c r="A1365" s="28" t="s">
        <v>3650</v>
      </c>
      <c r="B1365" s="28" t="s">
        <v>165</v>
      </c>
      <c r="C1365" s="42" t="s">
        <v>3651</v>
      </c>
      <c r="D1365" s="42" t="s">
        <v>558</v>
      </c>
      <c r="E1365" s="42" t="s">
        <v>653</v>
      </c>
      <c r="F1365" s="28" t="s">
        <v>409</v>
      </c>
      <c r="G1365" s="28">
        <v>30.9</v>
      </c>
      <c r="H1365" s="66"/>
      <c r="I1365" s="42"/>
      <c r="J1365" s="42"/>
      <c r="K1365" s="42"/>
      <c r="L1365" s="42"/>
      <c r="M1365" s="42"/>
      <c r="N1365" s="42"/>
      <c r="O1365" s="42"/>
      <c r="P1365" s="42"/>
      <c r="Q1365" s="42"/>
      <c r="R1365" s="42"/>
      <c r="S1365" s="42"/>
      <c r="T1365" s="42"/>
      <c r="U1365" s="42"/>
      <c r="V1365" s="42"/>
      <c r="W1365" s="42"/>
      <c r="X1365" s="42"/>
      <c r="Y1365" s="42"/>
      <c r="Z1365" s="42"/>
    </row>
    <row r="1366" ht="12.75" customHeight="1">
      <c r="A1366" s="28" t="s">
        <v>2567</v>
      </c>
      <c r="B1366" s="28" t="s">
        <v>165</v>
      </c>
      <c r="C1366" s="42" t="s">
        <v>3652</v>
      </c>
      <c r="D1366" s="42" t="s">
        <v>240</v>
      </c>
      <c r="E1366" s="42" t="s">
        <v>162</v>
      </c>
      <c r="F1366" s="28" t="s">
        <v>3653</v>
      </c>
      <c r="G1366" s="28">
        <v>33.0</v>
      </c>
      <c r="H1366" s="66"/>
      <c r="I1366" s="42"/>
      <c r="J1366" s="42"/>
      <c r="K1366" s="42"/>
      <c r="L1366" s="42"/>
      <c r="M1366" s="42"/>
      <c r="N1366" s="42"/>
      <c r="O1366" s="42"/>
      <c r="P1366" s="42"/>
      <c r="Q1366" s="42"/>
      <c r="R1366" s="42"/>
      <c r="S1366" s="42"/>
      <c r="T1366" s="42"/>
      <c r="U1366" s="42"/>
      <c r="V1366" s="42"/>
      <c r="W1366" s="42"/>
      <c r="X1366" s="42"/>
      <c r="Y1366" s="42"/>
      <c r="Z1366" s="42"/>
    </row>
    <row r="1367" ht="12.75" customHeight="1">
      <c r="A1367" s="28" t="s">
        <v>3654</v>
      </c>
      <c r="B1367" s="28" t="s">
        <v>165</v>
      </c>
      <c r="C1367" s="42" t="s">
        <v>3655</v>
      </c>
      <c r="D1367" s="42" t="s">
        <v>251</v>
      </c>
      <c r="E1367" s="42" t="s">
        <v>162</v>
      </c>
      <c r="F1367" s="28" t="s">
        <v>2772</v>
      </c>
      <c r="G1367" s="28">
        <v>20.9</v>
      </c>
      <c r="H1367" s="66"/>
      <c r="I1367" s="42"/>
      <c r="J1367" s="42"/>
      <c r="K1367" s="42"/>
      <c r="L1367" s="42"/>
      <c r="M1367" s="42"/>
      <c r="N1367" s="42"/>
      <c r="O1367" s="42"/>
      <c r="P1367" s="42"/>
      <c r="Q1367" s="42"/>
      <c r="R1367" s="42"/>
      <c r="S1367" s="42"/>
      <c r="T1367" s="42"/>
      <c r="U1367" s="42"/>
      <c r="V1367" s="42"/>
      <c r="W1367" s="42"/>
      <c r="X1367" s="42"/>
      <c r="Y1367" s="42"/>
      <c r="Z1367" s="42"/>
    </row>
    <row r="1368" ht="12.75" customHeight="1">
      <c r="A1368" s="28" t="s">
        <v>969</v>
      </c>
      <c r="B1368" s="28" t="s">
        <v>159</v>
      </c>
      <c r="C1368" s="42" t="s">
        <v>3656</v>
      </c>
      <c r="D1368" s="42" t="s">
        <v>832</v>
      </c>
      <c r="E1368" s="42" t="s">
        <v>162</v>
      </c>
      <c r="F1368" s="28" t="s">
        <v>3657</v>
      </c>
      <c r="G1368" s="28">
        <v>30.4</v>
      </c>
      <c r="H1368" s="66"/>
      <c r="I1368" s="42"/>
      <c r="J1368" s="42"/>
      <c r="K1368" s="42"/>
      <c r="L1368" s="42"/>
      <c r="M1368" s="42"/>
      <c r="N1368" s="42"/>
      <c r="O1368" s="42"/>
      <c r="P1368" s="42"/>
      <c r="Q1368" s="42"/>
      <c r="R1368" s="42"/>
      <c r="S1368" s="42"/>
      <c r="T1368" s="42"/>
      <c r="U1368" s="42"/>
      <c r="V1368" s="42"/>
      <c r="W1368" s="42"/>
      <c r="X1368" s="42"/>
      <c r="Y1368" s="42"/>
      <c r="Z1368" s="42"/>
    </row>
    <row r="1369" ht="12.75" customHeight="1">
      <c r="A1369" s="28" t="s">
        <v>3658</v>
      </c>
      <c r="B1369" s="28" t="s">
        <v>487</v>
      </c>
      <c r="C1369" s="42" t="s">
        <v>3659</v>
      </c>
      <c r="D1369" s="42" t="s">
        <v>665</v>
      </c>
      <c r="E1369" s="42" t="s">
        <v>162</v>
      </c>
      <c r="F1369" s="28" t="s">
        <v>3660</v>
      </c>
      <c r="G1369" s="28">
        <v>34.0</v>
      </c>
      <c r="H1369" s="66"/>
      <c r="I1369" s="42"/>
      <c r="J1369" s="42"/>
      <c r="K1369" s="42"/>
      <c r="L1369" s="42"/>
      <c r="M1369" s="42"/>
      <c r="N1369" s="42"/>
      <c r="O1369" s="42"/>
      <c r="P1369" s="42"/>
      <c r="Q1369" s="42"/>
      <c r="R1369" s="42"/>
      <c r="S1369" s="42"/>
      <c r="T1369" s="42"/>
      <c r="U1369" s="42"/>
      <c r="V1369" s="42"/>
      <c r="W1369" s="42"/>
      <c r="X1369" s="42"/>
      <c r="Y1369" s="42"/>
      <c r="Z1369" s="42"/>
    </row>
    <row r="1370" ht="12.75" customHeight="1">
      <c r="A1370" s="28" t="s">
        <v>3661</v>
      </c>
      <c r="B1370" s="28" t="s">
        <v>319</v>
      </c>
      <c r="C1370" s="42" t="s">
        <v>3662</v>
      </c>
      <c r="D1370" s="42" t="s">
        <v>2380</v>
      </c>
      <c r="E1370" s="42" t="s">
        <v>3663</v>
      </c>
      <c r="F1370" s="28" t="s">
        <v>3664</v>
      </c>
      <c r="G1370" s="28">
        <v>33.3</v>
      </c>
      <c r="H1370" s="66"/>
      <c r="I1370" s="42"/>
      <c r="J1370" s="42"/>
      <c r="K1370" s="42"/>
      <c r="L1370" s="42"/>
      <c r="M1370" s="42"/>
      <c r="N1370" s="42"/>
      <c r="O1370" s="42"/>
      <c r="P1370" s="42"/>
      <c r="Q1370" s="42"/>
      <c r="R1370" s="42"/>
      <c r="S1370" s="42"/>
      <c r="T1370" s="42"/>
      <c r="U1370" s="42"/>
      <c r="V1370" s="42"/>
      <c r="W1370" s="42"/>
      <c r="X1370" s="42"/>
      <c r="Y1370" s="42"/>
      <c r="Z1370" s="42"/>
    </row>
    <row r="1371" ht="12.75" customHeight="1">
      <c r="A1371" s="28" t="s">
        <v>425</v>
      </c>
      <c r="B1371" s="28" t="s">
        <v>210</v>
      </c>
      <c r="C1371" s="42" t="s">
        <v>3665</v>
      </c>
      <c r="D1371" s="42" t="s">
        <v>2239</v>
      </c>
      <c r="E1371" s="42" t="s">
        <v>1987</v>
      </c>
      <c r="F1371" s="28" t="s">
        <v>1075</v>
      </c>
      <c r="G1371" s="28">
        <v>19.5</v>
      </c>
      <c r="H1371" s="66"/>
      <c r="I1371" s="42"/>
      <c r="J1371" s="42"/>
      <c r="K1371" s="42"/>
      <c r="L1371" s="42"/>
      <c r="M1371" s="42"/>
      <c r="N1371" s="42"/>
      <c r="O1371" s="42"/>
      <c r="P1371" s="42"/>
      <c r="Q1371" s="42"/>
      <c r="R1371" s="42"/>
      <c r="S1371" s="42"/>
      <c r="T1371" s="42"/>
      <c r="U1371" s="42"/>
      <c r="V1371" s="42"/>
      <c r="W1371" s="42"/>
      <c r="X1371" s="42"/>
      <c r="Y1371" s="42"/>
      <c r="Z1371" s="42"/>
    </row>
    <row r="1372" ht="12.75" customHeight="1">
      <c r="A1372" s="28" t="s">
        <v>585</v>
      </c>
      <c r="B1372" s="28" t="s">
        <v>219</v>
      </c>
      <c r="C1372" s="42" t="s">
        <v>3666</v>
      </c>
      <c r="D1372" s="42" t="s">
        <v>3667</v>
      </c>
      <c r="E1372" s="42" t="s">
        <v>162</v>
      </c>
      <c r="F1372" s="28" t="s">
        <v>3668</v>
      </c>
      <c r="G1372" s="28">
        <v>24.7</v>
      </c>
      <c r="H1372" s="66"/>
      <c r="I1372" s="42"/>
      <c r="J1372" s="42"/>
      <c r="K1372" s="42"/>
      <c r="L1372" s="42"/>
      <c r="M1372" s="42"/>
      <c r="N1372" s="42"/>
      <c r="O1372" s="42"/>
      <c r="P1372" s="42"/>
      <c r="Q1372" s="42"/>
      <c r="R1372" s="42"/>
      <c r="S1372" s="42"/>
      <c r="T1372" s="42"/>
      <c r="U1372" s="42"/>
      <c r="V1372" s="42"/>
      <c r="W1372" s="42"/>
      <c r="X1372" s="42"/>
      <c r="Y1372" s="42"/>
      <c r="Z1372" s="42"/>
    </row>
    <row r="1373" ht="12.75" customHeight="1">
      <c r="A1373" s="28" t="s">
        <v>3669</v>
      </c>
      <c r="B1373" s="28" t="s">
        <v>210</v>
      </c>
      <c r="C1373" s="42" t="s">
        <v>3670</v>
      </c>
      <c r="D1373" s="42" t="s">
        <v>3671</v>
      </c>
      <c r="E1373" s="42" t="s">
        <v>715</v>
      </c>
      <c r="F1373" s="28" t="s">
        <v>640</v>
      </c>
      <c r="G1373" s="28">
        <v>27.7</v>
      </c>
      <c r="H1373" s="66"/>
      <c r="I1373" s="42"/>
      <c r="J1373" s="42"/>
      <c r="K1373" s="42"/>
      <c r="L1373" s="42"/>
      <c r="M1373" s="42"/>
      <c r="N1373" s="42"/>
      <c r="O1373" s="42"/>
      <c r="P1373" s="42"/>
      <c r="Q1373" s="42"/>
      <c r="R1373" s="42"/>
      <c r="S1373" s="42"/>
      <c r="T1373" s="42"/>
      <c r="U1373" s="42"/>
      <c r="V1373" s="42"/>
      <c r="W1373" s="42"/>
      <c r="X1373" s="42"/>
      <c r="Y1373" s="42"/>
      <c r="Z1373" s="42"/>
    </row>
    <row r="1374" ht="12.75" customHeight="1">
      <c r="A1374" s="28" t="s">
        <v>3672</v>
      </c>
      <c r="B1374" s="28" t="s">
        <v>165</v>
      </c>
      <c r="C1374" s="42" t="s">
        <v>3670</v>
      </c>
      <c r="D1374" s="42" t="s">
        <v>3282</v>
      </c>
      <c r="E1374" s="42" t="s">
        <v>168</v>
      </c>
      <c r="F1374" s="28" t="s">
        <v>3244</v>
      </c>
      <c r="G1374" s="28">
        <v>33.1</v>
      </c>
      <c r="H1374" s="66"/>
      <c r="I1374" s="42"/>
      <c r="J1374" s="42"/>
      <c r="K1374" s="42"/>
      <c r="L1374" s="42"/>
      <c r="M1374" s="42"/>
      <c r="N1374" s="42"/>
      <c r="O1374" s="42"/>
      <c r="P1374" s="42"/>
      <c r="Q1374" s="42"/>
      <c r="R1374" s="42"/>
      <c r="S1374" s="42"/>
      <c r="T1374" s="42"/>
      <c r="U1374" s="42"/>
      <c r="V1374" s="42"/>
      <c r="W1374" s="42"/>
      <c r="X1374" s="42"/>
      <c r="Y1374" s="42"/>
      <c r="Z1374" s="42"/>
    </row>
    <row r="1375" ht="12.75" customHeight="1">
      <c r="A1375" s="28" t="s">
        <v>3673</v>
      </c>
      <c r="B1375" s="28" t="s">
        <v>210</v>
      </c>
      <c r="C1375" s="42" t="s">
        <v>3670</v>
      </c>
      <c r="D1375" s="42" t="s">
        <v>1866</v>
      </c>
      <c r="E1375" s="42" t="s">
        <v>162</v>
      </c>
      <c r="F1375" s="28" t="s">
        <v>3674</v>
      </c>
      <c r="G1375" s="28">
        <v>20.9</v>
      </c>
      <c r="H1375" s="66"/>
      <c r="I1375" s="42"/>
      <c r="J1375" s="42"/>
      <c r="K1375" s="42"/>
      <c r="L1375" s="42"/>
      <c r="M1375" s="42"/>
      <c r="N1375" s="42"/>
      <c r="O1375" s="42"/>
      <c r="P1375" s="42"/>
      <c r="Q1375" s="42"/>
      <c r="R1375" s="42"/>
      <c r="S1375" s="42"/>
      <c r="T1375" s="42"/>
      <c r="U1375" s="42"/>
      <c r="V1375" s="42"/>
      <c r="W1375" s="42"/>
      <c r="X1375" s="42"/>
      <c r="Y1375" s="42"/>
      <c r="Z1375" s="42"/>
    </row>
    <row r="1376" ht="12.75" customHeight="1">
      <c r="A1376" s="28" t="s">
        <v>677</v>
      </c>
      <c r="B1376" s="28" t="s">
        <v>159</v>
      </c>
      <c r="C1376" s="42" t="s">
        <v>3675</v>
      </c>
      <c r="D1376" s="42" t="s">
        <v>522</v>
      </c>
      <c r="E1376" s="42" t="s">
        <v>162</v>
      </c>
      <c r="F1376" s="28" t="s">
        <v>3676</v>
      </c>
      <c r="G1376" s="28">
        <v>20.3</v>
      </c>
      <c r="H1376" s="66"/>
      <c r="I1376" s="42"/>
      <c r="J1376" s="42"/>
      <c r="K1376" s="42"/>
      <c r="L1376" s="42"/>
      <c r="M1376" s="42"/>
      <c r="N1376" s="42"/>
      <c r="O1376" s="42"/>
      <c r="P1376" s="42"/>
      <c r="Q1376" s="42"/>
      <c r="R1376" s="42"/>
      <c r="S1376" s="42"/>
      <c r="T1376" s="42"/>
      <c r="U1376" s="42"/>
      <c r="V1376" s="42"/>
      <c r="W1376" s="42"/>
      <c r="X1376" s="42"/>
      <c r="Y1376" s="42"/>
      <c r="Z1376" s="42"/>
    </row>
    <row r="1377" ht="12.75" customHeight="1">
      <c r="A1377" s="28" t="s">
        <v>682</v>
      </c>
      <c r="B1377" s="28" t="s">
        <v>159</v>
      </c>
      <c r="C1377" s="42" t="s">
        <v>3677</v>
      </c>
      <c r="D1377" s="42" t="s">
        <v>224</v>
      </c>
      <c r="E1377" s="42" t="s">
        <v>162</v>
      </c>
      <c r="F1377" s="28" t="s">
        <v>3678</v>
      </c>
      <c r="G1377" s="28">
        <v>25.4</v>
      </c>
      <c r="H1377" s="66"/>
      <c r="I1377" s="42"/>
      <c r="J1377" s="42"/>
      <c r="K1377" s="42"/>
      <c r="L1377" s="42"/>
      <c r="M1377" s="42"/>
      <c r="N1377" s="42"/>
      <c r="O1377" s="42"/>
      <c r="P1377" s="42"/>
      <c r="Q1377" s="42"/>
      <c r="R1377" s="42"/>
      <c r="S1377" s="42"/>
      <c r="T1377" s="42"/>
      <c r="U1377" s="42"/>
      <c r="V1377" s="42"/>
      <c r="W1377" s="42"/>
      <c r="X1377" s="42"/>
      <c r="Y1377" s="42"/>
      <c r="Z1377" s="42"/>
    </row>
    <row r="1378" ht="12.75" customHeight="1">
      <c r="A1378" s="28" t="s">
        <v>682</v>
      </c>
      <c r="B1378" s="28" t="s">
        <v>159</v>
      </c>
      <c r="C1378" s="42" t="s">
        <v>3677</v>
      </c>
      <c r="D1378" s="42" t="s">
        <v>658</v>
      </c>
      <c r="E1378" s="42" t="s">
        <v>162</v>
      </c>
      <c r="F1378" s="28" t="s">
        <v>3679</v>
      </c>
      <c r="G1378" s="28">
        <v>27.3</v>
      </c>
      <c r="H1378" s="66"/>
      <c r="I1378" s="42"/>
      <c r="J1378" s="42"/>
      <c r="K1378" s="42"/>
      <c r="L1378" s="42"/>
      <c r="M1378" s="42"/>
      <c r="N1378" s="42"/>
      <c r="O1378" s="42"/>
      <c r="P1378" s="42"/>
      <c r="Q1378" s="42"/>
      <c r="R1378" s="42"/>
      <c r="S1378" s="42"/>
      <c r="T1378" s="42"/>
      <c r="U1378" s="42"/>
      <c r="V1378" s="42"/>
      <c r="W1378" s="42"/>
      <c r="X1378" s="42"/>
      <c r="Y1378" s="42"/>
      <c r="Z1378" s="42"/>
    </row>
    <row r="1379" ht="12.75" customHeight="1">
      <c r="A1379" s="28" t="s">
        <v>3680</v>
      </c>
      <c r="B1379" s="28" t="s">
        <v>165</v>
      </c>
      <c r="C1379" s="42" t="s">
        <v>3677</v>
      </c>
      <c r="D1379" s="42" t="s">
        <v>354</v>
      </c>
      <c r="E1379" s="42" t="s">
        <v>162</v>
      </c>
      <c r="F1379" s="28" t="s">
        <v>2957</v>
      </c>
      <c r="G1379" s="28">
        <v>21.0</v>
      </c>
      <c r="H1379" s="66"/>
      <c r="I1379" s="42"/>
      <c r="J1379" s="42"/>
      <c r="K1379" s="42"/>
      <c r="L1379" s="42"/>
      <c r="M1379" s="42"/>
      <c r="N1379" s="42"/>
      <c r="O1379" s="42"/>
      <c r="P1379" s="42"/>
      <c r="Q1379" s="42"/>
      <c r="R1379" s="42"/>
      <c r="S1379" s="42"/>
      <c r="T1379" s="42"/>
      <c r="U1379" s="42"/>
      <c r="V1379" s="42"/>
      <c r="W1379" s="42"/>
      <c r="X1379" s="42"/>
      <c r="Y1379" s="42"/>
      <c r="Z1379" s="42"/>
    </row>
    <row r="1380" ht="12.75" customHeight="1">
      <c r="A1380" s="28" t="s">
        <v>196</v>
      </c>
      <c r="B1380" s="28" t="s">
        <v>159</v>
      </c>
      <c r="C1380" s="42" t="s">
        <v>3681</v>
      </c>
      <c r="D1380" s="42" t="s">
        <v>3682</v>
      </c>
      <c r="E1380" s="42" t="s">
        <v>1312</v>
      </c>
      <c r="F1380" s="28" t="s">
        <v>2255</v>
      </c>
      <c r="G1380" s="28">
        <v>30.2</v>
      </c>
      <c r="H1380" s="66"/>
      <c r="I1380" s="42"/>
      <c r="J1380" s="42"/>
      <c r="K1380" s="42"/>
      <c r="L1380" s="42"/>
      <c r="M1380" s="42"/>
      <c r="N1380" s="42"/>
      <c r="O1380" s="42"/>
      <c r="P1380" s="42"/>
      <c r="Q1380" s="42"/>
      <c r="R1380" s="42"/>
      <c r="S1380" s="42"/>
      <c r="T1380" s="42"/>
      <c r="U1380" s="42"/>
      <c r="V1380" s="42"/>
      <c r="W1380" s="42"/>
      <c r="X1380" s="42"/>
      <c r="Y1380" s="42"/>
      <c r="Z1380" s="42"/>
    </row>
    <row r="1381" ht="12.75" customHeight="1">
      <c r="A1381" s="28" t="s">
        <v>257</v>
      </c>
      <c r="B1381" s="28" t="s">
        <v>165</v>
      </c>
      <c r="C1381" s="42" t="s">
        <v>3683</v>
      </c>
      <c r="D1381" s="42" t="s">
        <v>1145</v>
      </c>
      <c r="E1381" s="42" t="s">
        <v>3684</v>
      </c>
      <c r="F1381" s="28" t="s">
        <v>3685</v>
      </c>
      <c r="G1381" s="28">
        <v>25.9</v>
      </c>
      <c r="H1381" s="66"/>
      <c r="I1381" s="42"/>
      <c r="J1381" s="42"/>
      <c r="K1381" s="42"/>
      <c r="L1381" s="42"/>
      <c r="M1381" s="42"/>
      <c r="N1381" s="42"/>
      <c r="O1381" s="42"/>
      <c r="P1381" s="42"/>
      <c r="Q1381" s="42"/>
      <c r="R1381" s="42"/>
      <c r="S1381" s="42"/>
      <c r="T1381" s="42"/>
      <c r="U1381" s="42"/>
      <c r="V1381" s="42"/>
      <c r="W1381" s="42"/>
      <c r="X1381" s="42"/>
      <c r="Y1381" s="42"/>
      <c r="Z1381" s="42"/>
    </row>
    <row r="1382" ht="12.75" customHeight="1">
      <c r="A1382" s="28" t="s">
        <v>288</v>
      </c>
      <c r="B1382" s="28" t="s">
        <v>165</v>
      </c>
      <c r="C1382" s="42" t="s">
        <v>3686</v>
      </c>
      <c r="D1382" s="42" t="s">
        <v>3282</v>
      </c>
      <c r="E1382" s="42" t="s">
        <v>1412</v>
      </c>
      <c r="F1382" s="28" t="s">
        <v>3687</v>
      </c>
      <c r="G1382" s="28">
        <v>27.4</v>
      </c>
      <c r="H1382" s="66"/>
      <c r="I1382" s="42"/>
      <c r="J1382" s="42"/>
      <c r="K1382" s="42"/>
      <c r="L1382" s="42"/>
      <c r="M1382" s="42"/>
      <c r="N1382" s="42"/>
      <c r="O1382" s="42"/>
      <c r="P1382" s="42"/>
      <c r="Q1382" s="42"/>
      <c r="R1382" s="42"/>
      <c r="S1382" s="42"/>
      <c r="T1382" s="42"/>
      <c r="U1382" s="42"/>
      <c r="V1382" s="42"/>
      <c r="W1382" s="42"/>
      <c r="X1382" s="42"/>
      <c r="Y1382" s="42"/>
      <c r="Z1382" s="42"/>
    </row>
    <row r="1383" ht="12.75" customHeight="1">
      <c r="A1383" s="28" t="s">
        <v>3688</v>
      </c>
      <c r="B1383" s="28" t="s">
        <v>876</v>
      </c>
      <c r="C1383" s="42" t="s">
        <v>3689</v>
      </c>
      <c r="D1383" s="42" t="s">
        <v>813</v>
      </c>
      <c r="E1383" s="42" t="s">
        <v>162</v>
      </c>
      <c r="F1383" s="28" t="s">
        <v>3690</v>
      </c>
      <c r="G1383" s="28">
        <v>37.8</v>
      </c>
      <c r="H1383" s="66"/>
      <c r="I1383" s="42"/>
      <c r="J1383" s="42"/>
      <c r="K1383" s="42"/>
      <c r="L1383" s="42"/>
      <c r="M1383" s="42"/>
      <c r="N1383" s="42"/>
      <c r="O1383" s="42"/>
      <c r="P1383" s="42"/>
      <c r="Q1383" s="42"/>
      <c r="R1383" s="42"/>
      <c r="S1383" s="42"/>
      <c r="T1383" s="42"/>
      <c r="U1383" s="42"/>
      <c r="V1383" s="42"/>
      <c r="W1383" s="42"/>
      <c r="X1383" s="42"/>
      <c r="Y1383" s="42"/>
      <c r="Z1383" s="42"/>
    </row>
    <row r="1384" ht="12.75" customHeight="1">
      <c r="A1384" s="28" t="s">
        <v>3691</v>
      </c>
      <c r="B1384" s="28" t="s">
        <v>165</v>
      </c>
      <c r="C1384" s="42" t="s">
        <v>3692</v>
      </c>
      <c r="D1384" s="42" t="s">
        <v>401</v>
      </c>
      <c r="E1384" s="42" t="s">
        <v>162</v>
      </c>
      <c r="F1384" s="28" t="s">
        <v>2098</v>
      </c>
      <c r="G1384" s="28">
        <v>24.2</v>
      </c>
      <c r="H1384" s="66"/>
      <c r="I1384" s="42"/>
      <c r="J1384" s="42"/>
      <c r="K1384" s="42"/>
      <c r="L1384" s="42"/>
      <c r="M1384" s="42"/>
      <c r="N1384" s="42"/>
      <c r="O1384" s="42"/>
      <c r="P1384" s="42"/>
      <c r="Q1384" s="42"/>
      <c r="R1384" s="42"/>
      <c r="S1384" s="42"/>
      <c r="T1384" s="42"/>
      <c r="U1384" s="42"/>
      <c r="V1384" s="42"/>
      <c r="W1384" s="42"/>
      <c r="X1384" s="42"/>
      <c r="Y1384" s="42"/>
      <c r="Z1384" s="42"/>
    </row>
    <row r="1385" ht="12.75" customHeight="1">
      <c r="A1385" s="28" t="s">
        <v>3693</v>
      </c>
      <c r="B1385" s="28" t="s">
        <v>165</v>
      </c>
      <c r="C1385" s="42" t="s">
        <v>3694</v>
      </c>
      <c r="D1385" s="42" t="s">
        <v>939</v>
      </c>
      <c r="E1385" s="42" t="s">
        <v>2538</v>
      </c>
      <c r="F1385" s="28" t="s">
        <v>3695</v>
      </c>
      <c r="G1385" s="28">
        <v>28.3</v>
      </c>
      <c r="H1385" s="66"/>
      <c r="I1385" s="42"/>
      <c r="J1385" s="42"/>
      <c r="K1385" s="42"/>
      <c r="L1385" s="42"/>
      <c r="M1385" s="42"/>
      <c r="N1385" s="42"/>
      <c r="O1385" s="42"/>
      <c r="P1385" s="42"/>
      <c r="Q1385" s="42"/>
      <c r="R1385" s="42"/>
      <c r="S1385" s="42"/>
      <c r="T1385" s="42"/>
      <c r="U1385" s="42"/>
      <c r="V1385" s="42"/>
      <c r="W1385" s="42"/>
      <c r="X1385" s="42"/>
      <c r="Y1385" s="42"/>
      <c r="Z1385" s="42"/>
    </row>
    <row r="1386" ht="12.75" customHeight="1">
      <c r="A1386" s="28" t="s">
        <v>3696</v>
      </c>
      <c r="B1386" s="28" t="s">
        <v>165</v>
      </c>
      <c r="C1386" s="42" t="s">
        <v>3697</v>
      </c>
      <c r="D1386" s="42" t="s">
        <v>171</v>
      </c>
      <c r="E1386" s="42" t="s">
        <v>172</v>
      </c>
      <c r="F1386" s="28" t="s">
        <v>1649</v>
      </c>
      <c r="G1386" s="28">
        <v>33.8</v>
      </c>
      <c r="H1386" s="66"/>
      <c r="I1386" s="42"/>
      <c r="J1386" s="42"/>
      <c r="K1386" s="42"/>
      <c r="L1386" s="42"/>
      <c r="M1386" s="42"/>
      <c r="N1386" s="42"/>
      <c r="O1386" s="42"/>
      <c r="P1386" s="42"/>
      <c r="Q1386" s="42"/>
      <c r="R1386" s="42"/>
      <c r="S1386" s="42"/>
      <c r="T1386" s="42"/>
      <c r="U1386" s="42"/>
      <c r="V1386" s="42"/>
      <c r="W1386" s="42"/>
      <c r="X1386" s="42"/>
      <c r="Y1386" s="42"/>
      <c r="Z1386" s="42"/>
    </row>
    <row r="1387" ht="12.75" customHeight="1">
      <c r="A1387" s="28" t="s">
        <v>406</v>
      </c>
      <c r="B1387" s="28" t="s">
        <v>159</v>
      </c>
      <c r="C1387" s="42" t="s">
        <v>3698</v>
      </c>
      <c r="D1387" s="42" t="s">
        <v>1814</v>
      </c>
      <c r="E1387" s="42" t="s">
        <v>2093</v>
      </c>
      <c r="F1387" s="28" t="s">
        <v>3440</v>
      </c>
      <c r="G1387" s="28">
        <v>30.8</v>
      </c>
      <c r="H1387" s="66"/>
      <c r="I1387" s="42"/>
      <c r="J1387" s="42"/>
      <c r="K1387" s="42"/>
      <c r="L1387" s="42"/>
      <c r="M1387" s="42"/>
      <c r="N1387" s="42"/>
      <c r="O1387" s="42"/>
      <c r="P1387" s="42"/>
      <c r="Q1387" s="42"/>
      <c r="R1387" s="42"/>
      <c r="S1387" s="42"/>
      <c r="T1387" s="42"/>
      <c r="U1387" s="42"/>
      <c r="V1387" s="42"/>
      <c r="W1387" s="42"/>
      <c r="X1387" s="42"/>
      <c r="Y1387" s="42"/>
      <c r="Z1387" s="42"/>
    </row>
    <row r="1388" ht="12.75" customHeight="1">
      <c r="A1388" s="28" t="s">
        <v>372</v>
      </c>
      <c r="B1388" s="28" t="s">
        <v>159</v>
      </c>
      <c r="C1388" s="42" t="s">
        <v>3699</v>
      </c>
      <c r="D1388" s="42" t="s">
        <v>259</v>
      </c>
      <c r="E1388" s="42" t="s">
        <v>162</v>
      </c>
      <c r="F1388" s="28" t="s">
        <v>3700</v>
      </c>
      <c r="G1388" s="28">
        <v>22.9</v>
      </c>
      <c r="H1388" s="66"/>
      <c r="I1388" s="42"/>
      <c r="J1388" s="42"/>
      <c r="K1388" s="42"/>
      <c r="L1388" s="42"/>
      <c r="M1388" s="42"/>
      <c r="N1388" s="42"/>
      <c r="O1388" s="42"/>
      <c r="P1388" s="42"/>
      <c r="Q1388" s="42"/>
      <c r="R1388" s="42"/>
      <c r="S1388" s="42"/>
      <c r="T1388" s="42"/>
      <c r="U1388" s="42"/>
      <c r="V1388" s="42"/>
      <c r="W1388" s="42"/>
      <c r="X1388" s="42"/>
      <c r="Y1388" s="42"/>
      <c r="Z1388" s="42"/>
    </row>
    <row r="1389" ht="12.75" customHeight="1">
      <c r="A1389" s="28" t="s">
        <v>218</v>
      </c>
      <c r="B1389" s="28" t="s">
        <v>219</v>
      </c>
      <c r="C1389" s="42" t="s">
        <v>3699</v>
      </c>
      <c r="D1389" s="42" t="s">
        <v>691</v>
      </c>
      <c r="E1389" s="42" t="s">
        <v>3701</v>
      </c>
      <c r="F1389" s="28" t="s">
        <v>3702</v>
      </c>
      <c r="G1389" s="28">
        <v>18.2</v>
      </c>
      <c r="H1389" s="66"/>
      <c r="I1389" s="42"/>
      <c r="J1389" s="42"/>
      <c r="K1389" s="42"/>
      <c r="L1389" s="42"/>
      <c r="M1389" s="42"/>
      <c r="N1389" s="42"/>
      <c r="O1389" s="42"/>
      <c r="P1389" s="42"/>
      <c r="Q1389" s="42"/>
      <c r="R1389" s="42"/>
      <c r="S1389" s="42"/>
      <c r="T1389" s="42"/>
      <c r="U1389" s="42"/>
      <c r="V1389" s="42"/>
      <c r="W1389" s="42"/>
      <c r="X1389" s="42"/>
      <c r="Y1389" s="42"/>
      <c r="Z1389" s="42"/>
    </row>
    <row r="1390" ht="12.75" customHeight="1">
      <c r="A1390" s="28" t="s">
        <v>442</v>
      </c>
      <c r="B1390" s="28" t="s">
        <v>165</v>
      </c>
      <c r="C1390" s="42" t="s">
        <v>3703</v>
      </c>
      <c r="D1390" s="42" t="s">
        <v>611</v>
      </c>
      <c r="E1390" s="42" t="s">
        <v>156</v>
      </c>
      <c r="F1390" s="28" t="s">
        <v>3704</v>
      </c>
      <c r="G1390" s="28">
        <v>24.6</v>
      </c>
      <c r="H1390" s="66"/>
      <c r="I1390" s="42"/>
      <c r="J1390" s="42"/>
      <c r="K1390" s="42"/>
      <c r="L1390" s="42"/>
      <c r="M1390" s="42"/>
      <c r="N1390" s="42"/>
      <c r="O1390" s="42"/>
      <c r="P1390" s="42"/>
      <c r="Q1390" s="42"/>
      <c r="R1390" s="42"/>
      <c r="S1390" s="42"/>
      <c r="T1390" s="42"/>
      <c r="U1390" s="42"/>
      <c r="V1390" s="42"/>
      <c r="W1390" s="42"/>
      <c r="X1390" s="42"/>
      <c r="Y1390" s="42"/>
      <c r="Z1390" s="42"/>
    </row>
    <row r="1391" ht="12.75" customHeight="1">
      <c r="A1391" s="28" t="s">
        <v>390</v>
      </c>
      <c r="B1391" s="28" t="s">
        <v>215</v>
      </c>
      <c r="C1391" s="42" t="s">
        <v>3705</v>
      </c>
      <c r="D1391" s="42" t="s">
        <v>298</v>
      </c>
      <c r="E1391" s="42" t="s">
        <v>162</v>
      </c>
      <c r="F1391" s="28" t="s">
        <v>3706</v>
      </c>
      <c r="G1391" s="28">
        <v>19.9</v>
      </c>
      <c r="H1391" s="66"/>
      <c r="I1391" s="42"/>
      <c r="J1391" s="42"/>
      <c r="K1391" s="42"/>
      <c r="L1391" s="42"/>
      <c r="M1391" s="42"/>
      <c r="N1391" s="42"/>
      <c r="O1391" s="42"/>
      <c r="P1391" s="42"/>
      <c r="Q1391" s="42"/>
      <c r="R1391" s="42"/>
      <c r="S1391" s="42"/>
      <c r="T1391" s="42"/>
      <c r="U1391" s="42"/>
      <c r="V1391" s="42"/>
      <c r="W1391" s="42"/>
      <c r="X1391" s="42"/>
      <c r="Y1391" s="42"/>
      <c r="Z1391" s="42"/>
    </row>
    <row r="1392" ht="12.75" customHeight="1">
      <c r="A1392" s="28" t="s">
        <v>3707</v>
      </c>
      <c r="B1392" s="28" t="s">
        <v>165</v>
      </c>
      <c r="C1392" s="42" t="s">
        <v>3708</v>
      </c>
      <c r="D1392" s="42" t="s">
        <v>240</v>
      </c>
      <c r="E1392" s="42" t="s">
        <v>162</v>
      </c>
      <c r="F1392" s="28" t="s">
        <v>3709</v>
      </c>
      <c r="G1392" s="28">
        <v>21.8</v>
      </c>
      <c r="H1392" s="66"/>
      <c r="I1392" s="42"/>
      <c r="J1392" s="42"/>
      <c r="K1392" s="42"/>
      <c r="L1392" s="42"/>
      <c r="M1392" s="42"/>
      <c r="N1392" s="42"/>
      <c r="O1392" s="42"/>
      <c r="P1392" s="42"/>
      <c r="Q1392" s="42"/>
      <c r="R1392" s="42"/>
      <c r="S1392" s="42"/>
      <c r="T1392" s="42"/>
      <c r="U1392" s="42"/>
      <c r="V1392" s="42"/>
      <c r="W1392" s="42"/>
      <c r="X1392" s="42"/>
      <c r="Y1392" s="42"/>
      <c r="Z1392" s="42"/>
    </row>
    <row r="1393" ht="12.75" customHeight="1">
      <c r="A1393" s="28" t="s">
        <v>3710</v>
      </c>
      <c r="B1393" s="28" t="s">
        <v>165</v>
      </c>
      <c r="C1393" s="42" t="s">
        <v>3711</v>
      </c>
      <c r="D1393" s="42" t="s">
        <v>3712</v>
      </c>
      <c r="E1393" s="42" t="s">
        <v>162</v>
      </c>
      <c r="F1393" s="28" t="s">
        <v>786</v>
      </c>
      <c r="G1393" s="28">
        <v>31.6</v>
      </c>
      <c r="H1393" s="66"/>
      <c r="I1393" s="42"/>
      <c r="J1393" s="42"/>
      <c r="K1393" s="42"/>
      <c r="L1393" s="42"/>
      <c r="M1393" s="42"/>
      <c r="N1393" s="42"/>
      <c r="O1393" s="42"/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</row>
    <row r="1394" ht="12.75" customHeight="1">
      <c r="A1394" s="28" t="s">
        <v>577</v>
      </c>
      <c r="B1394" s="28" t="s">
        <v>159</v>
      </c>
      <c r="C1394" s="42" t="s">
        <v>3713</v>
      </c>
      <c r="D1394" s="42" t="s">
        <v>1164</v>
      </c>
      <c r="E1394" s="42" t="s">
        <v>700</v>
      </c>
      <c r="F1394" s="28" t="s">
        <v>723</v>
      </c>
      <c r="G1394" s="28">
        <v>33.0</v>
      </c>
      <c r="H1394" s="66"/>
      <c r="I1394" s="42"/>
      <c r="J1394" s="42"/>
      <c r="K1394" s="42"/>
      <c r="L1394" s="42"/>
      <c r="M1394" s="42"/>
      <c r="N1394" s="42"/>
      <c r="O1394" s="42"/>
      <c r="P1394" s="42"/>
      <c r="Q1394" s="42"/>
      <c r="R1394" s="42"/>
      <c r="S1394" s="42"/>
      <c r="T1394" s="42"/>
      <c r="U1394" s="42"/>
      <c r="V1394" s="42"/>
      <c r="W1394" s="42"/>
      <c r="X1394" s="42"/>
      <c r="Y1394" s="42"/>
      <c r="Z1394" s="42"/>
    </row>
    <row r="1395" ht="12.75" customHeight="1">
      <c r="A1395" s="28" t="s">
        <v>1036</v>
      </c>
      <c r="B1395" s="28" t="s">
        <v>159</v>
      </c>
      <c r="C1395" s="42" t="s">
        <v>3714</v>
      </c>
      <c r="D1395" s="42" t="s">
        <v>976</v>
      </c>
      <c r="E1395" s="42" t="s">
        <v>974</v>
      </c>
      <c r="F1395" s="28" t="s">
        <v>3715</v>
      </c>
      <c r="G1395" s="28">
        <v>32.7</v>
      </c>
      <c r="H1395" s="66"/>
      <c r="I1395" s="42"/>
      <c r="J1395" s="42"/>
      <c r="K1395" s="42"/>
      <c r="L1395" s="42"/>
      <c r="M1395" s="42"/>
      <c r="N1395" s="42"/>
      <c r="O1395" s="42"/>
      <c r="P1395" s="42"/>
      <c r="Q1395" s="42"/>
      <c r="R1395" s="42"/>
      <c r="S1395" s="42"/>
      <c r="T1395" s="42"/>
      <c r="U1395" s="42"/>
      <c r="V1395" s="42"/>
      <c r="W1395" s="42"/>
      <c r="X1395" s="42"/>
      <c r="Y1395" s="42"/>
      <c r="Z1395" s="42"/>
    </row>
    <row r="1396" ht="12.75" customHeight="1">
      <c r="A1396" s="28" t="s">
        <v>206</v>
      </c>
      <c r="B1396" s="28" t="s">
        <v>165</v>
      </c>
      <c r="C1396" s="42" t="s">
        <v>3716</v>
      </c>
      <c r="D1396" s="42" t="s">
        <v>240</v>
      </c>
      <c r="E1396" s="42" t="s">
        <v>1524</v>
      </c>
      <c r="F1396" s="28" t="s">
        <v>3717</v>
      </c>
      <c r="G1396" s="28">
        <v>27.8</v>
      </c>
      <c r="H1396" s="66"/>
      <c r="I1396" s="42"/>
      <c r="J1396" s="42"/>
      <c r="K1396" s="42"/>
      <c r="L1396" s="42"/>
      <c r="M1396" s="42"/>
      <c r="N1396" s="42"/>
      <c r="O1396" s="42"/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</row>
    <row r="1397" ht="12.75" customHeight="1">
      <c r="A1397" s="28" t="s">
        <v>3718</v>
      </c>
      <c r="B1397" s="28" t="s">
        <v>165</v>
      </c>
      <c r="C1397" s="42" t="s">
        <v>3719</v>
      </c>
      <c r="D1397" s="42" t="s">
        <v>447</v>
      </c>
      <c r="E1397" s="42" t="s">
        <v>316</v>
      </c>
      <c r="F1397" s="28" t="s">
        <v>3369</v>
      </c>
      <c r="G1397" s="28">
        <v>30.9</v>
      </c>
      <c r="H1397" s="66"/>
      <c r="I1397" s="42"/>
      <c r="J1397" s="42"/>
      <c r="K1397" s="42"/>
      <c r="L1397" s="42"/>
      <c r="M1397" s="42"/>
      <c r="N1397" s="42"/>
      <c r="O1397" s="42"/>
      <c r="P1397" s="42"/>
      <c r="Q1397" s="42"/>
      <c r="R1397" s="42"/>
      <c r="S1397" s="42"/>
      <c r="T1397" s="42"/>
      <c r="U1397" s="42"/>
      <c r="V1397" s="42"/>
      <c r="W1397" s="42"/>
      <c r="X1397" s="42"/>
      <c r="Y1397" s="42"/>
      <c r="Z1397" s="42"/>
    </row>
    <row r="1398" ht="12.75" customHeight="1">
      <c r="A1398" s="28" t="s">
        <v>3720</v>
      </c>
      <c r="B1398" s="28" t="s">
        <v>210</v>
      </c>
      <c r="C1398" s="42" t="s">
        <v>3721</v>
      </c>
      <c r="D1398" s="42" t="s">
        <v>2627</v>
      </c>
      <c r="E1398" s="42" t="s">
        <v>162</v>
      </c>
      <c r="F1398" s="28" t="s">
        <v>3722</v>
      </c>
      <c r="G1398" s="28">
        <v>24.1</v>
      </c>
      <c r="H1398" s="66"/>
      <c r="I1398" s="42"/>
      <c r="J1398" s="42"/>
      <c r="K1398" s="42"/>
      <c r="L1398" s="42"/>
      <c r="M1398" s="42"/>
      <c r="N1398" s="42"/>
      <c r="O1398" s="42"/>
      <c r="P1398" s="42"/>
      <c r="Q1398" s="42"/>
      <c r="R1398" s="42"/>
      <c r="S1398" s="42"/>
      <c r="T1398" s="42"/>
      <c r="U1398" s="42"/>
      <c r="V1398" s="42"/>
      <c r="W1398" s="42"/>
      <c r="X1398" s="42"/>
      <c r="Y1398" s="42"/>
      <c r="Z1398" s="42"/>
    </row>
    <row r="1399" ht="12.75" customHeight="1">
      <c r="A1399" s="28" t="s">
        <v>762</v>
      </c>
      <c r="B1399" s="28" t="s">
        <v>159</v>
      </c>
      <c r="C1399" s="42" t="s">
        <v>3723</v>
      </c>
      <c r="D1399" s="42" t="s">
        <v>240</v>
      </c>
      <c r="E1399" s="42" t="s">
        <v>764</v>
      </c>
      <c r="F1399" s="28" t="s">
        <v>3724</v>
      </c>
      <c r="G1399" s="28">
        <v>24.0</v>
      </c>
      <c r="H1399" s="66"/>
      <c r="I1399" s="42"/>
      <c r="J1399" s="42"/>
      <c r="K1399" s="42"/>
      <c r="L1399" s="42"/>
      <c r="M1399" s="42"/>
      <c r="N1399" s="42"/>
      <c r="O1399" s="42"/>
      <c r="P1399" s="42"/>
      <c r="Q1399" s="42"/>
      <c r="R1399" s="42"/>
      <c r="S1399" s="42"/>
      <c r="T1399" s="42"/>
      <c r="U1399" s="42"/>
      <c r="V1399" s="42"/>
      <c r="W1399" s="42"/>
      <c r="X1399" s="42"/>
      <c r="Y1399" s="42"/>
      <c r="Z1399" s="42"/>
    </row>
    <row r="1400" ht="12.75" customHeight="1">
      <c r="A1400" s="28" t="s">
        <v>3725</v>
      </c>
      <c r="B1400" s="28" t="s">
        <v>210</v>
      </c>
      <c r="C1400" s="42" t="s">
        <v>3726</v>
      </c>
      <c r="D1400" s="42" t="s">
        <v>630</v>
      </c>
      <c r="E1400" s="42" t="s">
        <v>653</v>
      </c>
      <c r="F1400" s="28" t="s">
        <v>3727</v>
      </c>
      <c r="G1400" s="28">
        <v>23.7</v>
      </c>
      <c r="H1400" s="66"/>
      <c r="I1400" s="42"/>
      <c r="J1400" s="42"/>
      <c r="K1400" s="42"/>
      <c r="L1400" s="42"/>
      <c r="M1400" s="42"/>
      <c r="N1400" s="42"/>
      <c r="O1400" s="42"/>
      <c r="P1400" s="42"/>
      <c r="Q1400" s="42"/>
      <c r="R1400" s="42"/>
      <c r="S1400" s="42"/>
      <c r="T1400" s="42"/>
      <c r="U1400" s="42"/>
      <c r="V1400" s="42"/>
      <c r="W1400" s="42"/>
      <c r="X1400" s="42"/>
      <c r="Y1400" s="42"/>
      <c r="Z1400" s="42"/>
    </row>
    <row r="1401" ht="12.75" customHeight="1">
      <c r="A1401" s="28" t="s">
        <v>923</v>
      </c>
      <c r="B1401" s="28" t="s">
        <v>165</v>
      </c>
      <c r="C1401" s="42" t="s">
        <v>3728</v>
      </c>
      <c r="D1401" s="42" t="s">
        <v>586</v>
      </c>
      <c r="E1401" s="42" t="s">
        <v>2159</v>
      </c>
      <c r="F1401" s="28" t="s">
        <v>3729</v>
      </c>
      <c r="G1401" s="28">
        <v>26.8</v>
      </c>
      <c r="H1401" s="66"/>
      <c r="I1401" s="42"/>
      <c r="J1401" s="42"/>
      <c r="K1401" s="42"/>
      <c r="L1401" s="42"/>
      <c r="M1401" s="42"/>
      <c r="N1401" s="42"/>
      <c r="O1401" s="42"/>
      <c r="P1401" s="42"/>
      <c r="Q1401" s="42"/>
      <c r="R1401" s="42"/>
      <c r="S1401" s="42"/>
      <c r="T1401" s="42"/>
      <c r="U1401" s="42"/>
      <c r="V1401" s="42"/>
      <c r="W1401" s="42"/>
      <c r="X1401" s="42"/>
      <c r="Y1401" s="42"/>
      <c r="Z1401" s="42"/>
    </row>
    <row r="1402" ht="12.75" customHeight="1">
      <c r="A1402" s="28" t="s">
        <v>636</v>
      </c>
      <c r="B1402" s="28" t="s">
        <v>602</v>
      </c>
      <c r="C1402" s="42" t="s">
        <v>3728</v>
      </c>
      <c r="D1402" s="42" t="s">
        <v>603</v>
      </c>
      <c r="E1402" s="42" t="s">
        <v>2159</v>
      </c>
      <c r="F1402" s="28" t="s">
        <v>3730</v>
      </c>
      <c r="G1402" s="28">
        <v>26.3</v>
      </c>
      <c r="H1402" s="66"/>
      <c r="I1402" s="42"/>
      <c r="J1402" s="42"/>
      <c r="K1402" s="42"/>
      <c r="L1402" s="42"/>
      <c r="M1402" s="42"/>
      <c r="N1402" s="42"/>
      <c r="O1402" s="42"/>
      <c r="P1402" s="42"/>
      <c r="Q1402" s="42"/>
      <c r="R1402" s="42"/>
      <c r="S1402" s="42"/>
      <c r="T1402" s="42"/>
      <c r="U1402" s="42"/>
      <c r="V1402" s="42"/>
      <c r="W1402" s="42"/>
      <c r="X1402" s="42"/>
      <c r="Y1402" s="42"/>
      <c r="Z1402" s="42"/>
    </row>
    <row r="1403" ht="12.75" customHeight="1">
      <c r="A1403" s="28" t="s">
        <v>729</v>
      </c>
      <c r="B1403" s="28" t="s">
        <v>159</v>
      </c>
      <c r="C1403" s="42" t="s">
        <v>3731</v>
      </c>
      <c r="D1403" s="42" t="s">
        <v>240</v>
      </c>
      <c r="E1403" s="42" t="s">
        <v>732</v>
      </c>
      <c r="F1403" s="28" t="s">
        <v>733</v>
      </c>
      <c r="G1403" s="28">
        <v>26.3</v>
      </c>
      <c r="H1403" s="66"/>
      <c r="I1403" s="42"/>
      <c r="J1403" s="42"/>
      <c r="K1403" s="42"/>
      <c r="L1403" s="42"/>
      <c r="M1403" s="42"/>
      <c r="N1403" s="42"/>
      <c r="O1403" s="42"/>
      <c r="P1403" s="42"/>
      <c r="Q1403" s="42"/>
      <c r="R1403" s="42"/>
      <c r="S1403" s="42"/>
      <c r="T1403" s="42"/>
      <c r="U1403" s="42"/>
      <c r="V1403" s="42"/>
      <c r="W1403" s="42"/>
      <c r="X1403" s="42"/>
      <c r="Y1403" s="42"/>
      <c r="Z1403" s="42"/>
    </row>
    <row r="1404" ht="12.75" customHeight="1">
      <c r="A1404" s="28" t="s">
        <v>158</v>
      </c>
      <c r="B1404" s="28" t="s">
        <v>159</v>
      </c>
      <c r="C1404" s="42" t="s">
        <v>3732</v>
      </c>
      <c r="D1404" s="42" t="s">
        <v>603</v>
      </c>
      <c r="E1404" s="42" t="s">
        <v>322</v>
      </c>
      <c r="F1404" s="28" t="s">
        <v>3733</v>
      </c>
      <c r="G1404" s="28">
        <v>36.5</v>
      </c>
      <c r="H1404" s="66"/>
      <c r="I1404" s="42"/>
      <c r="J1404" s="42"/>
      <c r="K1404" s="42"/>
      <c r="L1404" s="42"/>
      <c r="M1404" s="42"/>
      <c r="N1404" s="42"/>
      <c r="O1404" s="42"/>
      <c r="P1404" s="42"/>
      <c r="Q1404" s="42"/>
      <c r="R1404" s="42"/>
      <c r="S1404" s="42"/>
      <c r="T1404" s="42"/>
      <c r="U1404" s="42"/>
      <c r="V1404" s="42"/>
      <c r="W1404" s="42"/>
      <c r="X1404" s="42"/>
      <c r="Y1404" s="42"/>
      <c r="Z1404" s="42"/>
    </row>
    <row r="1405" ht="12.75" customHeight="1">
      <c r="A1405" s="28" t="s">
        <v>3734</v>
      </c>
      <c r="B1405" s="28" t="s">
        <v>165</v>
      </c>
      <c r="C1405" s="42" t="s">
        <v>3735</v>
      </c>
      <c r="D1405" s="42" t="s">
        <v>642</v>
      </c>
      <c r="E1405" s="42" t="s">
        <v>255</v>
      </c>
      <c r="F1405" s="28" t="s">
        <v>3736</v>
      </c>
      <c r="G1405" s="28">
        <v>25.8</v>
      </c>
      <c r="H1405" s="66"/>
      <c r="I1405" s="42"/>
      <c r="J1405" s="42"/>
      <c r="K1405" s="42"/>
      <c r="L1405" s="42"/>
      <c r="M1405" s="42"/>
      <c r="N1405" s="42"/>
      <c r="O1405" s="42"/>
      <c r="P1405" s="42"/>
      <c r="Q1405" s="42"/>
      <c r="R1405" s="42"/>
      <c r="S1405" s="42"/>
      <c r="T1405" s="42"/>
      <c r="U1405" s="42"/>
      <c r="V1405" s="42"/>
      <c r="W1405" s="42"/>
      <c r="X1405" s="42"/>
      <c r="Y1405" s="42"/>
      <c r="Z1405" s="42"/>
    </row>
    <row r="1406" ht="12.75" customHeight="1">
      <c r="A1406" s="28" t="s">
        <v>442</v>
      </c>
      <c r="B1406" s="28" t="s">
        <v>210</v>
      </c>
      <c r="C1406" s="42" t="s">
        <v>3737</v>
      </c>
      <c r="D1406" s="42" t="s">
        <v>3737</v>
      </c>
      <c r="E1406" s="42" t="s">
        <v>3738</v>
      </c>
      <c r="F1406" s="28" t="s">
        <v>3739</v>
      </c>
      <c r="G1406" s="28">
        <v>24.6</v>
      </c>
      <c r="H1406" s="66"/>
      <c r="I1406" s="42"/>
      <c r="J1406" s="42"/>
      <c r="K1406" s="42"/>
      <c r="L1406" s="42"/>
      <c r="M1406" s="42"/>
      <c r="N1406" s="42"/>
      <c r="O1406" s="42"/>
      <c r="P1406" s="42"/>
      <c r="Q1406" s="42"/>
      <c r="R1406" s="42"/>
      <c r="S1406" s="42"/>
      <c r="T1406" s="42"/>
      <c r="U1406" s="42"/>
      <c r="V1406" s="42"/>
      <c r="W1406" s="42"/>
      <c r="X1406" s="42"/>
      <c r="Y1406" s="42"/>
      <c r="Z1406" s="42"/>
    </row>
    <row r="1407" ht="12.75" customHeight="1">
      <c r="A1407" s="28" t="s">
        <v>3740</v>
      </c>
      <c r="B1407" s="28" t="s">
        <v>210</v>
      </c>
      <c r="C1407" s="42" t="s">
        <v>3741</v>
      </c>
      <c r="D1407" s="42" t="s">
        <v>2633</v>
      </c>
      <c r="E1407" s="42" t="s">
        <v>172</v>
      </c>
      <c r="F1407" s="28" t="s">
        <v>3560</v>
      </c>
      <c r="G1407" s="28">
        <v>21.5</v>
      </c>
      <c r="H1407" s="66"/>
      <c r="I1407" s="42"/>
      <c r="J1407" s="42"/>
      <c r="K1407" s="42"/>
      <c r="L1407" s="42"/>
      <c r="M1407" s="42"/>
      <c r="N1407" s="42"/>
      <c r="O1407" s="42"/>
      <c r="P1407" s="42"/>
      <c r="Q1407" s="42"/>
      <c r="R1407" s="42"/>
      <c r="S1407" s="42"/>
      <c r="T1407" s="42"/>
      <c r="U1407" s="42"/>
      <c r="V1407" s="42"/>
      <c r="W1407" s="42"/>
      <c r="X1407" s="42"/>
      <c r="Y1407" s="42"/>
      <c r="Z1407" s="42"/>
    </row>
    <row r="1408" ht="12.75" customHeight="1">
      <c r="A1408" s="28" t="s">
        <v>580</v>
      </c>
      <c r="B1408" s="28" t="s">
        <v>159</v>
      </c>
      <c r="C1408" s="42" t="s">
        <v>3742</v>
      </c>
      <c r="D1408" s="42" t="s">
        <v>190</v>
      </c>
      <c r="E1408" s="42" t="s">
        <v>162</v>
      </c>
      <c r="F1408" s="28" t="s">
        <v>3743</v>
      </c>
      <c r="G1408" s="28">
        <v>33.7</v>
      </c>
      <c r="H1408" s="66"/>
      <c r="I1408" s="42"/>
      <c r="J1408" s="42"/>
      <c r="K1408" s="42"/>
      <c r="L1408" s="42"/>
      <c r="M1408" s="42"/>
      <c r="N1408" s="42"/>
      <c r="O1408" s="42"/>
      <c r="P1408" s="42"/>
      <c r="Q1408" s="42"/>
      <c r="R1408" s="42"/>
      <c r="S1408" s="42"/>
      <c r="T1408" s="42"/>
      <c r="U1408" s="42"/>
      <c r="V1408" s="42"/>
      <c r="W1408" s="42"/>
      <c r="X1408" s="42"/>
      <c r="Y1408" s="42"/>
      <c r="Z1408" s="42"/>
    </row>
    <row r="1409" ht="12.75" customHeight="1">
      <c r="A1409" s="28" t="s">
        <v>1873</v>
      </c>
      <c r="B1409" s="28" t="s">
        <v>159</v>
      </c>
      <c r="C1409" s="42" t="s">
        <v>3744</v>
      </c>
      <c r="D1409" s="42" t="s">
        <v>522</v>
      </c>
      <c r="E1409" s="42" t="s">
        <v>162</v>
      </c>
      <c r="F1409" s="28" t="s">
        <v>3745</v>
      </c>
      <c r="G1409" s="28">
        <v>27.4</v>
      </c>
      <c r="H1409" s="66"/>
      <c r="I1409" s="42"/>
      <c r="J1409" s="42"/>
      <c r="K1409" s="42"/>
      <c r="L1409" s="42"/>
      <c r="M1409" s="42"/>
      <c r="N1409" s="42"/>
      <c r="O1409" s="42"/>
      <c r="P1409" s="42"/>
      <c r="Q1409" s="42"/>
      <c r="R1409" s="42"/>
      <c r="S1409" s="42"/>
      <c r="T1409" s="42"/>
      <c r="U1409" s="42"/>
      <c r="V1409" s="42"/>
      <c r="W1409" s="42"/>
      <c r="X1409" s="42"/>
      <c r="Y1409" s="42"/>
      <c r="Z1409" s="42"/>
    </row>
    <row r="1410" ht="12.75" customHeight="1">
      <c r="A1410" s="28" t="s">
        <v>3746</v>
      </c>
      <c r="B1410" s="28" t="s">
        <v>165</v>
      </c>
      <c r="C1410" s="42" t="s">
        <v>3744</v>
      </c>
      <c r="D1410" s="42" t="s">
        <v>691</v>
      </c>
      <c r="E1410" s="42" t="s">
        <v>162</v>
      </c>
      <c r="F1410" s="28" t="s">
        <v>2136</v>
      </c>
      <c r="G1410" s="28">
        <v>27.5</v>
      </c>
      <c r="H1410" s="66"/>
      <c r="I1410" s="42"/>
      <c r="J1410" s="42"/>
      <c r="K1410" s="42"/>
      <c r="L1410" s="42"/>
      <c r="M1410" s="42"/>
      <c r="N1410" s="42"/>
      <c r="O1410" s="42"/>
      <c r="P1410" s="42"/>
      <c r="Q1410" s="42"/>
      <c r="R1410" s="42"/>
      <c r="S1410" s="42"/>
      <c r="T1410" s="42"/>
      <c r="U1410" s="42"/>
      <c r="V1410" s="42"/>
      <c r="W1410" s="42"/>
      <c r="X1410" s="42"/>
      <c r="Y1410" s="42"/>
      <c r="Z1410" s="42"/>
    </row>
    <row r="1411" ht="12.75" customHeight="1">
      <c r="A1411" s="28" t="s">
        <v>3747</v>
      </c>
      <c r="B1411" s="28" t="s">
        <v>165</v>
      </c>
      <c r="C1411" s="42" t="s">
        <v>3744</v>
      </c>
      <c r="D1411" s="42" t="s">
        <v>447</v>
      </c>
      <c r="E1411" s="42" t="s">
        <v>650</v>
      </c>
      <c r="F1411" s="28" t="s">
        <v>3748</v>
      </c>
      <c r="G1411" s="28">
        <v>25.4</v>
      </c>
      <c r="H1411" s="66"/>
      <c r="I1411" s="42"/>
      <c r="J1411" s="42"/>
      <c r="K1411" s="42"/>
      <c r="L1411" s="42"/>
      <c r="M1411" s="42"/>
      <c r="N1411" s="42"/>
      <c r="O1411" s="42"/>
      <c r="P1411" s="42"/>
      <c r="Q1411" s="42"/>
      <c r="R1411" s="42"/>
      <c r="S1411" s="42"/>
      <c r="T1411" s="42"/>
      <c r="U1411" s="42"/>
      <c r="V1411" s="42"/>
      <c r="W1411" s="42"/>
      <c r="X1411" s="42"/>
      <c r="Y1411" s="42"/>
      <c r="Z1411" s="42"/>
    </row>
    <row r="1412" ht="12.75" customHeight="1">
      <c r="A1412" s="28" t="s">
        <v>324</v>
      </c>
      <c r="B1412" s="28" t="s">
        <v>210</v>
      </c>
      <c r="C1412" s="42" t="s">
        <v>3749</v>
      </c>
      <c r="D1412" s="42" t="s">
        <v>3750</v>
      </c>
      <c r="E1412" s="42" t="s">
        <v>427</v>
      </c>
      <c r="F1412" s="28" t="s">
        <v>3751</v>
      </c>
      <c r="G1412" s="28">
        <v>16.6</v>
      </c>
      <c r="H1412" s="66"/>
      <c r="I1412" s="42"/>
      <c r="J1412" s="42"/>
      <c r="K1412" s="42"/>
      <c r="L1412" s="42"/>
      <c r="M1412" s="42"/>
      <c r="N1412" s="42"/>
      <c r="O1412" s="42"/>
      <c r="P1412" s="42"/>
      <c r="Q1412" s="42"/>
      <c r="R1412" s="42"/>
      <c r="S1412" s="42"/>
      <c r="T1412" s="42"/>
      <c r="U1412" s="42"/>
      <c r="V1412" s="42"/>
      <c r="W1412" s="42"/>
      <c r="X1412" s="42"/>
      <c r="Y1412" s="42"/>
      <c r="Z1412" s="42"/>
    </row>
    <row r="1413" ht="12.75" customHeight="1">
      <c r="A1413" s="28" t="s">
        <v>3752</v>
      </c>
      <c r="B1413" s="28" t="s">
        <v>210</v>
      </c>
      <c r="C1413" s="42" t="s">
        <v>3753</v>
      </c>
      <c r="D1413" s="42" t="s">
        <v>905</v>
      </c>
      <c r="E1413" s="42" t="s">
        <v>162</v>
      </c>
      <c r="F1413" s="28" t="s">
        <v>3754</v>
      </c>
      <c r="G1413" s="28">
        <v>20.1</v>
      </c>
      <c r="H1413" s="66"/>
      <c r="I1413" s="42"/>
      <c r="J1413" s="42"/>
      <c r="K1413" s="42"/>
      <c r="L1413" s="42"/>
      <c r="M1413" s="42"/>
      <c r="N1413" s="42"/>
      <c r="O1413" s="42"/>
      <c r="P1413" s="42"/>
      <c r="Q1413" s="42"/>
      <c r="R1413" s="42"/>
      <c r="S1413" s="42"/>
      <c r="T1413" s="42"/>
      <c r="U1413" s="42"/>
      <c r="V1413" s="42"/>
      <c r="W1413" s="42"/>
      <c r="X1413" s="42"/>
      <c r="Y1413" s="42"/>
      <c r="Z1413" s="42"/>
    </row>
    <row r="1414" ht="12.75" customHeight="1">
      <c r="A1414" s="28" t="s">
        <v>1098</v>
      </c>
      <c r="B1414" s="28" t="s">
        <v>497</v>
      </c>
      <c r="C1414" s="42" t="s">
        <v>3755</v>
      </c>
      <c r="D1414" s="42" t="s">
        <v>2601</v>
      </c>
      <c r="E1414" s="42" t="s">
        <v>670</v>
      </c>
      <c r="F1414" s="28" t="s">
        <v>3756</v>
      </c>
      <c r="G1414" s="28">
        <v>25.9</v>
      </c>
      <c r="H1414" s="66"/>
      <c r="I1414" s="42"/>
      <c r="J1414" s="42"/>
      <c r="K1414" s="42"/>
      <c r="L1414" s="42"/>
      <c r="M1414" s="42"/>
      <c r="N1414" s="42"/>
      <c r="O1414" s="42"/>
      <c r="P1414" s="42"/>
      <c r="Q1414" s="42"/>
      <c r="R1414" s="42"/>
      <c r="S1414" s="42"/>
      <c r="T1414" s="42"/>
      <c r="U1414" s="42"/>
      <c r="V1414" s="42"/>
      <c r="W1414" s="42"/>
      <c r="X1414" s="42"/>
      <c r="Y1414" s="42"/>
      <c r="Z1414" s="42"/>
    </row>
    <row r="1415" ht="12.75" customHeight="1">
      <c r="A1415" s="28" t="s">
        <v>3757</v>
      </c>
      <c r="B1415" s="28" t="s">
        <v>210</v>
      </c>
      <c r="C1415" s="42" t="s">
        <v>3758</v>
      </c>
      <c r="D1415" s="42" t="s">
        <v>1185</v>
      </c>
      <c r="E1415" s="42" t="s">
        <v>162</v>
      </c>
      <c r="F1415" s="28" t="s">
        <v>1868</v>
      </c>
      <c r="G1415" s="28">
        <v>21.6</v>
      </c>
      <c r="H1415" s="66"/>
      <c r="I1415" s="42"/>
      <c r="J1415" s="42"/>
      <c r="K1415" s="42"/>
      <c r="L1415" s="42"/>
      <c r="M1415" s="42"/>
      <c r="N1415" s="42"/>
      <c r="O1415" s="42"/>
      <c r="P1415" s="42"/>
      <c r="Q1415" s="42"/>
      <c r="R1415" s="42"/>
      <c r="S1415" s="42"/>
      <c r="T1415" s="42"/>
      <c r="U1415" s="42"/>
      <c r="V1415" s="42"/>
      <c r="W1415" s="42"/>
      <c r="X1415" s="42"/>
      <c r="Y1415" s="42"/>
      <c r="Z1415" s="42"/>
    </row>
    <row r="1416" ht="12.75" customHeight="1">
      <c r="A1416" s="28" t="s">
        <v>3759</v>
      </c>
      <c r="B1416" s="28" t="s">
        <v>210</v>
      </c>
      <c r="C1416" s="42" t="s">
        <v>3760</v>
      </c>
      <c r="D1416" s="42" t="s">
        <v>3761</v>
      </c>
      <c r="E1416" s="42" t="s">
        <v>388</v>
      </c>
      <c r="F1416" s="28" t="s">
        <v>3762</v>
      </c>
      <c r="G1416" s="28">
        <v>18.8</v>
      </c>
      <c r="H1416" s="66"/>
      <c r="I1416" s="42"/>
      <c r="J1416" s="42"/>
      <c r="K1416" s="42"/>
      <c r="L1416" s="42"/>
      <c r="M1416" s="42"/>
      <c r="N1416" s="42"/>
      <c r="O1416" s="42"/>
      <c r="P1416" s="42"/>
      <c r="Q1416" s="42"/>
      <c r="R1416" s="42"/>
      <c r="S1416" s="42"/>
      <c r="T1416" s="42"/>
      <c r="U1416" s="42"/>
      <c r="V1416" s="42"/>
      <c r="W1416" s="42"/>
      <c r="X1416" s="42"/>
      <c r="Y1416" s="42"/>
      <c r="Z1416" s="42"/>
    </row>
    <row r="1417" ht="12.75" customHeight="1">
      <c r="A1417" s="28" t="s">
        <v>969</v>
      </c>
      <c r="B1417" s="28" t="s">
        <v>165</v>
      </c>
      <c r="C1417" s="42" t="s">
        <v>3763</v>
      </c>
      <c r="D1417" s="42" t="s">
        <v>774</v>
      </c>
      <c r="E1417" s="42" t="s">
        <v>162</v>
      </c>
      <c r="F1417" s="28" t="s">
        <v>3764</v>
      </c>
      <c r="G1417" s="28">
        <v>34.7</v>
      </c>
      <c r="H1417" s="66"/>
      <c r="I1417" s="42"/>
      <c r="J1417" s="42"/>
      <c r="K1417" s="42"/>
      <c r="L1417" s="42"/>
      <c r="M1417" s="42"/>
      <c r="N1417" s="42"/>
      <c r="O1417" s="42"/>
      <c r="P1417" s="42"/>
      <c r="Q1417" s="42"/>
      <c r="R1417" s="42"/>
      <c r="S1417" s="42"/>
      <c r="T1417" s="42"/>
      <c r="U1417" s="42"/>
      <c r="V1417" s="42"/>
      <c r="W1417" s="42"/>
      <c r="X1417" s="42"/>
      <c r="Y1417" s="42"/>
      <c r="Z1417" s="42"/>
    </row>
    <row r="1418" ht="12.75" customHeight="1">
      <c r="A1418" s="28" t="s">
        <v>3765</v>
      </c>
      <c r="B1418" s="28" t="s">
        <v>165</v>
      </c>
      <c r="C1418" s="42" t="s">
        <v>3766</v>
      </c>
      <c r="D1418" s="42" t="s">
        <v>240</v>
      </c>
      <c r="E1418" s="42" t="s">
        <v>388</v>
      </c>
      <c r="F1418" s="28" t="s">
        <v>3767</v>
      </c>
      <c r="G1418" s="28">
        <v>17.2</v>
      </c>
      <c r="H1418" s="66"/>
      <c r="I1418" s="42"/>
      <c r="J1418" s="42"/>
      <c r="K1418" s="42"/>
      <c r="L1418" s="42"/>
      <c r="M1418" s="42"/>
      <c r="N1418" s="42"/>
      <c r="O1418" s="42"/>
      <c r="P1418" s="42"/>
      <c r="Q1418" s="42"/>
      <c r="R1418" s="42"/>
      <c r="S1418" s="42"/>
      <c r="T1418" s="42"/>
      <c r="U1418" s="42"/>
      <c r="V1418" s="42"/>
      <c r="W1418" s="42"/>
      <c r="X1418" s="42"/>
      <c r="Y1418" s="42"/>
      <c r="Z1418" s="42"/>
    </row>
    <row r="1419" ht="12.75" customHeight="1">
      <c r="A1419" s="28" t="s">
        <v>566</v>
      </c>
      <c r="B1419" s="28" t="s">
        <v>159</v>
      </c>
      <c r="C1419" s="42" t="s">
        <v>3768</v>
      </c>
      <c r="D1419" s="42" t="s">
        <v>1247</v>
      </c>
      <c r="E1419" s="42" t="s">
        <v>156</v>
      </c>
      <c r="F1419" s="28" t="s">
        <v>3769</v>
      </c>
      <c r="G1419" s="28">
        <v>25.8</v>
      </c>
      <c r="H1419" s="66"/>
      <c r="I1419" s="42"/>
      <c r="J1419" s="42"/>
      <c r="K1419" s="42"/>
      <c r="L1419" s="42"/>
      <c r="M1419" s="42"/>
      <c r="N1419" s="42"/>
      <c r="O1419" s="42"/>
      <c r="P1419" s="42"/>
      <c r="Q1419" s="42"/>
      <c r="R1419" s="42"/>
      <c r="S1419" s="42"/>
      <c r="T1419" s="42"/>
      <c r="U1419" s="42"/>
      <c r="V1419" s="42"/>
      <c r="W1419" s="42"/>
      <c r="X1419" s="42"/>
      <c r="Y1419" s="42"/>
      <c r="Z1419" s="42"/>
    </row>
    <row r="1420" ht="12.75" customHeight="1">
      <c r="A1420" s="28" t="s">
        <v>3770</v>
      </c>
      <c r="B1420" s="28" t="s">
        <v>457</v>
      </c>
      <c r="C1420" s="42" t="s">
        <v>3771</v>
      </c>
      <c r="D1420" s="42" t="s">
        <v>488</v>
      </c>
      <c r="E1420" s="42" t="s">
        <v>1513</v>
      </c>
      <c r="F1420" s="28" t="s">
        <v>3772</v>
      </c>
      <c r="G1420" s="28">
        <v>43.2</v>
      </c>
      <c r="H1420" s="66"/>
      <c r="I1420" s="42"/>
      <c r="J1420" s="42"/>
      <c r="K1420" s="42"/>
      <c r="L1420" s="42"/>
      <c r="M1420" s="42"/>
      <c r="N1420" s="42"/>
      <c r="O1420" s="42"/>
      <c r="P1420" s="42"/>
      <c r="Q1420" s="42"/>
      <c r="R1420" s="42"/>
      <c r="S1420" s="42"/>
      <c r="T1420" s="42"/>
      <c r="U1420" s="42"/>
      <c r="V1420" s="42"/>
      <c r="W1420" s="42"/>
      <c r="X1420" s="42"/>
      <c r="Y1420" s="42"/>
      <c r="Z1420" s="42"/>
    </row>
    <row r="1421" ht="12.75" customHeight="1">
      <c r="A1421" s="28" t="s">
        <v>3773</v>
      </c>
      <c r="B1421" s="28" t="s">
        <v>165</v>
      </c>
      <c r="C1421" s="42" t="s">
        <v>3774</v>
      </c>
      <c r="D1421" s="42" t="s">
        <v>3775</v>
      </c>
      <c r="E1421" s="42" t="s">
        <v>1412</v>
      </c>
      <c r="F1421" s="28" t="s">
        <v>1783</v>
      </c>
      <c r="G1421" s="28">
        <v>32.3</v>
      </c>
      <c r="H1421" s="66"/>
      <c r="I1421" s="42"/>
      <c r="J1421" s="42"/>
      <c r="K1421" s="42"/>
      <c r="L1421" s="42"/>
      <c r="M1421" s="42"/>
      <c r="N1421" s="42"/>
      <c r="O1421" s="42"/>
      <c r="P1421" s="42"/>
      <c r="Q1421" s="42"/>
      <c r="R1421" s="42"/>
      <c r="S1421" s="42"/>
      <c r="T1421" s="42"/>
      <c r="U1421" s="42"/>
      <c r="V1421" s="42"/>
      <c r="W1421" s="42"/>
      <c r="X1421" s="42"/>
      <c r="Y1421" s="42"/>
      <c r="Z1421" s="42"/>
    </row>
    <row r="1422" ht="12.75" customHeight="1">
      <c r="A1422" s="28" t="s">
        <v>729</v>
      </c>
      <c r="B1422" s="28" t="s">
        <v>159</v>
      </c>
      <c r="C1422" s="42" t="s">
        <v>3776</v>
      </c>
      <c r="D1422" s="42" t="s">
        <v>3777</v>
      </c>
      <c r="E1422" s="42" t="s">
        <v>3778</v>
      </c>
      <c r="F1422" s="28" t="s">
        <v>3779</v>
      </c>
      <c r="G1422" s="28">
        <v>25.5</v>
      </c>
      <c r="H1422" s="66"/>
      <c r="I1422" s="42"/>
      <c r="J1422" s="42"/>
      <c r="K1422" s="42"/>
      <c r="L1422" s="42"/>
      <c r="M1422" s="42"/>
      <c r="N1422" s="42"/>
      <c r="O1422" s="42"/>
      <c r="P1422" s="42"/>
      <c r="Q1422" s="42"/>
      <c r="R1422" s="42"/>
      <c r="S1422" s="42"/>
      <c r="T1422" s="42"/>
      <c r="U1422" s="42"/>
      <c r="V1422" s="42"/>
      <c r="W1422" s="42"/>
      <c r="X1422" s="42"/>
      <c r="Y1422" s="42"/>
      <c r="Z1422" s="42"/>
    </row>
    <row r="1423" ht="12.75" customHeight="1">
      <c r="A1423" s="28" t="s">
        <v>585</v>
      </c>
      <c r="B1423" s="28" t="s">
        <v>153</v>
      </c>
      <c r="C1423" s="42" t="s">
        <v>3780</v>
      </c>
      <c r="D1423" s="42" t="s">
        <v>995</v>
      </c>
      <c r="E1423" s="42" t="s">
        <v>3781</v>
      </c>
      <c r="F1423" s="28" t="s">
        <v>3782</v>
      </c>
      <c r="G1423" s="28">
        <v>17.3</v>
      </c>
      <c r="H1423" s="66"/>
      <c r="I1423" s="42"/>
      <c r="J1423" s="42"/>
      <c r="K1423" s="42"/>
      <c r="L1423" s="42"/>
      <c r="M1423" s="42"/>
      <c r="N1423" s="42"/>
      <c r="O1423" s="42"/>
      <c r="P1423" s="42"/>
      <c r="Q1423" s="42"/>
      <c r="R1423" s="42"/>
      <c r="S1423" s="42"/>
      <c r="T1423" s="42"/>
      <c r="U1423" s="42"/>
      <c r="V1423" s="42"/>
      <c r="W1423" s="42"/>
      <c r="X1423" s="42"/>
      <c r="Y1423" s="42"/>
      <c r="Z1423" s="42"/>
    </row>
    <row r="1424" ht="12.75" customHeight="1">
      <c r="A1424" s="28" t="s">
        <v>577</v>
      </c>
      <c r="B1424" s="28" t="s">
        <v>159</v>
      </c>
      <c r="C1424" s="42" t="s">
        <v>3783</v>
      </c>
      <c r="D1424" s="42" t="s">
        <v>3784</v>
      </c>
      <c r="E1424" s="42" t="s">
        <v>3785</v>
      </c>
      <c r="F1424" s="28" t="s">
        <v>3786</v>
      </c>
      <c r="G1424" s="28">
        <v>32.7</v>
      </c>
      <c r="H1424" s="66"/>
      <c r="I1424" s="42"/>
      <c r="J1424" s="42"/>
      <c r="K1424" s="42"/>
      <c r="L1424" s="42"/>
      <c r="M1424" s="42"/>
      <c r="N1424" s="42"/>
      <c r="O1424" s="42"/>
      <c r="P1424" s="42"/>
      <c r="Q1424" s="42"/>
      <c r="R1424" s="42"/>
      <c r="S1424" s="42"/>
      <c r="T1424" s="42"/>
      <c r="U1424" s="42"/>
      <c r="V1424" s="42"/>
      <c r="W1424" s="42"/>
      <c r="X1424" s="42"/>
      <c r="Y1424" s="42"/>
      <c r="Z1424" s="42"/>
    </row>
    <row r="1425" ht="12.75" customHeight="1">
      <c r="A1425" s="28" t="s">
        <v>3787</v>
      </c>
      <c r="B1425" s="28" t="s">
        <v>165</v>
      </c>
      <c r="C1425" s="42" t="s">
        <v>3783</v>
      </c>
      <c r="D1425" s="42" t="s">
        <v>481</v>
      </c>
      <c r="E1425" s="42" t="s">
        <v>3290</v>
      </c>
      <c r="F1425" s="28" t="s">
        <v>3788</v>
      </c>
      <c r="G1425" s="28">
        <v>27.9</v>
      </c>
      <c r="H1425" s="66"/>
      <c r="I1425" s="42"/>
      <c r="J1425" s="42"/>
      <c r="K1425" s="42"/>
      <c r="L1425" s="42"/>
      <c r="M1425" s="42"/>
      <c r="N1425" s="42"/>
      <c r="O1425" s="42"/>
      <c r="P1425" s="42"/>
      <c r="Q1425" s="42"/>
      <c r="R1425" s="42"/>
      <c r="S1425" s="42"/>
      <c r="T1425" s="42"/>
      <c r="U1425" s="42"/>
      <c r="V1425" s="42"/>
      <c r="W1425" s="42"/>
      <c r="X1425" s="42"/>
      <c r="Y1425" s="42"/>
      <c r="Z1425" s="42"/>
    </row>
    <row r="1426" ht="12.75" customHeight="1">
      <c r="A1426" s="28" t="s">
        <v>3789</v>
      </c>
      <c r="B1426" s="28" t="s">
        <v>165</v>
      </c>
      <c r="C1426" s="42" t="s">
        <v>3783</v>
      </c>
      <c r="D1426" s="42" t="s">
        <v>3790</v>
      </c>
      <c r="E1426" s="42" t="s">
        <v>3290</v>
      </c>
      <c r="F1426" s="28" t="s">
        <v>1188</v>
      </c>
      <c r="G1426" s="28">
        <v>27.4</v>
      </c>
      <c r="H1426" s="66"/>
      <c r="I1426" s="42"/>
      <c r="J1426" s="42"/>
      <c r="K1426" s="42"/>
      <c r="L1426" s="42"/>
      <c r="M1426" s="42"/>
      <c r="N1426" s="42"/>
      <c r="O1426" s="42"/>
      <c r="P1426" s="42"/>
      <c r="Q1426" s="42"/>
      <c r="R1426" s="42"/>
      <c r="S1426" s="42"/>
      <c r="T1426" s="42"/>
      <c r="U1426" s="42"/>
      <c r="V1426" s="42"/>
      <c r="W1426" s="42"/>
      <c r="X1426" s="42"/>
      <c r="Y1426" s="42"/>
      <c r="Z1426" s="42"/>
    </row>
    <row r="1427" ht="12.75" customHeight="1">
      <c r="A1427" s="28" t="s">
        <v>3791</v>
      </c>
      <c r="B1427" s="28" t="s">
        <v>165</v>
      </c>
      <c r="C1427" s="42" t="s">
        <v>3783</v>
      </c>
      <c r="D1427" s="42" t="s">
        <v>240</v>
      </c>
      <c r="E1427" s="42" t="s">
        <v>162</v>
      </c>
      <c r="F1427" s="28" t="s">
        <v>1826</v>
      </c>
      <c r="G1427" s="28">
        <v>28.9</v>
      </c>
      <c r="H1427" s="66"/>
      <c r="I1427" s="42"/>
      <c r="J1427" s="42"/>
      <c r="K1427" s="42"/>
      <c r="L1427" s="42"/>
      <c r="M1427" s="42"/>
      <c r="N1427" s="42"/>
      <c r="O1427" s="42"/>
      <c r="P1427" s="42"/>
      <c r="Q1427" s="42"/>
      <c r="R1427" s="42"/>
      <c r="S1427" s="42"/>
      <c r="T1427" s="42"/>
      <c r="U1427" s="42"/>
      <c r="V1427" s="42"/>
      <c r="W1427" s="42"/>
      <c r="X1427" s="42"/>
      <c r="Y1427" s="42"/>
      <c r="Z1427" s="42"/>
    </row>
    <row r="1428" ht="12.75" customHeight="1">
      <c r="A1428" s="28" t="s">
        <v>847</v>
      </c>
      <c r="B1428" s="28" t="s">
        <v>219</v>
      </c>
      <c r="C1428" s="42" t="s">
        <v>3792</v>
      </c>
      <c r="D1428" s="42" t="s">
        <v>301</v>
      </c>
      <c r="E1428" s="42" t="s">
        <v>162</v>
      </c>
      <c r="F1428" s="28" t="s">
        <v>3793</v>
      </c>
      <c r="G1428" s="28">
        <v>29.2</v>
      </c>
      <c r="H1428" s="66"/>
      <c r="I1428" s="42"/>
      <c r="J1428" s="42"/>
      <c r="K1428" s="42"/>
      <c r="L1428" s="42"/>
      <c r="M1428" s="42"/>
      <c r="N1428" s="42"/>
      <c r="O1428" s="42"/>
      <c r="P1428" s="42"/>
      <c r="Q1428" s="42"/>
      <c r="R1428" s="42"/>
      <c r="S1428" s="42"/>
      <c r="T1428" s="42"/>
      <c r="U1428" s="42"/>
      <c r="V1428" s="42"/>
      <c r="W1428" s="42"/>
      <c r="X1428" s="42"/>
      <c r="Y1428" s="42"/>
      <c r="Z1428" s="42"/>
    </row>
    <row r="1429" ht="12.75" customHeight="1">
      <c r="A1429" s="28" t="s">
        <v>3794</v>
      </c>
      <c r="B1429" s="28" t="s">
        <v>210</v>
      </c>
      <c r="C1429" s="42" t="s">
        <v>3795</v>
      </c>
      <c r="D1429" s="42" t="s">
        <v>349</v>
      </c>
      <c r="E1429" s="42" t="s">
        <v>3796</v>
      </c>
      <c r="F1429" s="28" t="s">
        <v>3797</v>
      </c>
      <c r="G1429" s="28">
        <v>19.9</v>
      </c>
      <c r="H1429" s="66"/>
      <c r="I1429" s="42"/>
      <c r="J1429" s="42"/>
      <c r="K1429" s="42"/>
      <c r="L1429" s="42"/>
      <c r="M1429" s="42"/>
      <c r="N1429" s="42"/>
      <c r="O1429" s="42"/>
      <c r="P1429" s="42"/>
      <c r="Q1429" s="42"/>
      <c r="R1429" s="42"/>
      <c r="S1429" s="42"/>
      <c r="T1429" s="42"/>
      <c r="U1429" s="42"/>
      <c r="V1429" s="42"/>
      <c r="W1429" s="42"/>
      <c r="X1429" s="42"/>
      <c r="Y1429" s="42"/>
      <c r="Z1429" s="42"/>
    </row>
    <row r="1430" ht="12.75" customHeight="1">
      <c r="A1430" s="28" t="s">
        <v>911</v>
      </c>
      <c r="B1430" s="28" t="s">
        <v>602</v>
      </c>
      <c r="C1430" s="42" t="s">
        <v>3798</v>
      </c>
      <c r="D1430" s="42" t="s">
        <v>691</v>
      </c>
      <c r="E1430" s="42" t="s">
        <v>559</v>
      </c>
      <c r="F1430" s="28" t="s">
        <v>3799</v>
      </c>
      <c r="G1430" s="28">
        <v>20.6</v>
      </c>
      <c r="H1430" s="66"/>
      <c r="I1430" s="42"/>
      <c r="J1430" s="42"/>
      <c r="K1430" s="42"/>
      <c r="L1430" s="42"/>
      <c r="M1430" s="42"/>
      <c r="N1430" s="42"/>
      <c r="O1430" s="42"/>
      <c r="P1430" s="42"/>
      <c r="Q1430" s="42"/>
      <c r="R1430" s="42"/>
      <c r="S1430" s="42"/>
      <c r="T1430" s="42"/>
      <c r="U1430" s="42"/>
      <c r="V1430" s="42"/>
      <c r="W1430" s="42"/>
      <c r="X1430" s="42"/>
      <c r="Y1430" s="42"/>
      <c r="Z1430" s="42"/>
    </row>
    <row r="1431" ht="12.75" customHeight="1">
      <c r="A1431" s="28" t="s">
        <v>179</v>
      </c>
      <c r="B1431" s="28" t="s">
        <v>165</v>
      </c>
      <c r="C1431" s="42" t="s">
        <v>3800</v>
      </c>
      <c r="D1431" s="42" t="s">
        <v>431</v>
      </c>
      <c r="E1431" s="42" t="s">
        <v>162</v>
      </c>
      <c r="F1431" s="28" t="s">
        <v>296</v>
      </c>
      <c r="G1431" s="28">
        <v>31.5</v>
      </c>
      <c r="H1431" s="66"/>
      <c r="I1431" s="42"/>
      <c r="J1431" s="42"/>
      <c r="K1431" s="42"/>
      <c r="L1431" s="42"/>
      <c r="M1431" s="42"/>
      <c r="N1431" s="42"/>
      <c r="O1431" s="42"/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</row>
    <row r="1432" ht="12.75" customHeight="1">
      <c r="A1432" s="28" t="s">
        <v>3801</v>
      </c>
      <c r="B1432" s="28" t="s">
        <v>314</v>
      </c>
      <c r="C1432" s="42" t="s">
        <v>3800</v>
      </c>
      <c r="D1432" s="42" t="s">
        <v>321</v>
      </c>
      <c r="E1432" s="42" t="s">
        <v>757</v>
      </c>
      <c r="F1432" s="28" t="s">
        <v>3802</v>
      </c>
      <c r="G1432" s="28">
        <v>43.0</v>
      </c>
      <c r="H1432" s="66"/>
      <c r="I1432" s="42"/>
      <c r="J1432" s="42"/>
      <c r="K1432" s="42"/>
      <c r="L1432" s="42"/>
      <c r="M1432" s="42"/>
      <c r="N1432" s="42"/>
      <c r="O1432" s="42"/>
      <c r="P1432" s="42"/>
      <c r="Q1432" s="42"/>
      <c r="R1432" s="42"/>
      <c r="S1432" s="42"/>
      <c r="T1432" s="42"/>
      <c r="U1432" s="42"/>
      <c r="V1432" s="42"/>
      <c r="W1432" s="42"/>
      <c r="X1432" s="42"/>
      <c r="Y1432" s="42"/>
      <c r="Z1432" s="42"/>
    </row>
    <row r="1433" ht="12.75" customHeight="1">
      <c r="A1433" s="28" t="s">
        <v>960</v>
      </c>
      <c r="B1433" s="28" t="s">
        <v>159</v>
      </c>
      <c r="C1433" s="42" t="s">
        <v>3800</v>
      </c>
      <c r="D1433" s="42" t="s">
        <v>198</v>
      </c>
      <c r="E1433" s="42" t="s">
        <v>3351</v>
      </c>
      <c r="F1433" s="28" t="s">
        <v>747</v>
      </c>
      <c r="G1433" s="28">
        <v>30.3</v>
      </c>
      <c r="H1433" s="66"/>
      <c r="I1433" s="42"/>
      <c r="J1433" s="42"/>
      <c r="K1433" s="42"/>
      <c r="L1433" s="42"/>
      <c r="M1433" s="42"/>
      <c r="N1433" s="42"/>
      <c r="O1433" s="42"/>
      <c r="P1433" s="42"/>
      <c r="Q1433" s="42"/>
      <c r="R1433" s="42"/>
      <c r="S1433" s="42"/>
      <c r="T1433" s="42"/>
      <c r="U1433" s="42"/>
      <c r="V1433" s="42"/>
      <c r="W1433" s="42"/>
      <c r="X1433" s="42"/>
      <c r="Y1433" s="42"/>
      <c r="Z1433" s="42"/>
    </row>
    <row r="1434" ht="12.75" customHeight="1">
      <c r="A1434" s="28" t="s">
        <v>790</v>
      </c>
      <c r="B1434" s="28" t="s">
        <v>165</v>
      </c>
      <c r="C1434" s="42" t="s">
        <v>3803</v>
      </c>
      <c r="D1434" s="42" t="s">
        <v>181</v>
      </c>
      <c r="E1434" s="42" t="s">
        <v>277</v>
      </c>
      <c r="F1434" s="28" t="s">
        <v>767</v>
      </c>
      <c r="G1434" s="28">
        <v>26.1</v>
      </c>
      <c r="H1434" s="66"/>
      <c r="I1434" s="42"/>
      <c r="J1434" s="42"/>
      <c r="K1434" s="42"/>
      <c r="L1434" s="42"/>
      <c r="M1434" s="42"/>
      <c r="N1434" s="42"/>
      <c r="O1434" s="42"/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</row>
    <row r="1435" ht="12.75" customHeight="1">
      <c r="A1435" s="28" t="s">
        <v>762</v>
      </c>
      <c r="B1435" s="28" t="s">
        <v>153</v>
      </c>
      <c r="C1435" s="42" t="s">
        <v>3804</v>
      </c>
      <c r="D1435" s="42" t="s">
        <v>361</v>
      </c>
      <c r="E1435" s="42" t="s">
        <v>3805</v>
      </c>
      <c r="F1435" s="28" t="s">
        <v>3806</v>
      </c>
      <c r="G1435" s="28">
        <v>25.0</v>
      </c>
      <c r="H1435" s="66"/>
      <c r="I1435" s="42"/>
      <c r="J1435" s="42"/>
      <c r="K1435" s="42"/>
      <c r="L1435" s="42"/>
      <c r="M1435" s="42"/>
      <c r="N1435" s="42"/>
      <c r="O1435" s="42"/>
      <c r="P1435" s="42"/>
      <c r="Q1435" s="42"/>
      <c r="R1435" s="42"/>
      <c r="S1435" s="42"/>
      <c r="T1435" s="42"/>
      <c r="U1435" s="42"/>
      <c r="V1435" s="42"/>
      <c r="W1435" s="42"/>
      <c r="X1435" s="42"/>
      <c r="Y1435" s="42"/>
      <c r="Z1435" s="42"/>
    </row>
    <row r="1436" ht="12.75" customHeight="1">
      <c r="A1436" s="28" t="s">
        <v>3807</v>
      </c>
      <c r="B1436" s="28" t="s">
        <v>457</v>
      </c>
      <c r="C1436" s="42" t="s">
        <v>3808</v>
      </c>
      <c r="D1436" s="42" t="s">
        <v>220</v>
      </c>
      <c r="E1436" s="42" t="s">
        <v>2211</v>
      </c>
      <c r="F1436" s="28" t="s">
        <v>2080</v>
      </c>
      <c r="G1436" s="28">
        <v>43.3</v>
      </c>
      <c r="H1436" s="66"/>
      <c r="I1436" s="42"/>
      <c r="J1436" s="42"/>
      <c r="K1436" s="42"/>
      <c r="L1436" s="42"/>
      <c r="M1436" s="42"/>
      <c r="N1436" s="42"/>
      <c r="O1436" s="42"/>
      <c r="P1436" s="42"/>
      <c r="Q1436" s="42"/>
      <c r="R1436" s="42"/>
      <c r="S1436" s="42"/>
      <c r="T1436" s="42"/>
      <c r="U1436" s="42"/>
      <c r="V1436" s="42"/>
      <c r="W1436" s="42"/>
      <c r="X1436" s="42"/>
      <c r="Y1436" s="42"/>
      <c r="Z1436" s="42"/>
    </row>
    <row r="1437" ht="12.75" customHeight="1">
      <c r="A1437" s="28" t="s">
        <v>773</v>
      </c>
      <c r="B1437" s="28" t="s">
        <v>159</v>
      </c>
      <c r="C1437" s="42" t="s">
        <v>3808</v>
      </c>
      <c r="D1437" s="42" t="s">
        <v>586</v>
      </c>
      <c r="E1437" s="42" t="s">
        <v>162</v>
      </c>
      <c r="F1437" s="28" t="s">
        <v>3809</v>
      </c>
      <c r="G1437" s="28">
        <v>30.1</v>
      </c>
      <c r="H1437" s="66"/>
      <c r="I1437" s="42"/>
      <c r="J1437" s="42"/>
      <c r="K1437" s="42"/>
      <c r="L1437" s="42"/>
      <c r="M1437" s="42"/>
      <c r="N1437" s="42"/>
      <c r="O1437" s="42"/>
      <c r="P1437" s="42"/>
      <c r="Q1437" s="42"/>
      <c r="R1437" s="42"/>
      <c r="S1437" s="42"/>
      <c r="T1437" s="42"/>
      <c r="U1437" s="42"/>
      <c r="V1437" s="42"/>
      <c r="W1437" s="42"/>
      <c r="X1437" s="42"/>
      <c r="Y1437" s="42"/>
      <c r="Z1437" s="42"/>
    </row>
    <row r="1438" ht="12.75" customHeight="1">
      <c r="A1438" s="28" t="s">
        <v>911</v>
      </c>
      <c r="B1438" s="28" t="s">
        <v>165</v>
      </c>
      <c r="C1438" s="42" t="s">
        <v>3808</v>
      </c>
      <c r="D1438" s="42" t="s">
        <v>384</v>
      </c>
      <c r="E1438" s="42" t="s">
        <v>162</v>
      </c>
      <c r="F1438" s="28" t="s">
        <v>3810</v>
      </c>
      <c r="G1438" s="28">
        <v>32.8</v>
      </c>
      <c r="H1438" s="66"/>
      <c r="I1438" s="42"/>
      <c r="J1438" s="42"/>
      <c r="K1438" s="42"/>
      <c r="L1438" s="42"/>
      <c r="M1438" s="42"/>
      <c r="N1438" s="42"/>
      <c r="O1438" s="42"/>
      <c r="P1438" s="42"/>
      <c r="Q1438" s="42"/>
      <c r="R1438" s="42"/>
      <c r="S1438" s="42"/>
      <c r="T1438" s="42"/>
      <c r="U1438" s="42"/>
      <c r="V1438" s="42"/>
      <c r="W1438" s="42"/>
      <c r="X1438" s="42"/>
      <c r="Y1438" s="42"/>
      <c r="Z1438" s="42"/>
    </row>
    <row r="1439" ht="12.75" customHeight="1">
      <c r="A1439" s="28" t="s">
        <v>960</v>
      </c>
      <c r="B1439" s="28" t="s">
        <v>159</v>
      </c>
      <c r="C1439" s="42" t="s">
        <v>3808</v>
      </c>
      <c r="D1439" s="42" t="s">
        <v>407</v>
      </c>
      <c r="E1439" s="42" t="s">
        <v>2043</v>
      </c>
      <c r="F1439" s="28" t="s">
        <v>3811</v>
      </c>
      <c r="G1439" s="28">
        <v>20.5</v>
      </c>
      <c r="H1439" s="66"/>
      <c r="I1439" s="42"/>
      <c r="J1439" s="42"/>
      <c r="K1439" s="42"/>
      <c r="L1439" s="42"/>
      <c r="M1439" s="42"/>
      <c r="N1439" s="42"/>
      <c r="O1439" s="42"/>
      <c r="P1439" s="42"/>
      <c r="Q1439" s="42"/>
      <c r="R1439" s="42"/>
      <c r="S1439" s="42"/>
      <c r="T1439" s="42"/>
      <c r="U1439" s="42"/>
      <c r="V1439" s="42"/>
      <c r="W1439" s="42"/>
      <c r="X1439" s="42"/>
      <c r="Y1439" s="42"/>
      <c r="Z1439" s="42"/>
    </row>
    <row r="1440" ht="12.75" customHeight="1">
      <c r="A1440" s="28" t="s">
        <v>3812</v>
      </c>
      <c r="B1440" s="28" t="s">
        <v>165</v>
      </c>
      <c r="C1440" s="42" t="s">
        <v>3808</v>
      </c>
      <c r="D1440" s="42" t="s">
        <v>1745</v>
      </c>
      <c r="E1440" s="42" t="s">
        <v>162</v>
      </c>
      <c r="F1440" s="28" t="s">
        <v>3813</v>
      </c>
      <c r="G1440" s="28">
        <v>22.2</v>
      </c>
      <c r="H1440" s="66"/>
      <c r="I1440" s="42"/>
      <c r="J1440" s="42"/>
      <c r="K1440" s="42"/>
      <c r="L1440" s="42"/>
      <c r="M1440" s="42"/>
      <c r="N1440" s="42"/>
      <c r="O1440" s="42"/>
      <c r="P1440" s="42"/>
      <c r="Q1440" s="42"/>
      <c r="R1440" s="42"/>
      <c r="S1440" s="42"/>
      <c r="T1440" s="42"/>
      <c r="U1440" s="42"/>
      <c r="V1440" s="42"/>
      <c r="W1440" s="42"/>
      <c r="X1440" s="42"/>
      <c r="Y1440" s="42"/>
      <c r="Z1440" s="42"/>
    </row>
    <row r="1441" ht="12.75" customHeight="1">
      <c r="A1441" s="28" t="s">
        <v>790</v>
      </c>
      <c r="B1441" s="28" t="s">
        <v>210</v>
      </c>
      <c r="C1441" s="42" t="s">
        <v>3814</v>
      </c>
      <c r="D1441" s="42" t="s">
        <v>326</v>
      </c>
      <c r="E1441" s="42" t="s">
        <v>277</v>
      </c>
      <c r="F1441" s="28" t="s">
        <v>3815</v>
      </c>
      <c r="G1441" s="28">
        <v>25.7</v>
      </c>
      <c r="H1441" s="66"/>
      <c r="I1441" s="42"/>
      <c r="J1441" s="42"/>
      <c r="K1441" s="42"/>
      <c r="L1441" s="42"/>
      <c r="M1441" s="42"/>
      <c r="N1441" s="42"/>
      <c r="O1441" s="42"/>
      <c r="P1441" s="42"/>
      <c r="Q1441" s="42"/>
      <c r="R1441" s="42"/>
      <c r="S1441" s="42"/>
      <c r="T1441" s="42"/>
      <c r="U1441" s="42"/>
      <c r="V1441" s="42"/>
      <c r="W1441" s="42"/>
      <c r="X1441" s="42"/>
      <c r="Y1441" s="42"/>
      <c r="Z1441" s="42"/>
    </row>
    <row r="1442" ht="12.75" customHeight="1">
      <c r="A1442" s="28" t="s">
        <v>790</v>
      </c>
      <c r="B1442" s="28" t="s">
        <v>165</v>
      </c>
      <c r="C1442" s="42" t="s">
        <v>3816</v>
      </c>
      <c r="D1442" s="42" t="s">
        <v>3817</v>
      </c>
      <c r="E1442" s="42" t="s">
        <v>277</v>
      </c>
      <c r="F1442" s="28" t="s">
        <v>3818</v>
      </c>
      <c r="G1442" s="28">
        <v>26.0</v>
      </c>
      <c r="H1442" s="66"/>
      <c r="I1442" s="42"/>
      <c r="J1442" s="42"/>
      <c r="K1442" s="42"/>
      <c r="L1442" s="42"/>
      <c r="M1442" s="42"/>
      <c r="N1442" s="42"/>
      <c r="O1442" s="42"/>
      <c r="P1442" s="42"/>
      <c r="Q1442" s="42"/>
      <c r="R1442" s="42"/>
      <c r="S1442" s="42"/>
      <c r="T1442" s="42"/>
      <c r="U1442" s="42"/>
      <c r="V1442" s="42"/>
      <c r="W1442" s="42"/>
      <c r="X1442" s="42"/>
      <c r="Y1442" s="42"/>
      <c r="Z1442" s="42"/>
    </row>
    <row r="1443" ht="12.75" customHeight="1">
      <c r="A1443" s="28" t="s">
        <v>762</v>
      </c>
      <c r="B1443" s="28" t="s">
        <v>497</v>
      </c>
      <c r="C1443" s="42" t="s">
        <v>3819</v>
      </c>
      <c r="D1443" s="42" t="s">
        <v>243</v>
      </c>
      <c r="E1443" s="42" t="s">
        <v>670</v>
      </c>
      <c r="F1443" s="28" t="s">
        <v>3820</v>
      </c>
      <c r="G1443" s="28">
        <v>31.2</v>
      </c>
      <c r="H1443" s="66"/>
      <c r="I1443" s="42"/>
      <c r="J1443" s="42"/>
      <c r="K1443" s="42"/>
      <c r="L1443" s="42"/>
      <c r="M1443" s="42"/>
      <c r="N1443" s="42"/>
      <c r="O1443" s="42"/>
      <c r="P1443" s="42"/>
      <c r="Q1443" s="42"/>
      <c r="R1443" s="42"/>
      <c r="S1443" s="42"/>
      <c r="T1443" s="42"/>
      <c r="U1443" s="42"/>
      <c r="V1443" s="42"/>
      <c r="W1443" s="42"/>
      <c r="X1443" s="42"/>
      <c r="Y1443" s="42"/>
      <c r="Z1443" s="42"/>
    </row>
    <row r="1444" ht="12.75" customHeight="1">
      <c r="A1444" s="28" t="s">
        <v>729</v>
      </c>
      <c r="B1444" s="28" t="s">
        <v>602</v>
      </c>
      <c r="C1444" s="42" t="s">
        <v>3821</v>
      </c>
      <c r="D1444" s="42" t="s">
        <v>665</v>
      </c>
      <c r="E1444" s="42" t="s">
        <v>3822</v>
      </c>
      <c r="F1444" s="28" t="s">
        <v>2408</v>
      </c>
      <c r="G1444" s="28">
        <v>33.2</v>
      </c>
      <c r="H1444" s="66"/>
      <c r="I1444" s="42"/>
      <c r="J1444" s="42"/>
      <c r="K1444" s="42"/>
      <c r="L1444" s="42"/>
      <c r="M1444" s="42"/>
      <c r="N1444" s="42"/>
      <c r="O1444" s="42"/>
      <c r="P1444" s="42"/>
      <c r="Q1444" s="42"/>
      <c r="R1444" s="42"/>
      <c r="S1444" s="42"/>
      <c r="T1444" s="42"/>
      <c r="U1444" s="42"/>
      <c r="V1444" s="42"/>
      <c r="W1444" s="42"/>
      <c r="X1444" s="42"/>
      <c r="Y1444" s="42"/>
      <c r="Z1444" s="42"/>
    </row>
    <row r="1445" ht="12.75" customHeight="1">
      <c r="A1445" s="28" t="s">
        <v>3823</v>
      </c>
      <c r="B1445" s="28" t="s">
        <v>165</v>
      </c>
      <c r="C1445" s="42" t="s">
        <v>3821</v>
      </c>
      <c r="D1445" s="42" t="s">
        <v>240</v>
      </c>
      <c r="E1445" s="42" t="s">
        <v>1219</v>
      </c>
      <c r="F1445" s="28" t="s">
        <v>3824</v>
      </c>
      <c r="G1445" s="28">
        <v>31.0</v>
      </c>
      <c r="H1445" s="66"/>
      <c r="I1445" s="42"/>
      <c r="J1445" s="42"/>
      <c r="K1445" s="42"/>
      <c r="L1445" s="42"/>
      <c r="M1445" s="42"/>
      <c r="N1445" s="42"/>
      <c r="O1445" s="42"/>
      <c r="P1445" s="42"/>
      <c r="Q1445" s="42"/>
      <c r="R1445" s="42"/>
      <c r="S1445" s="42"/>
      <c r="T1445" s="42"/>
      <c r="U1445" s="42"/>
      <c r="V1445" s="42"/>
      <c r="W1445" s="42"/>
      <c r="X1445" s="42"/>
      <c r="Y1445" s="42"/>
      <c r="Z1445" s="42"/>
    </row>
    <row r="1446" ht="12.75" customHeight="1">
      <c r="A1446" s="28" t="s">
        <v>589</v>
      </c>
      <c r="B1446" s="28" t="s">
        <v>159</v>
      </c>
      <c r="C1446" s="42" t="s">
        <v>3825</v>
      </c>
      <c r="D1446" s="42" t="s">
        <v>435</v>
      </c>
      <c r="E1446" s="42" t="s">
        <v>162</v>
      </c>
      <c r="F1446" s="28" t="s">
        <v>3826</v>
      </c>
      <c r="G1446" s="28">
        <v>27.8</v>
      </c>
      <c r="H1446" s="66"/>
      <c r="I1446" s="42"/>
      <c r="J1446" s="42"/>
      <c r="K1446" s="42"/>
      <c r="L1446" s="42"/>
      <c r="M1446" s="42"/>
      <c r="N1446" s="42"/>
      <c r="O1446" s="42"/>
      <c r="P1446" s="42"/>
      <c r="Q1446" s="42"/>
      <c r="R1446" s="42"/>
      <c r="S1446" s="42"/>
      <c r="T1446" s="42"/>
      <c r="U1446" s="42"/>
      <c r="V1446" s="42"/>
      <c r="W1446" s="42"/>
      <c r="X1446" s="42"/>
      <c r="Y1446" s="42"/>
      <c r="Z1446" s="42"/>
    </row>
    <row r="1447" ht="12.75" customHeight="1">
      <c r="A1447" s="28" t="s">
        <v>3827</v>
      </c>
      <c r="B1447" s="28" t="s">
        <v>165</v>
      </c>
      <c r="C1447" s="42" t="s">
        <v>3828</v>
      </c>
      <c r="D1447" s="42" t="s">
        <v>1142</v>
      </c>
      <c r="E1447" s="42" t="s">
        <v>388</v>
      </c>
      <c r="F1447" s="28" t="s">
        <v>3829</v>
      </c>
      <c r="G1447" s="28">
        <v>22.6</v>
      </c>
      <c r="H1447" s="66"/>
      <c r="I1447" s="42"/>
      <c r="J1447" s="42"/>
      <c r="K1447" s="42"/>
      <c r="L1447" s="42"/>
      <c r="M1447" s="42"/>
      <c r="N1447" s="42"/>
      <c r="O1447" s="42"/>
      <c r="P1447" s="42"/>
      <c r="Q1447" s="42"/>
      <c r="R1447" s="42"/>
      <c r="S1447" s="42"/>
      <c r="T1447" s="42"/>
      <c r="U1447" s="42"/>
      <c r="V1447" s="42"/>
      <c r="W1447" s="42"/>
      <c r="X1447" s="42"/>
      <c r="Y1447" s="42"/>
      <c r="Z1447" s="42"/>
    </row>
    <row r="1448" ht="12.75" customHeight="1">
      <c r="A1448" s="28" t="s">
        <v>3830</v>
      </c>
      <c r="B1448" s="28" t="s">
        <v>210</v>
      </c>
      <c r="C1448" s="42" t="s">
        <v>3831</v>
      </c>
      <c r="D1448" s="42" t="s">
        <v>3832</v>
      </c>
      <c r="E1448" s="42" t="s">
        <v>3833</v>
      </c>
      <c r="F1448" s="28" t="s">
        <v>3834</v>
      </c>
      <c r="G1448" s="28">
        <v>18.6</v>
      </c>
      <c r="H1448" s="66"/>
      <c r="I1448" s="42"/>
      <c r="J1448" s="42"/>
      <c r="K1448" s="42"/>
      <c r="L1448" s="42"/>
      <c r="M1448" s="42"/>
      <c r="N1448" s="42"/>
      <c r="O1448" s="42"/>
      <c r="P1448" s="42"/>
      <c r="Q1448" s="42"/>
      <c r="R1448" s="42"/>
      <c r="S1448" s="42"/>
      <c r="T1448" s="42"/>
      <c r="U1448" s="42"/>
      <c r="V1448" s="42"/>
      <c r="W1448" s="42"/>
      <c r="X1448" s="42"/>
      <c r="Y1448" s="42"/>
      <c r="Z1448" s="42"/>
    </row>
    <row r="1449" ht="12.75" customHeight="1">
      <c r="A1449" s="28" t="s">
        <v>1036</v>
      </c>
      <c r="B1449" s="28" t="s">
        <v>159</v>
      </c>
      <c r="C1449" s="42" t="s">
        <v>3835</v>
      </c>
      <c r="D1449" s="42" t="s">
        <v>3836</v>
      </c>
      <c r="E1449" s="42" t="s">
        <v>162</v>
      </c>
      <c r="F1449" s="28" t="s">
        <v>3837</v>
      </c>
      <c r="G1449" s="28">
        <v>29.1</v>
      </c>
      <c r="H1449" s="66"/>
      <c r="I1449" s="42"/>
      <c r="J1449" s="42"/>
      <c r="K1449" s="42"/>
      <c r="L1449" s="42"/>
      <c r="M1449" s="42"/>
      <c r="N1449" s="42"/>
      <c r="O1449" s="42"/>
      <c r="P1449" s="42"/>
      <c r="Q1449" s="42"/>
      <c r="R1449" s="42"/>
      <c r="S1449" s="42"/>
      <c r="T1449" s="42"/>
      <c r="U1449" s="42"/>
      <c r="V1449" s="42"/>
      <c r="W1449" s="42"/>
      <c r="X1449" s="42"/>
      <c r="Y1449" s="42"/>
      <c r="Z1449" s="42"/>
    </row>
    <row r="1450" ht="12.75" customHeight="1">
      <c r="A1450" s="28" t="s">
        <v>3838</v>
      </c>
      <c r="B1450" s="28" t="s">
        <v>165</v>
      </c>
      <c r="C1450" s="42" t="s">
        <v>3835</v>
      </c>
      <c r="D1450" s="42" t="s">
        <v>286</v>
      </c>
      <c r="E1450" s="42" t="s">
        <v>3833</v>
      </c>
      <c r="F1450" s="28" t="s">
        <v>3839</v>
      </c>
      <c r="G1450" s="28">
        <v>19.2</v>
      </c>
      <c r="H1450" s="66"/>
      <c r="I1450" s="42"/>
      <c r="J1450" s="42"/>
      <c r="K1450" s="42"/>
      <c r="L1450" s="42"/>
      <c r="M1450" s="42"/>
      <c r="N1450" s="42"/>
      <c r="O1450" s="42"/>
      <c r="P1450" s="42"/>
      <c r="Q1450" s="42"/>
      <c r="R1450" s="42"/>
      <c r="S1450" s="42"/>
      <c r="T1450" s="42"/>
      <c r="U1450" s="42"/>
      <c r="V1450" s="42"/>
      <c r="W1450" s="42"/>
      <c r="X1450" s="42"/>
      <c r="Y1450" s="42"/>
      <c r="Z1450" s="42"/>
    </row>
    <row r="1451" ht="12.75" customHeight="1">
      <c r="A1451" s="28" t="s">
        <v>3840</v>
      </c>
      <c r="B1451" s="28" t="s">
        <v>165</v>
      </c>
      <c r="C1451" s="42" t="s">
        <v>3835</v>
      </c>
      <c r="D1451" s="42" t="s">
        <v>447</v>
      </c>
      <c r="E1451" s="42" t="s">
        <v>3841</v>
      </c>
      <c r="F1451" s="28" t="s">
        <v>3842</v>
      </c>
      <c r="G1451" s="28">
        <v>33.1</v>
      </c>
      <c r="H1451" s="66"/>
      <c r="I1451" s="42"/>
      <c r="J1451" s="42"/>
      <c r="K1451" s="42"/>
      <c r="L1451" s="42"/>
      <c r="M1451" s="42"/>
      <c r="N1451" s="42"/>
      <c r="O1451" s="42"/>
      <c r="P1451" s="42"/>
      <c r="Q1451" s="42"/>
      <c r="R1451" s="42"/>
      <c r="S1451" s="42"/>
      <c r="T1451" s="42"/>
      <c r="U1451" s="42"/>
      <c r="V1451" s="42"/>
      <c r="W1451" s="42"/>
      <c r="X1451" s="42"/>
      <c r="Y1451" s="42"/>
      <c r="Z1451" s="42"/>
    </row>
    <row r="1452" ht="12.75" customHeight="1">
      <c r="A1452" s="28" t="s">
        <v>3843</v>
      </c>
      <c r="B1452" s="28" t="s">
        <v>165</v>
      </c>
      <c r="C1452" s="42" t="s">
        <v>3844</v>
      </c>
      <c r="D1452" s="42" t="s">
        <v>611</v>
      </c>
      <c r="E1452" s="42" t="s">
        <v>162</v>
      </c>
      <c r="F1452" s="28" t="s">
        <v>3364</v>
      </c>
      <c r="G1452" s="28">
        <v>28.3</v>
      </c>
      <c r="H1452" s="66"/>
      <c r="I1452" s="42"/>
      <c r="J1452" s="42"/>
      <c r="K1452" s="42"/>
      <c r="L1452" s="42"/>
      <c r="M1452" s="42"/>
      <c r="N1452" s="42"/>
      <c r="O1452" s="42"/>
      <c r="P1452" s="42"/>
      <c r="Q1452" s="42"/>
      <c r="R1452" s="42"/>
      <c r="S1452" s="42"/>
      <c r="T1452" s="42"/>
      <c r="U1452" s="42"/>
      <c r="V1452" s="42"/>
      <c r="W1452" s="42"/>
      <c r="X1452" s="42"/>
      <c r="Y1452" s="42"/>
      <c r="Z1452" s="42"/>
    </row>
    <row r="1453" ht="12.75" customHeight="1">
      <c r="A1453" s="28" t="s">
        <v>639</v>
      </c>
      <c r="B1453" s="28" t="s">
        <v>219</v>
      </c>
      <c r="C1453" s="42" t="s">
        <v>3845</v>
      </c>
      <c r="D1453" s="42" t="s">
        <v>251</v>
      </c>
      <c r="E1453" s="42" t="s">
        <v>162</v>
      </c>
      <c r="F1453" s="28" t="s">
        <v>3846</v>
      </c>
      <c r="G1453" s="28">
        <v>30.1</v>
      </c>
      <c r="H1453" s="66"/>
      <c r="I1453" s="42"/>
      <c r="J1453" s="42"/>
      <c r="K1453" s="42"/>
      <c r="L1453" s="42"/>
      <c r="M1453" s="42"/>
      <c r="N1453" s="42"/>
      <c r="O1453" s="42"/>
      <c r="P1453" s="42"/>
      <c r="Q1453" s="42"/>
      <c r="R1453" s="42"/>
      <c r="S1453" s="42"/>
      <c r="T1453" s="42"/>
      <c r="U1453" s="42"/>
      <c r="V1453" s="42"/>
      <c r="W1453" s="42"/>
      <c r="X1453" s="42"/>
      <c r="Y1453" s="42"/>
      <c r="Z1453" s="42"/>
    </row>
    <row r="1454" ht="12.75" customHeight="1">
      <c r="A1454" s="28" t="s">
        <v>480</v>
      </c>
      <c r="B1454" s="28" t="s">
        <v>165</v>
      </c>
      <c r="C1454" s="42" t="s">
        <v>3847</v>
      </c>
      <c r="D1454" s="42" t="s">
        <v>3848</v>
      </c>
      <c r="E1454" s="42" t="s">
        <v>3849</v>
      </c>
      <c r="F1454" s="28" t="s">
        <v>2225</v>
      </c>
      <c r="G1454" s="28">
        <v>36.5</v>
      </c>
      <c r="H1454" s="66"/>
      <c r="I1454" s="42"/>
      <c r="J1454" s="42"/>
      <c r="K1454" s="42"/>
      <c r="L1454" s="42"/>
      <c r="M1454" s="42"/>
      <c r="N1454" s="42"/>
      <c r="O1454" s="42"/>
      <c r="P1454" s="42"/>
      <c r="Q1454" s="42"/>
      <c r="R1454" s="42"/>
      <c r="S1454" s="42"/>
      <c r="T1454" s="42"/>
      <c r="U1454" s="42"/>
      <c r="V1454" s="42"/>
      <c r="W1454" s="42"/>
      <c r="X1454" s="42"/>
      <c r="Y1454" s="42"/>
      <c r="Z1454" s="42"/>
    </row>
    <row r="1455" ht="12.75" customHeight="1">
      <c r="A1455" s="28" t="s">
        <v>3850</v>
      </c>
      <c r="B1455" s="28" t="s">
        <v>165</v>
      </c>
      <c r="C1455" s="42" t="s">
        <v>3851</v>
      </c>
      <c r="D1455" s="42" t="s">
        <v>141</v>
      </c>
      <c r="E1455" s="42" t="s">
        <v>715</v>
      </c>
      <c r="F1455" s="28" t="s">
        <v>3852</v>
      </c>
      <c r="G1455" s="28">
        <v>21.6</v>
      </c>
      <c r="H1455" s="66"/>
      <c r="I1455" s="42"/>
      <c r="J1455" s="42"/>
      <c r="K1455" s="42"/>
      <c r="L1455" s="42"/>
      <c r="M1455" s="42"/>
      <c r="N1455" s="42"/>
      <c r="O1455" s="42"/>
      <c r="P1455" s="42"/>
      <c r="Q1455" s="42"/>
      <c r="R1455" s="42"/>
      <c r="S1455" s="42"/>
      <c r="T1455" s="42"/>
      <c r="U1455" s="42"/>
      <c r="V1455" s="42"/>
      <c r="W1455" s="42"/>
      <c r="X1455" s="42"/>
      <c r="Y1455" s="42"/>
      <c r="Z1455" s="42"/>
    </row>
    <row r="1456" ht="12.75" customHeight="1">
      <c r="A1456" s="28" t="s">
        <v>3853</v>
      </c>
      <c r="B1456" s="28" t="s">
        <v>165</v>
      </c>
      <c r="C1456" s="42" t="s">
        <v>3854</v>
      </c>
      <c r="D1456" s="42" t="s">
        <v>3329</v>
      </c>
      <c r="E1456" s="42" t="s">
        <v>3855</v>
      </c>
      <c r="F1456" s="28" t="s">
        <v>3856</v>
      </c>
      <c r="G1456" s="28">
        <v>31.6</v>
      </c>
      <c r="H1456" s="66"/>
      <c r="I1456" s="42"/>
      <c r="J1456" s="42"/>
      <c r="K1456" s="42"/>
      <c r="L1456" s="42"/>
      <c r="M1456" s="42"/>
      <c r="N1456" s="42"/>
      <c r="O1456" s="42"/>
      <c r="P1456" s="42"/>
      <c r="Q1456" s="42"/>
      <c r="R1456" s="42"/>
      <c r="S1456" s="42"/>
      <c r="T1456" s="42"/>
      <c r="U1456" s="42"/>
      <c r="V1456" s="42"/>
      <c r="W1456" s="42"/>
      <c r="X1456" s="42"/>
      <c r="Y1456" s="42"/>
      <c r="Z1456" s="42"/>
    </row>
    <row r="1457" ht="12.75" customHeight="1">
      <c r="A1457" s="28" t="s">
        <v>583</v>
      </c>
      <c r="B1457" s="28" t="s">
        <v>602</v>
      </c>
      <c r="C1457" s="42" t="s">
        <v>3857</v>
      </c>
      <c r="D1457" s="42" t="s">
        <v>251</v>
      </c>
      <c r="E1457" s="42" t="s">
        <v>156</v>
      </c>
      <c r="F1457" s="28" t="s">
        <v>2641</v>
      </c>
      <c r="G1457" s="28">
        <v>27.3</v>
      </c>
      <c r="H1457" s="66"/>
      <c r="I1457" s="42"/>
      <c r="J1457" s="42"/>
      <c r="K1457" s="42"/>
      <c r="L1457" s="42"/>
      <c r="M1457" s="42"/>
      <c r="N1457" s="42"/>
      <c r="O1457" s="42"/>
      <c r="P1457" s="42"/>
      <c r="Q1457" s="42"/>
      <c r="R1457" s="42"/>
      <c r="S1457" s="42"/>
      <c r="T1457" s="42"/>
      <c r="U1457" s="42"/>
      <c r="V1457" s="42"/>
      <c r="W1457" s="42"/>
      <c r="X1457" s="42"/>
      <c r="Y1457" s="42"/>
      <c r="Z1457" s="42"/>
    </row>
    <row r="1458" ht="12.75" customHeight="1">
      <c r="A1458" s="28" t="s">
        <v>284</v>
      </c>
      <c r="B1458" s="28" t="s">
        <v>159</v>
      </c>
      <c r="C1458" s="42" t="s">
        <v>3857</v>
      </c>
      <c r="D1458" s="42" t="s">
        <v>290</v>
      </c>
      <c r="E1458" s="42" t="s">
        <v>156</v>
      </c>
      <c r="F1458" s="28" t="s">
        <v>3858</v>
      </c>
      <c r="G1458" s="28">
        <v>25.6</v>
      </c>
      <c r="H1458" s="66"/>
      <c r="I1458" s="42"/>
      <c r="J1458" s="42"/>
      <c r="K1458" s="42"/>
      <c r="L1458" s="42"/>
      <c r="M1458" s="42"/>
      <c r="N1458" s="42"/>
      <c r="O1458" s="42"/>
      <c r="P1458" s="42"/>
      <c r="Q1458" s="42"/>
      <c r="R1458" s="42"/>
      <c r="S1458" s="42"/>
      <c r="T1458" s="42"/>
      <c r="U1458" s="42"/>
      <c r="V1458" s="42"/>
      <c r="W1458" s="42"/>
      <c r="X1458" s="42"/>
      <c r="Y1458" s="42"/>
      <c r="Z1458" s="42"/>
    </row>
    <row r="1459" ht="12.75" customHeight="1">
      <c r="A1459" s="28" t="s">
        <v>3859</v>
      </c>
      <c r="B1459" s="28" t="s">
        <v>165</v>
      </c>
      <c r="C1459" s="42" t="s">
        <v>3860</v>
      </c>
      <c r="D1459" s="42" t="s">
        <v>2645</v>
      </c>
      <c r="E1459" s="42" t="s">
        <v>162</v>
      </c>
      <c r="F1459" s="28" t="s">
        <v>1111</v>
      </c>
      <c r="G1459" s="28">
        <v>25.4</v>
      </c>
      <c r="H1459" s="66"/>
      <c r="I1459" s="42"/>
      <c r="J1459" s="42"/>
      <c r="K1459" s="42"/>
      <c r="L1459" s="42"/>
      <c r="M1459" s="42"/>
      <c r="N1459" s="42"/>
      <c r="O1459" s="42"/>
      <c r="P1459" s="42"/>
      <c r="Q1459" s="42"/>
      <c r="R1459" s="42"/>
      <c r="S1459" s="42"/>
      <c r="T1459" s="42"/>
      <c r="U1459" s="42"/>
      <c r="V1459" s="42"/>
      <c r="W1459" s="42"/>
      <c r="X1459" s="42"/>
      <c r="Y1459" s="42"/>
      <c r="Z1459" s="42"/>
    </row>
    <row r="1460" ht="12.75" customHeight="1">
      <c r="A1460" s="28" t="s">
        <v>425</v>
      </c>
      <c r="B1460" s="28" t="s">
        <v>165</v>
      </c>
      <c r="C1460" s="42" t="s">
        <v>3861</v>
      </c>
      <c r="D1460" s="42" t="s">
        <v>691</v>
      </c>
      <c r="E1460" s="42" t="s">
        <v>427</v>
      </c>
      <c r="F1460" s="28" t="s">
        <v>2347</v>
      </c>
      <c r="G1460" s="28">
        <v>13.0</v>
      </c>
      <c r="H1460" s="66"/>
      <c r="I1460" s="42"/>
      <c r="J1460" s="42"/>
      <c r="K1460" s="42"/>
      <c r="L1460" s="42"/>
      <c r="M1460" s="42"/>
      <c r="N1460" s="42"/>
      <c r="O1460" s="42"/>
      <c r="P1460" s="42"/>
      <c r="Q1460" s="42"/>
      <c r="R1460" s="42"/>
      <c r="S1460" s="42"/>
      <c r="T1460" s="42"/>
      <c r="U1460" s="42"/>
      <c r="V1460" s="42"/>
      <c r="W1460" s="42"/>
      <c r="X1460" s="42"/>
      <c r="Y1460" s="42"/>
      <c r="Z1460" s="42"/>
    </row>
    <row r="1461" ht="12.75" customHeight="1">
      <c r="A1461" s="28" t="s">
        <v>3862</v>
      </c>
      <c r="B1461" s="28" t="s">
        <v>165</v>
      </c>
      <c r="C1461" s="42" t="s">
        <v>3863</v>
      </c>
      <c r="D1461" s="42" t="s">
        <v>955</v>
      </c>
      <c r="E1461" s="42" t="s">
        <v>162</v>
      </c>
      <c r="F1461" s="28" t="s">
        <v>3213</v>
      </c>
      <c r="G1461" s="28">
        <v>27.7</v>
      </c>
      <c r="H1461" s="66"/>
      <c r="I1461" s="42"/>
      <c r="J1461" s="42"/>
      <c r="K1461" s="42"/>
      <c r="L1461" s="42"/>
      <c r="M1461" s="42"/>
      <c r="N1461" s="42"/>
      <c r="O1461" s="42"/>
      <c r="P1461" s="42"/>
      <c r="Q1461" s="42"/>
      <c r="R1461" s="42"/>
      <c r="S1461" s="42"/>
      <c r="T1461" s="42"/>
      <c r="U1461" s="42"/>
      <c r="V1461" s="42"/>
      <c r="W1461" s="42"/>
      <c r="X1461" s="42"/>
      <c r="Y1461" s="42"/>
      <c r="Z1461" s="42"/>
    </row>
    <row r="1462" ht="12.75" customHeight="1">
      <c r="A1462" s="28" t="s">
        <v>503</v>
      </c>
      <c r="B1462" s="28" t="s">
        <v>497</v>
      </c>
      <c r="C1462" s="42" t="s">
        <v>3864</v>
      </c>
      <c r="D1462" s="42" t="s">
        <v>185</v>
      </c>
      <c r="E1462" s="42" t="s">
        <v>2093</v>
      </c>
      <c r="F1462" s="28" t="s">
        <v>3865</v>
      </c>
      <c r="G1462" s="28">
        <v>26.3</v>
      </c>
      <c r="H1462" s="66"/>
      <c r="I1462" s="42"/>
      <c r="J1462" s="42"/>
      <c r="K1462" s="42"/>
      <c r="L1462" s="42"/>
      <c r="M1462" s="42"/>
      <c r="N1462" s="42"/>
      <c r="O1462" s="42"/>
      <c r="P1462" s="42"/>
      <c r="Q1462" s="42"/>
      <c r="R1462" s="42"/>
      <c r="S1462" s="42"/>
      <c r="T1462" s="42"/>
      <c r="U1462" s="42"/>
      <c r="V1462" s="42"/>
      <c r="W1462" s="42"/>
      <c r="X1462" s="42"/>
      <c r="Y1462" s="42"/>
      <c r="Z1462" s="42"/>
    </row>
    <row r="1463" ht="12.75" customHeight="1">
      <c r="A1463" s="28" t="s">
        <v>1194</v>
      </c>
      <c r="B1463" s="28" t="s">
        <v>159</v>
      </c>
      <c r="C1463" s="42" t="s">
        <v>3866</v>
      </c>
      <c r="D1463" s="42" t="s">
        <v>203</v>
      </c>
      <c r="E1463" s="42" t="s">
        <v>1412</v>
      </c>
      <c r="F1463" s="28" t="s">
        <v>1106</v>
      </c>
      <c r="G1463" s="28">
        <v>32.7</v>
      </c>
      <c r="H1463" s="66"/>
      <c r="I1463" s="42"/>
      <c r="J1463" s="42"/>
      <c r="K1463" s="42"/>
      <c r="L1463" s="42"/>
      <c r="M1463" s="42"/>
      <c r="N1463" s="42"/>
      <c r="O1463" s="42"/>
      <c r="P1463" s="42"/>
      <c r="Q1463" s="42"/>
      <c r="R1463" s="42"/>
      <c r="S1463" s="42"/>
      <c r="T1463" s="42"/>
      <c r="U1463" s="42"/>
      <c r="V1463" s="42"/>
      <c r="W1463" s="42"/>
      <c r="X1463" s="42"/>
      <c r="Y1463" s="42"/>
      <c r="Z1463" s="42"/>
    </row>
    <row r="1464" ht="12.75" customHeight="1">
      <c r="A1464" s="28" t="s">
        <v>847</v>
      </c>
      <c r="B1464" s="28" t="s">
        <v>159</v>
      </c>
      <c r="C1464" s="42" t="s">
        <v>3867</v>
      </c>
      <c r="D1464" s="42" t="s">
        <v>447</v>
      </c>
      <c r="E1464" s="42" t="s">
        <v>162</v>
      </c>
      <c r="F1464" s="28" t="s">
        <v>2274</v>
      </c>
      <c r="G1464" s="28">
        <v>27.9</v>
      </c>
      <c r="H1464" s="66"/>
      <c r="I1464" s="42"/>
      <c r="J1464" s="42"/>
      <c r="K1464" s="42"/>
      <c r="L1464" s="42"/>
      <c r="M1464" s="42"/>
      <c r="N1464" s="42"/>
      <c r="O1464" s="42"/>
      <c r="P1464" s="42"/>
      <c r="Q1464" s="42"/>
      <c r="R1464" s="42"/>
      <c r="S1464" s="42"/>
      <c r="T1464" s="42"/>
      <c r="U1464" s="42"/>
      <c r="V1464" s="42"/>
      <c r="W1464" s="42"/>
      <c r="X1464" s="42"/>
      <c r="Y1464" s="42"/>
      <c r="Z1464" s="42"/>
    </row>
    <row r="1465" ht="12.75" customHeight="1">
      <c r="A1465" s="28" t="s">
        <v>372</v>
      </c>
      <c r="B1465" s="28" t="s">
        <v>165</v>
      </c>
      <c r="C1465" s="42" t="s">
        <v>3868</v>
      </c>
      <c r="D1465" s="42" t="s">
        <v>1153</v>
      </c>
      <c r="E1465" s="42" t="s">
        <v>162</v>
      </c>
      <c r="F1465" s="28" t="s">
        <v>3869</v>
      </c>
      <c r="G1465" s="28">
        <v>36.2</v>
      </c>
      <c r="H1465" s="66"/>
      <c r="I1465" s="42"/>
      <c r="J1465" s="42"/>
      <c r="K1465" s="42"/>
      <c r="L1465" s="42"/>
      <c r="M1465" s="42"/>
      <c r="N1465" s="42"/>
      <c r="O1465" s="42"/>
      <c r="P1465" s="42"/>
      <c r="Q1465" s="42"/>
      <c r="R1465" s="42"/>
      <c r="S1465" s="42"/>
      <c r="T1465" s="42"/>
      <c r="U1465" s="42"/>
      <c r="V1465" s="42"/>
      <c r="W1465" s="42"/>
      <c r="X1465" s="42"/>
      <c r="Y1465" s="42"/>
      <c r="Z1465" s="42"/>
    </row>
    <row r="1466" ht="12.75" customHeight="1">
      <c r="A1466" s="28" t="s">
        <v>1053</v>
      </c>
      <c r="B1466" s="28" t="s">
        <v>165</v>
      </c>
      <c r="C1466" s="42" t="s">
        <v>3870</v>
      </c>
      <c r="D1466" s="42" t="s">
        <v>141</v>
      </c>
      <c r="E1466" s="42" t="s">
        <v>156</v>
      </c>
      <c r="F1466" s="28" t="s">
        <v>758</v>
      </c>
      <c r="G1466" s="28">
        <v>26.3</v>
      </c>
      <c r="H1466" s="66"/>
      <c r="I1466" s="42"/>
      <c r="J1466" s="42"/>
      <c r="K1466" s="42"/>
      <c r="L1466" s="42"/>
      <c r="M1466" s="42"/>
      <c r="N1466" s="42"/>
      <c r="O1466" s="42"/>
      <c r="P1466" s="42"/>
      <c r="Q1466" s="42"/>
      <c r="R1466" s="42"/>
      <c r="S1466" s="42"/>
      <c r="T1466" s="42"/>
      <c r="U1466" s="42"/>
      <c r="V1466" s="42"/>
      <c r="W1466" s="42"/>
      <c r="X1466" s="42"/>
      <c r="Y1466" s="42"/>
      <c r="Z1466" s="42"/>
    </row>
    <row r="1467" ht="12.75" customHeight="1">
      <c r="A1467" s="28" t="s">
        <v>3871</v>
      </c>
      <c r="B1467" s="28" t="s">
        <v>884</v>
      </c>
      <c r="C1467" s="42" t="s">
        <v>3872</v>
      </c>
      <c r="D1467" s="42" t="s">
        <v>778</v>
      </c>
      <c r="E1467" s="42" t="s">
        <v>887</v>
      </c>
      <c r="F1467" s="28" t="s">
        <v>3873</v>
      </c>
      <c r="G1467" s="28">
        <v>43.0</v>
      </c>
      <c r="H1467" s="66"/>
      <c r="I1467" s="42"/>
      <c r="J1467" s="42"/>
      <c r="K1467" s="42"/>
      <c r="L1467" s="42"/>
      <c r="M1467" s="42"/>
      <c r="N1467" s="42"/>
      <c r="O1467" s="42"/>
      <c r="P1467" s="42"/>
      <c r="Q1467" s="42"/>
      <c r="R1467" s="42"/>
      <c r="S1467" s="42"/>
      <c r="T1467" s="42"/>
      <c r="U1467" s="42"/>
      <c r="V1467" s="42"/>
      <c r="W1467" s="42"/>
      <c r="X1467" s="42"/>
      <c r="Y1467" s="42"/>
      <c r="Z1467" s="42"/>
    </row>
    <row r="1468" ht="12.75" customHeight="1">
      <c r="A1468" s="28" t="s">
        <v>3874</v>
      </c>
      <c r="B1468" s="28" t="s">
        <v>210</v>
      </c>
      <c r="C1468" s="42" t="s">
        <v>3875</v>
      </c>
      <c r="D1468" s="42" t="s">
        <v>3876</v>
      </c>
      <c r="E1468" s="42" t="s">
        <v>162</v>
      </c>
      <c r="F1468" s="28" t="s">
        <v>3877</v>
      </c>
      <c r="G1468" s="28">
        <v>17.4</v>
      </c>
      <c r="H1468" s="66"/>
      <c r="I1468" s="42"/>
      <c r="J1468" s="42"/>
      <c r="K1468" s="42"/>
      <c r="L1468" s="42"/>
      <c r="M1468" s="42"/>
      <c r="N1468" s="42"/>
      <c r="O1468" s="42"/>
      <c r="P1468" s="42"/>
      <c r="Q1468" s="42"/>
      <c r="R1468" s="42"/>
      <c r="S1468" s="42"/>
      <c r="T1468" s="42"/>
      <c r="U1468" s="42"/>
      <c r="V1468" s="42"/>
      <c r="W1468" s="42"/>
      <c r="X1468" s="42"/>
      <c r="Y1468" s="42"/>
      <c r="Z1468" s="42"/>
    </row>
    <row r="1469" ht="12.75" customHeight="1">
      <c r="A1469" s="28" t="s">
        <v>284</v>
      </c>
      <c r="B1469" s="28" t="s">
        <v>159</v>
      </c>
      <c r="C1469" s="42" t="s">
        <v>3878</v>
      </c>
      <c r="D1469" s="42" t="s">
        <v>459</v>
      </c>
      <c r="E1469" s="42" t="s">
        <v>162</v>
      </c>
      <c r="F1469" s="28" t="s">
        <v>3879</v>
      </c>
      <c r="G1469" s="28">
        <v>28.5</v>
      </c>
      <c r="H1469" s="66"/>
      <c r="I1469" s="42"/>
      <c r="J1469" s="42"/>
      <c r="K1469" s="42"/>
      <c r="L1469" s="42"/>
      <c r="M1469" s="42"/>
      <c r="N1469" s="42"/>
      <c r="O1469" s="42"/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</row>
    <row r="1470" ht="12.75" customHeight="1">
      <c r="A1470" s="28" t="s">
        <v>257</v>
      </c>
      <c r="B1470" s="28" t="s">
        <v>165</v>
      </c>
      <c r="C1470" s="42" t="s">
        <v>3880</v>
      </c>
      <c r="D1470" s="42" t="s">
        <v>198</v>
      </c>
      <c r="E1470" s="42" t="s">
        <v>156</v>
      </c>
      <c r="F1470" s="28" t="s">
        <v>3881</v>
      </c>
      <c r="G1470" s="28">
        <v>28.7</v>
      </c>
      <c r="H1470" s="66"/>
      <c r="I1470" s="42"/>
      <c r="J1470" s="42"/>
      <c r="K1470" s="42"/>
      <c r="L1470" s="42"/>
      <c r="M1470" s="42"/>
      <c r="N1470" s="42"/>
      <c r="O1470" s="42"/>
      <c r="P1470" s="42"/>
      <c r="Q1470" s="42"/>
      <c r="R1470" s="42"/>
      <c r="S1470" s="42"/>
      <c r="T1470" s="42"/>
      <c r="U1470" s="42"/>
      <c r="V1470" s="42"/>
      <c r="W1470" s="42"/>
      <c r="X1470" s="42"/>
      <c r="Y1470" s="42"/>
      <c r="Z1470" s="42"/>
    </row>
    <row r="1471" ht="12.75" customHeight="1">
      <c r="A1471" s="28" t="s">
        <v>3882</v>
      </c>
      <c r="B1471" s="28" t="s">
        <v>165</v>
      </c>
      <c r="C1471" s="42" t="s">
        <v>3883</v>
      </c>
      <c r="D1471" s="42" t="s">
        <v>251</v>
      </c>
      <c r="E1471" s="42" t="s">
        <v>653</v>
      </c>
      <c r="F1471" s="28" t="s">
        <v>3884</v>
      </c>
      <c r="G1471" s="28">
        <v>23.3</v>
      </c>
      <c r="H1471" s="66"/>
      <c r="I1471" s="42"/>
      <c r="J1471" s="42"/>
      <c r="K1471" s="42"/>
      <c r="L1471" s="42"/>
      <c r="M1471" s="42"/>
      <c r="N1471" s="42"/>
      <c r="O1471" s="42"/>
      <c r="P1471" s="42"/>
      <c r="Q1471" s="42"/>
      <c r="R1471" s="42"/>
      <c r="S1471" s="42"/>
      <c r="T1471" s="42"/>
      <c r="U1471" s="42"/>
      <c r="V1471" s="42"/>
      <c r="W1471" s="42"/>
      <c r="X1471" s="42"/>
      <c r="Y1471" s="42"/>
      <c r="Z1471" s="42"/>
    </row>
    <row r="1472" ht="12.75" customHeight="1">
      <c r="A1472" s="28" t="s">
        <v>1873</v>
      </c>
      <c r="B1472" s="28" t="s">
        <v>219</v>
      </c>
      <c r="C1472" s="42" t="s">
        <v>3885</v>
      </c>
      <c r="D1472" s="42" t="s">
        <v>286</v>
      </c>
      <c r="E1472" s="42" t="s">
        <v>1165</v>
      </c>
      <c r="F1472" s="28" t="s">
        <v>3593</v>
      </c>
      <c r="G1472" s="28">
        <v>31.3</v>
      </c>
      <c r="H1472" s="66"/>
      <c r="I1472" s="42"/>
      <c r="J1472" s="42"/>
      <c r="K1472" s="42"/>
      <c r="L1472" s="42"/>
      <c r="M1472" s="42"/>
      <c r="N1472" s="42"/>
      <c r="O1472" s="42"/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</row>
    <row r="1473" ht="12.75" customHeight="1">
      <c r="A1473" s="28" t="s">
        <v>238</v>
      </c>
      <c r="B1473" s="28" t="s">
        <v>210</v>
      </c>
      <c r="C1473" s="42" t="s">
        <v>3886</v>
      </c>
      <c r="D1473" s="42" t="s">
        <v>3887</v>
      </c>
      <c r="E1473" s="42" t="s">
        <v>156</v>
      </c>
      <c r="F1473" s="28" t="s">
        <v>1603</v>
      </c>
      <c r="G1473" s="28">
        <v>28.4</v>
      </c>
      <c r="H1473" s="66"/>
      <c r="I1473" s="42"/>
      <c r="J1473" s="42"/>
      <c r="K1473" s="42"/>
      <c r="L1473" s="42"/>
      <c r="M1473" s="42"/>
      <c r="N1473" s="42"/>
      <c r="O1473" s="42"/>
      <c r="P1473" s="42"/>
      <c r="Q1473" s="42"/>
      <c r="R1473" s="42"/>
      <c r="S1473" s="42"/>
      <c r="T1473" s="42"/>
      <c r="U1473" s="42"/>
      <c r="V1473" s="42"/>
      <c r="W1473" s="42"/>
      <c r="X1473" s="42"/>
      <c r="Y1473" s="42"/>
      <c r="Z1473" s="42"/>
    </row>
    <row r="1474" ht="12.75" customHeight="1">
      <c r="A1474" s="28" t="s">
        <v>1350</v>
      </c>
      <c r="B1474" s="28" t="s">
        <v>165</v>
      </c>
      <c r="C1474" s="42" t="s">
        <v>3888</v>
      </c>
      <c r="D1474" s="42" t="s">
        <v>276</v>
      </c>
      <c r="E1474" s="42" t="s">
        <v>162</v>
      </c>
      <c r="F1474" s="28" t="s">
        <v>3889</v>
      </c>
      <c r="G1474" s="28">
        <v>23.0</v>
      </c>
      <c r="H1474" s="66"/>
      <c r="I1474" s="42"/>
      <c r="J1474" s="42"/>
      <c r="K1474" s="42"/>
      <c r="L1474" s="42"/>
      <c r="M1474" s="42"/>
      <c r="N1474" s="42"/>
      <c r="O1474" s="42"/>
      <c r="P1474" s="42"/>
      <c r="Q1474" s="42"/>
      <c r="R1474" s="42"/>
      <c r="S1474" s="42"/>
      <c r="T1474" s="42"/>
      <c r="U1474" s="42"/>
      <c r="V1474" s="42"/>
      <c r="W1474" s="42"/>
      <c r="X1474" s="42"/>
      <c r="Y1474" s="42"/>
      <c r="Z1474" s="42"/>
    </row>
    <row r="1475" ht="12.75" customHeight="1">
      <c r="A1475" s="28" t="s">
        <v>1199</v>
      </c>
      <c r="B1475" s="28" t="s">
        <v>215</v>
      </c>
      <c r="C1475" s="42" t="s">
        <v>3890</v>
      </c>
      <c r="D1475" s="42" t="s">
        <v>606</v>
      </c>
      <c r="E1475" s="42" t="s">
        <v>162</v>
      </c>
      <c r="F1475" s="28" t="s">
        <v>3891</v>
      </c>
      <c r="G1475" s="28">
        <v>33.8</v>
      </c>
      <c r="H1475" s="66"/>
      <c r="I1475" s="42"/>
      <c r="J1475" s="42"/>
      <c r="K1475" s="42"/>
      <c r="L1475" s="42"/>
      <c r="M1475" s="42"/>
      <c r="N1475" s="42"/>
      <c r="O1475" s="42"/>
      <c r="P1475" s="42"/>
      <c r="Q1475" s="42"/>
      <c r="R1475" s="42"/>
      <c r="S1475" s="42"/>
      <c r="T1475" s="42"/>
      <c r="U1475" s="42"/>
      <c r="V1475" s="42"/>
      <c r="W1475" s="42"/>
      <c r="X1475" s="42"/>
      <c r="Y1475" s="42"/>
      <c r="Z1475" s="42"/>
    </row>
    <row r="1476" ht="12.75" customHeight="1">
      <c r="A1476" s="28" t="s">
        <v>1053</v>
      </c>
      <c r="B1476" s="28" t="s">
        <v>210</v>
      </c>
      <c r="C1476" s="42" t="s">
        <v>3892</v>
      </c>
      <c r="D1476" s="42" t="s">
        <v>3893</v>
      </c>
      <c r="E1476" s="42" t="s">
        <v>3894</v>
      </c>
      <c r="F1476" s="28" t="s">
        <v>3895</v>
      </c>
      <c r="G1476" s="28">
        <v>22.5</v>
      </c>
      <c r="H1476" s="66"/>
      <c r="I1476" s="42"/>
      <c r="J1476" s="42"/>
      <c r="K1476" s="42"/>
      <c r="L1476" s="42"/>
      <c r="M1476" s="42"/>
      <c r="N1476" s="42"/>
      <c r="O1476" s="42"/>
      <c r="P1476" s="42"/>
      <c r="Q1476" s="42"/>
      <c r="R1476" s="42"/>
      <c r="S1476" s="42"/>
      <c r="T1476" s="42"/>
      <c r="U1476" s="42"/>
      <c r="V1476" s="42"/>
      <c r="W1476" s="42"/>
      <c r="X1476" s="42"/>
      <c r="Y1476" s="42"/>
      <c r="Z1476" s="42"/>
    </row>
    <row r="1477" ht="12.75" customHeight="1">
      <c r="A1477" s="28" t="s">
        <v>3896</v>
      </c>
      <c r="B1477" s="28" t="s">
        <v>210</v>
      </c>
      <c r="C1477" s="42" t="s">
        <v>3897</v>
      </c>
      <c r="D1477" s="42" t="s">
        <v>349</v>
      </c>
      <c r="E1477" s="42" t="s">
        <v>388</v>
      </c>
      <c r="F1477" s="28" t="s">
        <v>3257</v>
      </c>
      <c r="G1477" s="28">
        <v>21.8</v>
      </c>
      <c r="H1477" s="66"/>
      <c r="I1477" s="42"/>
      <c r="J1477" s="42"/>
      <c r="K1477" s="42"/>
      <c r="L1477" s="42"/>
      <c r="M1477" s="42"/>
      <c r="N1477" s="42"/>
      <c r="O1477" s="42"/>
      <c r="P1477" s="42"/>
      <c r="Q1477" s="42"/>
      <c r="R1477" s="42"/>
      <c r="S1477" s="42"/>
      <c r="T1477" s="42"/>
      <c r="U1477" s="42"/>
      <c r="V1477" s="42"/>
      <c r="W1477" s="42"/>
      <c r="X1477" s="42"/>
      <c r="Y1477" s="42"/>
      <c r="Z1477" s="42"/>
    </row>
    <row r="1478" ht="12.75" customHeight="1">
      <c r="A1478" s="28" t="s">
        <v>3898</v>
      </c>
      <c r="B1478" s="28" t="s">
        <v>210</v>
      </c>
      <c r="C1478" s="42" t="s">
        <v>3899</v>
      </c>
      <c r="D1478" s="42" t="s">
        <v>1850</v>
      </c>
      <c r="E1478" s="42" t="s">
        <v>559</v>
      </c>
      <c r="F1478" s="28" t="s">
        <v>3900</v>
      </c>
      <c r="G1478" s="28">
        <v>27.6</v>
      </c>
      <c r="H1478" s="66"/>
      <c r="I1478" s="42"/>
      <c r="J1478" s="42"/>
      <c r="K1478" s="42"/>
      <c r="L1478" s="42"/>
      <c r="M1478" s="42"/>
      <c r="N1478" s="42"/>
      <c r="O1478" s="42"/>
      <c r="P1478" s="42"/>
      <c r="Q1478" s="42"/>
      <c r="R1478" s="42"/>
      <c r="S1478" s="42"/>
      <c r="T1478" s="42"/>
      <c r="U1478" s="42"/>
      <c r="V1478" s="42"/>
      <c r="W1478" s="42"/>
      <c r="X1478" s="42"/>
      <c r="Y1478" s="42"/>
      <c r="Z1478" s="42"/>
    </row>
    <row r="1479" ht="12.75" customHeight="1">
      <c r="A1479" s="28" t="s">
        <v>3901</v>
      </c>
      <c r="B1479" s="28" t="s">
        <v>210</v>
      </c>
      <c r="C1479" s="42" t="s">
        <v>3899</v>
      </c>
      <c r="D1479" s="42" t="s">
        <v>796</v>
      </c>
      <c r="E1479" s="42" t="s">
        <v>559</v>
      </c>
      <c r="F1479" s="28" t="s">
        <v>3902</v>
      </c>
      <c r="G1479" s="28">
        <v>29.8</v>
      </c>
      <c r="H1479" s="66"/>
      <c r="I1479" s="42"/>
      <c r="J1479" s="42"/>
      <c r="K1479" s="42"/>
      <c r="L1479" s="42"/>
      <c r="M1479" s="42"/>
      <c r="N1479" s="42"/>
      <c r="O1479" s="42"/>
      <c r="P1479" s="42"/>
      <c r="Q1479" s="42"/>
      <c r="R1479" s="42"/>
      <c r="S1479" s="42"/>
      <c r="T1479" s="42"/>
      <c r="U1479" s="42"/>
      <c r="V1479" s="42"/>
      <c r="W1479" s="42"/>
      <c r="X1479" s="42"/>
      <c r="Y1479" s="42"/>
      <c r="Z1479" s="42"/>
    </row>
    <row r="1480" ht="12.75" customHeight="1">
      <c r="A1480" s="28" t="s">
        <v>919</v>
      </c>
      <c r="B1480" s="28" t="s">
        <v>165</v>
      </c>
      <c r="C1480" s="42" t="s">
        <v>3903</v>
      </c>
      <c r="D1480" s="42" t="s">
        <v>407</v>
      </c>
      <c r="E1480" s="42" t="s">
        <v>559</v>
      </c>
      <c r="F1480" s="28" t="s">
        <v>3902</v>
      </c>
      <c r="G1480" s="28">
        <v>29.8</v>
      </c>
      <c r="H1480" s="66"/>
      <c r="I1480" s="42"/>
      <c r="J1480" s="42"/>
      <c r="K1480" s="42"/>
      <c r="L1480" s="42"/>
      <c r="M1480" s="42"/>
      <c r="N1480" s="42"/>
      <c r="O1480" s="42"/>
      <c r="P1480" s="42"/>
      <c r="Q1480" s="42"/>
      <c r="R1480" s="42"/>
      <c r="S1480" s="42"/>
      <c r="T1480" s="42"/>
      <c r="U1480" s="42"/>
      <c r="V1480" s="42"/>
      <c r="W1480" s="42"/>
      <c r="X1480" s="42"/>
      <c r="Y1480" s="42"/>
      <c r="Z1480" s="42"/>
    </row>
    <row r="1481" ht="12.75" customHeight="1">
      <c r="A1481" s="28" t="s">
        <v>566</v>
      </c>
      <c r="B1481" s="28" t="s">
        <v>159</v>
      </c>
      <c r="C1481" s="42" t="s">
        <v>3904</v>
      </c>
      <c r="D1481" s="42" t="s">
        <v>431</v>
      </c>
      <c r="E1481" s="42" t="s">
        <v>162</v>
      </c>
      <c r="F1481" s="28" t="s">
        <v>3905</v>
      </c>
      <c r="G1481" s="28">
        <v>26.8</v>
      </c>
      <c r="H1481" s="66"/>
      <c r="I1481" s="42"/>
      <c r="J1481" s="42"/>
      <c r="K1481" s="42"/>
      <c r="L1481" s="42"/>
      <c r="M1481" s="42"/>
      <c r="N1481" s="42"/>
      <c r="O1481" s="42"/>
      <c r="P1481" s="42"/>
      <c r="Q1481" s="42"/>
      <c r="R1481" s="42"/>
      <c r="S1481" s="42"/>
      <c r="T1481" s="42"/>
      <c r="U1481" s="42"/>
      <c r="V1481" s="42"/>
      <c r="W1481" s="42"/>
      <c r="X1481" s="42"/>
      <c r="Y1481" s="42"/>
      <c r="Z1481" s="42"/>
    </row>
    <row r="1482" ht="12.75" customHeight="1">
      <c r="A1482" s="28" t="s">
        <v>265</v>
      </c>
      <c r="B1482" s="28" t="s">
        <v>159</v>
      </c>
      <c r="C1482" s="42" t="s">
        <v>3906</v>
      </c>
      <c r="D1482" s="42" t="s">
        <v>141</v>
      </c>
      <c r="E1482" s="42" t="s">
        <v>162</v>
      </c>
      <c r="F1482" s="28" t="s">
        <v>3907</v>
      </c>
      <c r="G1482" s="28">
        <v>25.8</v>
      </c>
      <c r="H1482" s="66"/>
      <c r="I1482" s="42"/>
      <c r="J1482" s="42"/>
      <c r="K1482" s="42"/>
      <c r="L1482" s="42"/>
      <c r="M1482" s="42"/>
      <c r="N1482" s="42"/>
      <c r="O1482" s="42"/>
      <c r="P1482" s="42"/>
      <c r="Q1482" s="42"/>
      <c r="R1482" s="42"/>
      <c r="S1482" s="42"/>
      <c r="T1482" s="42"/>
      <c r="U1482" s="42"/>
      <c r="V1482" s="42"/>
      <c r="W1482" s="42"/>
      <c r="X1482" s="42"/>
      <c r="Y1482" s="42"/>
      <c r="Z1482" s="42"/>
    </row>
    <row r="1483" ht="12.75" customHeight="1">
      <c r="A1483" s="28" t="s">
        <v>214</v>
      </c>
      <c r="B1483" s="28" t="s">
        <v>159</v>
      </c>
      <c r="C1483" s="42" t="s">
        <v>3908</v>
      </c>
      <c r="D1483" s="42" t="s">
        <v>1922</v>
      </c>
      <c r="E1483" s="42" t="s">
        <v>156</v>
      </c>
      <c r="F1483" s="28" t="s">
        <v>3909</v>
      </c>
      <c r="G1483" s="28">
        <v>21.1</v>
      </c>
      <c r="H1483" s="66"/>
      <c r="I1483" s="42"/>
      <c r="J1483" s="42"/>
      <c r="K1483" s="42"/>
      <c r="L1483" s="42"/>
      <c r="M1483" s="42"/>
      <c r="N1483" s="42"/>
      <c r="O1483" s="42"/>
      <c r="P1483" s="42"/>
      <c r="Q1483" s="42"/>
      <c r="R1483" s="42"/>
      <c r="S1483" s="42"/>
      <c r="T1483" s="42"/>
      <c r="U1483" s="42"/>
      <c r="V1483" s="42"/>
      <c r="W1483" s="42"/>
      <c r="X1483" s="42"/>
      <c r="Y1483" s="42"/>
      <c r="Z1483" s="42"/>
    </row>
    <row r="1484" ht="12.75" customHeight="1">
      <c r="A1484" s="28" t="s">
        <v>3910</v>
      </c>
      <c r="B1484" s="28" t="s">
        <v>319</v>
      </c>
      <c r="C1484" s="42" t="s">
        <v>3911</v>
      </c>
      <c r="D1484" s="42" t="s">
        <v>832</v>
      </c>
      <c r="E1484" s="42" t="s">
        <v>894</v>
      </c>
      <c r="F1484" s="28" t="s">
        <v>3912</v>
      </c>
      <c r="G1484" s="28">
        <v>37.0</v>
      </c>
      <c r="H1484" s="66"/>
      <c r="I1484" s="42"/>
      <c r="J1484" s="42"/>
      <c r="K1484" s="42"/>
      <c r="L1484" s="42"/>
      <c r="M1484" s="42"/>
      <c r="N1484" s="42"/>
      <c r="O1484" s="42"/>
      <c r="P1484" s="42"/>
      <c r="Q1484" s="42"/>
      <c r="R1484" s="42"/>
      <c r="S1484" s="42"/>
      <c r="T1484" s="42"/>
      <c r="U1484" s="42"/>
      <c r="V1484" s="42"/>
      <c r="W1484" s="42"/>
      <c r="X1484" s="42"/>
      <c r="Y1484" s="42"/>
      <c r="Z1484" s="42"/>
    </row>
    <row r="1485" ht="12.75" customHeight="1">
      <c r="A1485" s="28" t="s">
        <v>3913</v>
      </c>
      <c r="B1485" s="28" t="s">
        <v>165</v>
      </c>
      <c r="C1485" s="42" t="s">
        <v>3914</v>
      </c>
      <c r="D1485" s="42" t="s">
        <v>3915</v>
      </c>
      <c r="E1485" s="42" t="s">
        <v>1436</v>
      </c>
      <c r="F1485" s="28" t="s">
        <v>3916</v>
      </c>
      <c r="G1485" s="28">
        <v>33.5</v>
      </c>
      <c r="H1485" s="66"/>
      <c r="I1485" s="42"/>
      <c r="J1485" s="42"/>
      <c r="K1485" s="42"/>
      <c r="L1485" s="42"/>
      <c r="M1485" s="42"/>
      <c r="N1485" s="42"/>
      <c r="O1485" s="42"/>
      <c r="P1485" s="42"/>
      <c r="Q1485" s="42"/>
      <c r="R1485" s="42"/>
      <c r="S1485" s="42"/>
      <c r="T1485" s="42"/>
      <c r="U1485" s="42"/>
      <c r="V1485" s="42"/>
      <c r="W1485" s="42"/>
      <c r="X1485" s="42"/>
      <c r="Y1485" s="42"/>
      <c r="Z1485" s="42"/>
    </row>
    <row r="1486" ht="12.75" customHeight="1">
      <c r="A1486" s="28" t="s">
        <v>3917</v>
      </c>
      <c r="B1486" s="28" t="s">
        <v>165</v>
      </c>
      <c r="C1486" s="42" t="s">
        <v>3918</v>
      </c>
      <c r="D1486" s="42" t="s">
        <v>3919</v>
      </c>
      <c r="E1486" s="42" t="s">
        <v>1300</v>
      </c>
      <c r="F1486" s="28" t="s">
        <v>3920</v>
      </c>
      <c r="G1486" s="28">
        <v>24.9</v>
      </c>
      <c r="H1486" s="66"/>
      <c r="I1486" s="42"/>
      <c r="J1486" s="42"/>
      <c r="K1486" s="42"/>
      <c r="L1486" s="42"/>
      <c r="M1486" s="42"/>
      <c r="N1486" s="42"/>
      <c r="O1486" s="42"/>
      <c r="P1486" s="42"/>
      <c r="Q1486" s="42"/>
      <c r="R1486" s="42"/>
      <c r="S1486" s="42"/>
      <c r="T1486" s="42"/>
      <c r="U1486" s="42"/>
      <c r="V1486" s="42"/>
      <c r="W1486" s="42"/>
      <c r="X1486" s="42"/>
      <c r="Y1486" s="42"/>
      <c r="Z1486" s="42"/>
    </row>
    <row r="1487" ht="12.75" customHeight="1">
      <c r="A1487" s="28" t="s">
        <v>3921</v>
      </c>
      <c r="B1487" s="28" t="s">
        <v>165</v>
      </c>
      <c r="C1487" s="42" t="s">
        <v>3922</v>
      </c>
      <c r="D1487" s="42" t="s">
        <v>1153</v>
      </c>
      <c r="E1487" s="42" t="s">
        <v>162</v>
      </c>
      <c r="F1487" s="28" t="s">
        <v>3923</v>
      </c>
      <c r="G1487" s="28">
        <v>36.5</v>
      </c>
      <c r="H1487" s="66"/>
      <c r="I1487" s="42"/>
      <c r="J1487" s="42"/>
      <c r="K1487" s="42"/>
      <c r="L1487" s="42"/>
      <c r="M1487" s="42"/>
      <c r="N1487" s="42"/>
      <c r="O1487" s="42"/>
      <c r="P1487" s="42"/>
      <c r="Q1487" s="42"/>
      <c r="R1487" s="42"/>
      <c r="S1487" s="42"/>
      <c r="T1487" s="42"/>
      <c r="U1487" s="42"/>
      <c r="V1487" s="42"/>
      <c r="W1487" s="42"/>
      <c r="X1487" s="42"/>
      <c r="Y1487" s="42"/>
      <c r="Z1487" s="42"/>
    </row>
  </sheetData>
  <mergeCells count="3">
    <mergeCell ref="L1:P3"/>
    <mergeCell ref="L6:P9"/>
    <mergeCell ref="L12:P15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8.88"/>
    <col customWidth="1" min="3" max="26" width="8.63"/>
  </cols>
  <sheetData>
    <row r="1" ht="34.5" customHeight="1">
      <c r="A1" s="67" t="s">
        <v>3924</v>
      </c>
      <c r="B1" s="68" t="s">
        <v>3925</v>
      </c>
      <c r="E1" s="69" t="s">
        <v>3926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1"/>
    </row>
    <row r="2" ht="18.0" customHeight="1">
      <c r="A2" s="72">
        <v>0.0</v>
      </c>
      <c r="B2" s="72">
        <v>1.0</v>
      </c>
      <c r="D2" s="34">
        <v>27.0</v>
      </c>
      <c r="E2" s="11" t="s">
        <v>3927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42" t="s">
        <v>51</v>
      </c>
    </row>
    <row r="3" ht="18.0" customHeight="1">
      <c r="A3" s="72">
        <v>10.0</v>
      </c>
      <c r="B3" s="72">
        <v>1.17</v>
      </c>
      <c r="D3" s="34">
        <v>28.0</v>
      </c>
      <c r="E3" s="11" t="s">
        <v>3928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42" t="s">
        <v>79</v>
      </c>
    </row>
    <row r="4" ht="18.0" customHeight="1">
      <c r="A4" s="72">
        <v>25.0</v>
      </c>
      <c r="B4" s="72">
        <v>1.48</v>
      </c>
    </row>
    <row r="5" ht="18.0" customHeight="1">
      <c r="A5" s="72">
        <v>45.0</v>
      </c>
      <c r="B5" s="72">
        <v>2.28</v>
      </c>
    </row>
    <row r="6" ht="18.0" customHeight="1">
      <c r="A6" s="72">
        <v>49.5</v>
      </c>
      <c r="B6" s="72">
        <v>3.3</v>
      </c>
    </row>
    <row r="7" ht="18.0" customHeight="1">
      <c r="A7" s="72">
        <v>49.75</v>
      </c>
      <c r="B7" s="72">
        <v>3.6</v>
      </c>
      <c r="E7" s="12">
        <f t="array" ref="E7:F7">LINEST(B2:B11,A2:A11)</f>
        <v>0.1597880314</v>
      </c>
      <c r="F7" s="12">
        <v>-0.9166378393823033</v>
      </c>
    </row>
    <row r="8" ht="18.0" customHeight="1">
      <c r="A8" s="72">
        <v>50.0</v>
      </c>
      <c r="B8" s="72">
        <v>7.0</v>
      </c>
      <c r="R8" s="12" t="s">
        <v>3929</v>
      </c>
    </row>
    <row r="9" ht="18.0" customHeight="1">
      <c r="A9" s="72">
        <v>50.25</v>
      </c>
      <c r="B9" s="72">
        <v>10.4</v>
      </c>
    </row>
    <row r="10" ht="18.0" customHeight="1">
      <c r="A10" s="72">
        <v>55.0</v>
      </c>
      <c r="B10" s="72">
        <v>11.68</v>
      </c>
    </row>
    <row r="11" ht="18.0" customHeight="1">
      <c r="A11" s="72">
        <v>60.0</v>
      </c>
      <c r="B11" s="72">
        <v>11.96</v>
      </c>
    </row>
    <row r="12" ht="12.75" customHeight="1">
      <c r="A12" s="44"/>
      <c r="B12" s="44"/>
    </row>
    <row r="13" ht="12.75" customHeight="1">
      <c r="A13" s="44"/>
      <c r="B13" s="44"/>
    </row>
    <row r="14" ht="12.75" customHeight="1">
      <c r="A14" s="44"/>
      <c r="B14" s="44"/>
    </row>
    <row r="15" ht="12.75" customHeight="1">
      <c r="A15" s="44"/>
      <c r="B15" s="44"/>
    </row>
    <row r="16" ht="12.75" customHeight="1">
      <c r="A16" s="44"/>
      <c r="B16" s="44"/>
    </row>
    <row r="17" ht="12.75" customHeight="1">
      <c r="A17" s="44"/>
      <c r="B17" s="44"/>
    </row>
    <row r="18" ht="12.75" customHeight="1">
      <c r="A18" s="44"/>
      <c r="B18" s="44"/>
    </row>
    <row r="19" ht="12.75" customHeight="1">
      <c r="A19" s="44"/>
      <c r="B19" s="44"/>
    </row>
    <row r="20" ht="12.75" customHeight="1">
      <c r="A20" s="44"/>
      <c r="B20" s="44"/>
    </row>
    <row r="21" ht="12.75" customHeight="1">
      <c r="A21" s="44"/>
      <c r="B21" s="44"/>
    </row>
    <row r="22" ht="12.75" customHeight="1">
      <c r="A22" s="44"/>
      <c r="B22" s="44"/>
    </row>
    <row r="23" ht="12.75" customHeight="1">
      <c r="A23" s="44"/>
      <c r="B23" s="44"/>
    </row>
    <row r="24" ht="12.75" customHeight="1">
      <c r="A24" s="44"/>
      <c r="B24" s="44"/>
    </row>
    <row r="25" ht="12.75" customHeight="1">
      <c r="A25" s="44"/>
      <c r="B25" s="44"/>
    </row>
    <row r="26" ht="12.75" customHeight="1">
      <c r="A26" s="44"/>
      <c r="B26" s="44"/>
    </row>
    <row r="27" ht="12.75" customHeight="1">
      <c r="A27" s="44"/>
      <c r="B27" s="44"/>
    </row>
    <row r="28" ht="12.75" customHeight="1">
      <c r="A28" s="44"/>
      <c r="B28" s="44"/>
    </row>
    <row r="29" ht="12.75" customHeight="1">
      <c r="A29" s="44"/>
      <c r="B29" s="44"/>
    </row>
    <row r="30" ht="12.75" customHeight="1">
      <c r="A30" s="44"/>
      <c r="B30" s="44"/>
    </row>
    <row r="31" ht="12.75" customHeight="1">
      <c r="A31" s="44"/>
      <c r="B31" s="44"/>
    </row>
    <row r="32" ht="12.75" customHeight="1">
      <c r="A32" s="44"/>
      <c r="B32" s="44"/>
    </row>
    <row r="33" ht="12.75" customHeight="1">
      <c r="A33" s="44"/>
      <c r="B33" s="44"/>
    </row>
    <row r="34" ht="12.75" customHeight="1">
      <c r="A34" s="44"/>
      <c r="B34" s="44"/>
    </row>
    <row r="35" ht="12.75" customHeight="1">
      <c r="A35" s="44"/>
      <c r="B35" s="44"/>
    </row>
    <row r="36" ht="12.75" customHeight="1">
      <c r="A36" s="44"/>
      <c r="B36" s="44"/>
    </row>
    <row r="37" ht="12.75" customHeight="1">
      <c r="A37" s="44"/>
      <c r="B37" s="44"/>
    </row>
    <row r="38" ht="12.75" customHeight="1">
      <c r="A38" s="44"/>
      <c r="B38" s="44"/>
    </row>
    <row r="39" ht="12.75" customHeight="1">
      <c r="A39" s="44"/>
      <c r="B39" s="44"/>
    </row>
    <row r="40" ht="12.75" customHeight="1">
      <c r="A40" s="44"/>
      <c r="B40" s="44"/>
    </row>
    <row r="41" ht="12.75" customHeight="1">
      <c r="A41" s="44"/>
      <c r="B41" s="44"/>
    </row>
    <row r="42" ht="12.75" customHeight="1">
      <c r="A42" s="44"/>
      <c r="B42" s="44"/>
    </row>
    <row r="43" ht="12.75" customHeight="1">
      <c r="A43" s="44"/>
      <c r="B43" s="44"/>
    </row>
    <row r="44" ht="12.75" customHeight="1">
      <c r="A44" s="44"/>
      <c r="B44" s="44"/>
    </row>
    <row r="45" ht="12.75" customHeight="1">
      <c r="A45" s="44"/>
      <c r="B45" s="44"/>
    </row>
    <row r="46" ht="12.75" customHeight="1">
      <c r="A46" s="44"/>
      <c r="B46" s="44"/>
    </row>
    <row r="47" ht="12.75" customHeight="1">
      <c r="A47" s="44"/>
      <c r="B47" s="44"/>
    </row>
    <row r="48" ht="12.75" customHeight="1">
      <c r="A48" s="44"/>
      <c r="B48" s="44"/>
    </row>
    <row r="49" ht="12.75" customHeight="1">
      <c r="A49" s="44"/>
      <c r="B49" s="44"/>
    </row>
    <row r="50" ht="12.75" customHeight="1">
      <c r="A50" s="44"/>
      <c r="B50" s="44"/>
    </row>
    <row r="51" ht="12.75" customHeight="1">
      <c r="A51" s="44"/>
      <c r="B51" s="44"/>
    </row>
    <row r="52" ht="12.75" customHeight="1">
      <c r="A52" s="44"/>
      <c r="B52" s="44"/>
    </row>
    <row r="53" ht="12.75" customHeight="1">
      <c r="A53" s="44"/>
      <c r="B53" s="44"/>
    </row>
    <row r="54" ht="12.75" customHeight="1">
      <c r="A54" s="44"/>
      <c r="B54" s="44"/>
    </row>
    <row r="55" ht="12.75" customHeight="1">
      <c r="A55" s="44"/>
      <c r="B55" s="44"/>
    </row>
    <row r="56" ht="12.75" customHeight="1">
      <c r="A56" s="44"/>
      <c r="B56" s="44"/>
    </row>
    <row r="57" ht="12.75" customHeight="1">
      <c r="A57" s="44"/>
      <c r="B57" s="44"/>
    </row>
    <row r="58" ht="12.75" customHeight="1">
      <c r="A58" s="44"/>
      <c r="B58" s="44"/>
    </row>
    <row r="59" ht="12.75" customHeight="1">
      <c r="A59" s="44"/>
      <c r="B59" s="44"/>
    </row>
    <row r="60" ht="12.75" customHeight="1">
      <c r="A60" s="44"/>
      <c r="B60" s="44"/>
    </row>
    <row r="61" ht="12.75" customHeight="1">
      <c r="A61" s="44"/>
      <c r="B61" s="44"/>
    </row>
    <row r="62" ht="12.75" customHeight="1">
      <c r="A62" s="44"/>
      <c r="B62" s="44"/>
    </row>
    <row r="63" ht="12.75" customHeight="1">
      <c r="A63" s="44"/>
      <c r="B63" s="44"/>
    </row>
    <row r="64" ht="12.75" customHeight="1">
      <c r="A64" s="44"/>
      <c r="B64" s="44"/>
    </row>
    <row r="65" ht="12.75" customHeight="1">
      <c r="A65" s="44"/>
      <c r="B65" s="44"/>
    </row>
    <row r="66" ht="12.75" customHeight="1">
      <c r="A66" s="44"/>
      <c r="B66" s="44"/>
    </row>
    <row r="67" ht="12.75" customHeight="1">
      <c r="A67" s="44"/>
      <c r="B67" s="44"/>
    </row>
    <row r="68" ht="12.75" customHeight="1">
      <c r="A68" s="44"/>
      <c r="B68" s="44"/>
    </row>
    <row r="69" ht="12.75" customHeight="1">
      <c r="A69" s="44"/>
      <c r="B69" s="44"/>
    </row>
    <row r="70" ht="12.75" customHeight="1">
      <c r="A70" s="44"/>
      <c r="B70" s="44"/>
    </row>
    <row r="71" ht="12.75" customHeight="1">
      <c r="A71" s="44"/>
      <c r="B71" s="44"/>
    </row>
    <row r="72" ht="12.75" customHeight="1">
      <c r="A72" s="44"/>
      <c r="B72" s="44"/>
    </row>
    <row r="73" ht="12.75" customHeight="1">
      <c r="A73" s="44"/>
      <c r="B73" s="44"/>
    </row>
    <row r="74" ht="12.75" customHeight="1">
      <c r="A74" s="44"/>
      <c r="B74" s="44"/>
    </row>
    <row r="75" ht="12.75" customHeight="1">
      <c r="A75" s="44"/>
      <c r="B75" s="44"/>
    </row>
    <row r="76" ht="12.75" customHeight="1">
      <c r="A76" s="44"/>
      <c r="B76" s="44"/>
    </row>
    <row r="77" ht="12.75" customHeight="1">
      <c r="A77" s="44"/>
      <c r="B77" s="44"/>
    </row>
    <row r="78" ht="12.75" customHeight="1">
      <c r="A78" s="44"/>
      <c r="B78" s="44"/>
    </row>
    <row r="79" ht="12.75" customHeight="1">
      <c r="A79" s="44"/>
      <c r="B79" s="44"/>
    </row>
    <row r="80" ht="12.75" customHeight="1">
      <c r="A80" s="44"/>
      <c r="B80" s="44"/>
    </row>
    <row r="81" ht="12.75" customHeight="1">
      <c r="A81" s="44"/>
      <c r="B81" s="44"/>
    </row>
    <row r="82" ht="12.75" customHeight="1">
      <c r="A82" s="44"/>
      <c r="B82" s="44"/>
    </row>
    <row r="83" ht="12.75" customHeight="1">
      <c r="A83" s="44"/>
      <c r="B83" s="44"/>
    </row>
    <row r="84" ht="12.75" customHeight="1">
      <c r="A84" s="44"/>
      <c r="B84" s="44"/>
    </row>
    <row r="85" ht="12.75" customHeight="1">
      <c r="A85" s="44"/>
      <c r="B85" s="44"/>
    </row>
    <row r="86" ht="12.75" customHeight="1">
      <c r="A86" s="44"/>
      <c r="B86" s="44"/>
    </row>
    <row r="87" ht="12.75" customHeight="1">
      <c r="A87" s="44"/>
      <c r="B87" s="44"/>
    </row>
    <row r="88" ht="12.75" customHeight="1">
      <c r="A88" s="44"/>
      <c r="B88" s="44"/>
    </row>
    <row r="89" ht="12.75" customHeight="1">
      <c r="A89" s="44"/>
      <c r="B89" s="44"/>
    </row>
    <row r="90" ht="12.75" customHeight="1">
      <c r="A90" s="44"/>
      <c r="B90" s="44"/>
    </row>
    <row r="91" ht="12.75" customHeight="1">
      <c r="A91" s="44"/>
      <c r="B91" s="44"/>
    </row>
    <row r="92" ht="12.75" customHeight="1">
      <c r="A92" s="44"/>
      <c r="B92" s="44"/>
    </row>
    <row r="93" ht="12.75" customHeight="1">
      <c r="A93" s="44"/>
      <c r="B93" s="44"/>
    </row>
    <row r="94" ht="12.75" customHeight="1">
      <c r="A94" s="44"/>
      <c r="B94" s="44"/>
    </row>
    <row r="95" ht="12.75" customHeight="1">
      <c r="A95" s="44"/>
      <c r="B95" s="44"/>
    </row>
    <row r="96" ht="12.75" customHeight="1">
      <c r="A96" s="44"/>
      <c r="B96" s="44"/>
    </row>
    <row r="97" ht="12.75" customHeight="1">
      <c r="A97" s="44"/>
      <c r="B97" s="44"/>
    </row>
    <row r="98" ht="12.75" customHeight="1">
      <c r="A98" s="44"/>
      <c r="B98" s="44"/>
    </row>
    <row r="99" ht="12.75" customHeight="1">
      <c r="A99" s="44"/>
      <c r="B99" s="44"/>
    </row>
    <row r="100" ht="12.75" customHeight="1">
      <c r="A100" s="44"/>
      <c r="B100" s="44"/>
    </row>
    <row r="101" ht="12.75" customHeight="1">
      <c r="A101" s="44"/>
      <c r="B101" s="44"/>
    </row>
    <row r="102" ht="12.75" customHeight="1">
      <c r="A102" s="44"/>
      <c r="B102" s="44"/>
    </row>
    <row r="103" ht="12.75" customHeight="1">
      <c r="A103" s="44"/>
      <c r="B103" s="44"/>
    </row>
    <row r="104" ht="12.75" customHeight="1">
      <c r="A104" s="44"/>
      <c r="B104" s="44"/>
    </row>
    <row r="105" ht="12.75" customHeight="1">
      <c r="A105" s="44"/>
      <c r="B105" s="44"/>
    </row>
    <row r="106" ht="12.75" customHeight="1">
      <c r="A106" s="44"/>
      <c r="B106" s="44"/>
    </row>
    <row r="107" ht="12.75" customHeight="1">
      <c r="A107" s="44"/>
      <c r="B107" s="44"/>
    </row>
    <row r="108" ht="12.75" customHeight="1">
      <c r="A108" s="44"/>
      <c r="B108" s="44"/>
    </row>
    <row r="109" ht="12.75" customHeight="1">
      <c r="A109" s="44"/>
      <c r="B109" s="44"/>
    </row>
    <row r="110" ht="12.75" customHeight="1">
      <c r="A110" s="44"/>
      <c r="B110" s="44"/>
    </row>
    <row r="111" ht="12.75" customHeight="1">
      <c r="A111" s="44"/>
      <c r="B111" s="44"/>
    </row>
    <row r="112" ht="12.75" customHeight="1">
      <c r="A112" s="44"/>
      <c r="B112" s="44"/>
    </row>
    <row r="113" ht="12.75" customHeight="1">
      <c r="A113" s="44"/>
      <c r="B113" s="44"/>
    </row>
    <row r="114" ht="12.75" customHeight="1">
      <c r="A114" s="44"/>
      <c r="B114" s="44"/>
    </row>
    <row r="115" ht="12.75" customHeight="1">
      <c r="A115" s="44"/>
      <c r="B115" s="44"/>
    </row>
    <row r="116" ht="12.75" customHeight="1">
      <c r="A116" s="44"/>
      <c r="B116" s="44"/>
    </row>
    <row r="117" ht="12.75" customHeight="1">
      <c r="A117" s="44"/>
      <c r="B117" s="44"/>
    </row>
    <row r="118" ht="12.75" customHeight="1">
      <c r="A118" s="44"/>
      <c r="B118" s="44"/>
    </row>
    <row r="119" ht="12.75" customHeight="1">
      <c r="A119" s="44"/>
      <c r="B119" s="44"/>
    </row>
    <row r="120" ht="12.75" customHeight="1">
      <c r="A120" s="44"/>
      <c r="B120" s="44"/>
    </row>
    <row r="121" ht="12.75" customHeight="1">
      <c r="A121" s="44"/>
      <c r="B121" s="44"/>
    </row>
    <row r="122" ht="12.75" customHeight="1">
      <c r="A122" s="44"/>
      <c r="B122" s="44"/>
    </row>
    <row r="123" ht="12.75" customHeight="1">
      <c r="A123" s="44"/>
      <c r="B123" s="44"/>
    </row>
    <row r="124" ht="12.75" customHeight="1">
      <c r="A124" s="44"/>
      <c r="B124" s="44"/>
    </row>
    <row r="125" ht="12.75" customHeight="1">
      <c r="A125" s="44"/>
      <c r="B125" s="44"/>
    </row>
    <row r="126" ht="12.75" customHeight="1">
      <c r="A126" s="44"/>
      <c r="B126" s="44"/>
    </row>
    <row r="127" ht="12.75" customHeight="1">
      <c r="A127" s="44"/>
      <c r="B127" s="44"/>
    </row>
    <row r="128" ht="12.75" customHeight="1">
      <c r="A128" s="44"/>
      <c r="B128" s="44"/>
    </row>
    <row r="129" ht="12.75" customHeight="1">
      <c r="A129" s="44"/>
      <c r="B129" s="44"/>
    </row>
    <row r="130" ht="12.75" customHeight="1">
      <c r="A130" s="44"/>
      <c r="B130" s="44"/>
    </row>
    <row r="131" ht="12.75" customHeight="1">
      <c r="A131" s="44"/>
      <c r="B131" s="44"/>
    </row>
    <row r="132" ht="12.75" customHeight="1">
      <c r="A132" s="44"/>
      <c r="B132" s="44"/>
    </row>
    <row r="133" ht="12.75" customHeight="1">
      <c r="A133" s="44"/>
      <c r="B133" s="44"/>
    </row>
    <row r="134" ht="12.75" customHeight="1">
      <c r="A134" s="44"/>
      <c r="B134" s="44"/>
    </row>
    <row r="135" ht="12.75" customHeight="1">
      <c r="A135" s="44"/>
      <c r="B135" s="44"/>
    </row>
    <row r="136" ht="12.75" customHeight="1">
      <c r="A136" s="44"/>
      <c r="B136" s="44"/>
    </row>
    <row r="137" ht="12.75" customHeight="1">
      <c r="A137" s="44"/>
      <c r="B137" s="44"/>
    </row>
    <row r="138" ht="12.75" customHeight="1">
      <c r="A138" s="44"/>
      <c r="B138" s="44"/>
    </row>
    <row r="139" ht="12.75" customHeight="1">
      <c r="A139" s="44"/>
      <c r="B139" s="44"/>
    </row>
    <row r="140" ht="12.75" customHeight="1">
      <c r="A140" s="44"/>
      <c r="B140" s="44"/>
    </row>
    <row r="141" ht="12.75" customHeight="1">
      <c r="A141" s="44"/>
      <c r="B141" s="44"/>
    </row>
    <row r="142" ht="12.75" customHeight="1">
      <c r="A142" s="44"/>
      <c r="B142" s="44"/>
    </row>
    <row r="143" ht="12.75" customHeight="1">
      <c r="A143" s="44"/>
      <c r="B143" s="44"/>
    </row>
    <row r="144" ht="12.75" customHeight="1">
      <c r="A144" s="44"/>
      <c r="B144" s="44"/>
    </row>
    <row r="145" ht="12.75" customHeight="1">
      <c r="A145" s="44"/>
      <c r="B145" s="44"/>
    </row>
    <row r="146" ht="12.75" customHeight="1">
      <c r="A146" s="44"/>
      <c r="B146" s="44"/>
    </row>
    <row r="147" ht="12.75" customHeight="1">
      <c r="A147" s="44"/>
      <c r="B147" s="44"/>
    </row>
    <row r="148" ht="12.75" customHeight="1">
      <c r="A148" s="44"/>
      <c r="B148" s="44"/>
    </row>
    <row r="149" ht="12.75" customHeight="1">
      <c r="A149" s="44"/>
      <c r="B149" s="44"/>
    </row>
    <row r="150" ht="12.75" customHeight="1">
      <c r="A150" s="44"/>
      <c r="B150" s="44"/>
    </row>
    <row r="151" ht="12.75" customHeight="1">
      <c r="A151" s="44"/>
      <c r="B151" s="44"/>
    </row>
    <row r="152" ht="12.75" customHeight="1">
      <c r="A152" s="44"/>
      <c r="B152" s="44"/>
    </row>
    <row r="153" ht="12.75" customHeight="1">
      <c r="A153" s="44"/>
      <c r="B153" s="44"/>
    </row>
    <row r="154" ht="12.75" customHeight="1">
      <c r="A154" s="44"/>
      <c r="B154" s="44"/>
    </row>
    <row r="155" ht="12.75" customHeight="1">
      <c r="A155" s="44"/>
      <c r="B155" s="44"/>
    </row>
    <row r="156" ht="12.75" customHeight="1">
      <c r="A156" s="44"/>
      <c r="B156" s="44"/>
    </row>
    <row r="157" ht="12.75" customHeight="1">
      <c r="A157" s="44"/>
      <c r="B157" s="44"/>
    </row>
    <row r="158" ht="12.75" customHeight="1">
      <c r="A158" s="44"/>
      <c r="B158" s="44"/>
    </row>
    <row r="159" ht="12.75" customHeight="1">
      <c r="A159" s="44"/>
      <c r="B159" s="44"/>
    </row>
    <row r="160" ht="12.75" customHeight="1">
      <c r="A160" s="44"/>
      <c r="B160" s="44"/>
    </row>
    <row r="161" ht="12.75" customHeight="1">
      <c r="A161" s="44"/>
      <c r="B161" s="44"/>
    </row>
    <row r="162" ht="12.75" customHeight="1">
      <c r="A162" s="44"/>
      <c r="B162" s="44"/>
    </row>
    <row r="163" ht="12.75" customHeight="1">
      <c r="A163" s="44"/>
      <c r="B163" s="44"/>
    </row>
    <row r="164" ht="12.75" customHeight="1">
      <c r="A164" s="44"/>
      <c r="B164" s="44"/>
    </row>
    <row r="165" ht="12.75" customHeight="1">
      <c r="A165" s="44"/>
      <c r="B165" s="44"/>
    </row>
    <row r="166" ht="12.75" customHeight="1">
      <c r="A166" s="44"/>
      <c r="B166" s="44"/>
    </row>
    <row r="167" ht="12.75" customHeight="1">
      <c r="A167" s="44"/>
      <c r="B167" s="44"/>
    </row>
    <row r="168" ht="12.75" customHeight="1">
      <c r="A168" s="44"/>
      <c r="B168" s="44"/>
    </row>
    <row r="169" ht="12.75" customHeight="1">
      <c r="A169" s="44"/>
      <c r="B169" s="44"/>
    </row>
    <row r="170" ht="12.75" customHeight="1">
      <c r="A170" s="44"/>
      <c r="B170" s="44"/>
    </row>
    <row r="171" ht="12.75" customHeight="1">
      <c r="A171" s="44"/>
      <c r="B171" s="44"/>
    </row>
    <row r="172" ht="12.75" customHeight="1">
      <c r="A172" s="44"/>
      <c r="B172" s="44"/>
    </row>
    <row r="173" ht="12.75" customHeight="1">
      <c r="A173" s="44"/>
      <c r="B173" s="44"/>
    </row>
    <row r="174" ht="12.75" customHeight="1">
      <c r="A174" s="44"/>
      <c r="B174" s="44"/>
    </row>
    <row r="175" ht="12.75" customHeight="1">
      <c r="A175" s="44"/>
      <c r="B175" s="44"/>
    </row>
    <row r="176" ht="12.75" customHeight="1">
      <c r="A176" s="44"/>
      <c r="B176" s="44"/>
    </row>
    <row r="177" ht="12.75" customHeight="1">
      <c r="A177" s="44"/>
      <c r="B177" s="44"/>
    </row>
    <row r="178" ht="12.75" customHeight="1">
      <c r="A178" s="44"/>
      <c r="B178" s="44"/>
    </row>
    <row r="179" ht="12.75" customHeight="1">
      <c r="A179" s="44"/>
      <c r="B179" s="44"/>
    </row>
    <row r="180" ht="12.75" customHeight="1">
      <c r="A180" s="44"/>
      <c r="B180" s="44"/>
    </row>
    <row r="181" ht="12.75" customHeight="1">
      <c r="A181" s="44"/>
      <c r="B181" s="44"/>
    </row>
    <row r="182" ht="12.75" customHeight="1">
      <c r="A182" s="44"/>
      <c r="B182" s="44"/>
    </row>
    <row r="183" ht="12.75" customHeight="1">
      <c r="A183" s="44"/>
      <c r="B183" s="44"/>
    </row>
    <row r="184" ht="12.75" customHeight="1">
      <c r="A184" s="44"/>
      <c r="B184" s="44"/>
    </row>
    <row r="185" ht="12.75" customHeight="1">
      <c r="A185" s="44"/>
      <c r="B185" s="44"/>
    </row>
    <row r="186" ht="12.75" customHeight="1">
      <c r="A186" s="44"/>
      <c r="B186" s="44"/>
    </row>
    <row r="187" ht="12.75" customHeight="1">
      <c r="A187" s="44"/>
      <c r="B187" s="44"/>
    </row>
    <row r="188" ht="12.75" customHeight="1">
      <c r="A188" s="44"/>
      <c r="B188" s="44"/>
    </row>
    <row r="189" ht="12.75" customHeight="1">
      <c r="A189" s="44"/>
      <c r="B189" s="44"/>
    </row>
    <row r="190" ht="12.75" customHeight="1">
      <c r="A190" s="44"/>
      <c r="B190" s="44"/>
    </row>
    <row r="191" ht="12.75" customHeight="1">
      <c r="A191" s="44"/>
      <c r="B191" s="44"/>
    </row>
    <row r="192" ht="12.75" customHeight="1">
      <c r="A192" s="44"/>
      <c r="B192" s="44"/>
    </row>
    <row r="193" ht="12.75" customHeight="1">
      <c r="A193" s="44"/>
      <c r="B193" s="44"/>
    </row>
    <row r="194" ht="12.75" customHeight="1">
      <c r="A194" s="44"/>
      <c r="B194" s="44"/>
    </row>
    <row r="195" ht="12.75" customHeight="1">
      <c r="A195" s="44"/>
      <c r="B195" s="44"/>
    </row>
    <row r="196" ht="12.75" customHeight="1">
      <c r="A196" s="44"/>
      <c r="B196" s="44"/>
    </row>
    <row r="197" ht="12.75" customHeight="1">
      <c r="A197" s="44"/>
      <c r="B197" s="44"/>
    </row>
    <row r="198" ht="12.75" customHeight="1">
      <c r="A198" s="44"/>
      <c r="B198" s="44"/>
    </row>
    <row r="199" ht="12.75" customHeight="1">
      <c r="A199" s="44"/>
      <c r="B199" s="44"/>
    </row>
    <row r="200" ht="12.75" customHeight="1">
      <c r="A200" s="44"/>
      <c r="B200" s="44"/>
    </row>
    <row r="201" ht="12.75" customHeight="1">
      <c r="A201" s="44"/>
      <c r="B201" s="44"/>
    </row>
    <row r="202" ht="12.75" customHeight="1">
      <c r="A202" s="44"/>
      <c r="B202" s="44"/>
    </row>
    <row r="203" ht="12.75" customHeight="1">
      <c r="A203" s="44"/>
      <c r="B203" s="44"/>
    </row>
    <row r="204" ht="12.75" customHeight="1">
      <c r="A204" s="44"/>
      <c r="B204" s="44"/>
    </row>
    <row r="205" ht="12.75" customHeight="1">
      <c r="A205" s="44"/>
      <c r="B205" s="44"/>
    </row>
    <row r="206" ht="12.75" customHeight="1">
      <c r="A206" s="44"/>
      <c r="B206" s="44"/>
    </row>
    <row r="207" ht="12.75" customHeight="1">
      <c r="A207" s="44"/>
      <c r="B207" s="44"/>
    </row>
    <row r="208" ht="12.75" customHeight="1">
      <c r="A208" s="44"/>
      <c r="B208" s="44"/>
    </row>
    <row r="209" ht="12.75" customHeight="1">
      <c r="A209" s="44"/>
      <c r="B209" s="44"/>
    </row>
    <row r="210" ht="12.75" customHeight="1">
      <c r="A210" s="44"/>
      <c r="B210" s="44"/>
    </row>
    <row r="211" ht="12.75" customHeight="1">
      <c r="A211" s="44"/>
      <c r="B211" s="44"/>
    </row>
    <row r="212" ht="12.75" customHeight="1">
      <c r="A212" s="44"/>
      <c r="B212" s="44"/>
    </row>
    <row r="213" ht="12.75" customHeight="1">
      <c r="A213" s="44"/>
      <c r="B213" s="44"/>
    </row>
    <row r="214" ht="12.75" customHeight="1">
      <c r="A214" s="44"/>
      <c r="B214" s="44"/>
    </row>
    <row r="215" ht="12.75" customHeight="1">
      <c r="A215" s="44"/>
      <c r="B215" s="44"/>
    </row>
    <row r="216" ht="12.75" customHeight="1">
      <c r="A216" s="44"/>
      <c r="B216" s="44"/>
    </row>
    <row r="217" ht="12.75" customHeight="1">
      <c r="A217" s="44"/>
      <c r="B217" s="44"/>
    </row>
    <row r="218" ht="12.75" customHeight="1">
      <c r="A218" s="44"/>
      <c r="B218" s="44"/>
    </row>
    <row r="219" ht="12.75" customHeight="1">
      <c r="A219" s="44"/>
      <c r="B219" s="44"/>
    </row>
    <row r="220" ht="12.75" customHeight="1">
      <c r="A220" s="44"/>
      <c r="B220" s="44"/>
    </row>
    <row r="221" ht="12.75" customHeight="1">
      <c r="A221" s="44"/>
      <c r="B221" s="44"/>
    </row>
    <row r="222" ht="12.75" customHeight="1">
      <c r="A222" s="44"/>
      <c r="B222" s="44"/>
    </row>
    <row r="223" ht="12.75" customHeight="1">
      <c r="A223" s="44"/>
      <c r="B223" s="44"/>
    </row>
    <row r="224" ht="12.75" customHeight="1">
      <c r="A224" s="44"/>
      <c r="B224" s="44"/>
    </row>
    <row r="225" ht="12.75" customHeight="1">
      <c r="A225" s="44"/>
      <c r="B225" s="44"/>
    </row>
    <row r="226" ht="12.75" customHeight="1">
      <c r="A226" s="44"/>
      <c r="B226" s="44"/>
    </row>
    <row r="227" ht="12.75" customHeight="1">
      <c r="A227" s="44"/>
      <c r="B227" s="44"/>
    </row>
    <row r="228" ht="12.75" customHeight="1">
      <c r="A228" s="44"/>
      <c r="B228" s="44"/>
    </row>
    <row r="229" ht="12.75" customHeight="1">
      <c r="A229" s="44"/>
      <c r="B229" s="44"/>
    </row>
    <row r="230" ht="12.75" customHeight="1">
      <c r="A230" s="44"/>
      <c r="B230" s="44"/>
    </row>
    <row r="231" ht="12.75" customHeight="1">
      <c r="A231" s="44"/>
      <c r="B231" s="44"/>
    </row>
    <row r="232" ht="12.75" customHeight="1">
      <c r="A232" s="44"/>
      <c r="B232" s="44"/>
    </row>
    <row r="233" ht="12.75" customHeight="1">
      <c r="A233" s="44"/>
      <c r="B233" s="44"/>
    </row>
    <row r="234" ht="12.75" customHeight="1">
      <c r="A234" s="44"/>
      <c r="B234" s="44"/>
    </row>
    <row r="235" ht="12.75" customHeight="1">
      <c r="A235" s="44"/>
      <c r="B235" s="44"/>
    </row>
    <row r="236" ht="12.75" customHeight="1">
      <c r="A236" s="44"/>
      <c r="B236" s="44"/>
    </row>
    <row r="237" ht="12.75" customHeight="1">
      <c r="A237" s="44"/>
      <c r="B237" s="44"/>
    </row>
    <row r="238" ht="12.75" customHeight="1">
      <c r="A238" s="44"/>
      <c r="B238" s="44"/>
    </row>
    <row r="239" ht="12.75" customHeight="1">
      <c r="A239" s="44"/>
      <c r="B239" s="44"/>
    </row>
    <row r="240" ht="12.75" customHeight="1">
      <c r="A240" s="44"/>
      <c r="B240" s="44"/>
    </row>
    <row r="241" ht="12.75" customHeight="1">
      <c r="A241" s="44"/>
      <c r="B241" s="44"/>
    </row>
    <row r="242" ht="12.75" customHeight="1">
      <c r="A242" s="44"/>
      <c r="B242" s="44"/>
    </row>
    <row r="243" ht="12.75" customHeight="1">
      <c r="A243" s="44"/>
      <c r="B243" s="44"/>
    </row>
    <row r="244" ht="12.75" customHeight="1">
      <c r="A244" s="44"/>
      <c r="B244" s="44"/>
    </row>
    <row r="245" ht="12.75" customHeight="1">
      <c r="A245" s="44"/>
      <c r="B245" s="44"/>
    </row>
    <row r="246" ht="12.75" customHeight="1">
      <c r="A246" s="44"/>
      <c r="B246" s="44"/>
    </row>
    <row r="247" ht="12.75" customHeight="1">
      <c r="A247" s="44"/>
      <c r="B247" s="44"/>
    </row>
    <row r="248" ht="12.75" customHeight="1">
      <c r="A248" s="44"/>
      <c r="B248" s="44"/>
    </row>
    <row r="249" ht="12.75" customHeight="1">
      <c r="A249" s="44"/>
      <c r="B249" s="44"/>
    </row>
    <row r="250" ht="12.75" customHeight="1">
      <c r="A250" s="44"/>
      <c r="B250" s="44"/>
    </row>
    <row r="251" ht="12.75" customHeight="1">
      <c r="A251" s="44"/>
      <c r="B251" s="44"/>
    </row>
    <row r="252" ht="12.75" customHeight="1">
      <c r="A252" s="44"/>
      <c r="B252" s="44"/>
    </row>
    <row r="253" ht="12.75" customHeight="1">
      <c r="A253" s="44"/>
      <c r="B253" s="44"/>
    </row>
    <row r="254" ht="12.75" customHeight="1">
      <c r="A254" s="44"/>
      <c r="B254" s="44"/>
    </row>
    <row r="255" ht="12.75" customHeight="1">
      <c r="A255" s="44"/>
      <c r="B255" s="44"/>
    </row>
    <row r="256" ht="12.75" customHeight="1">
      <c r="A256" s="44"/>
      <c r="B256" s="44"/>
    </row>
    <row r="257" ht="12.75" customHeight="1">
      <c r="A257" s="44"/>
      <c r="B257" s="44"/>
    </row>
    <row r="258" ht="12.75" customHeight="1">
      <c r="A258" s="44"/>
      <c r="B258" s="44"/>
    </row>
    <row r="259" ht="12.75" customHeight="1">
      <c r="A259" s="44"/>
      <c r="B259" s="44"/>
    </row>
    <row r="260" ht="12.75" customHeight="1">
      <c r="A260" s="44"/>
      <c r="B260" s="44"/>
    </row>
    <row r="261" ht="12.75" customHeight="1">
      <c r="A261" s="44"/>
      <c r="B261" s="44"/>
    </row>
    <row r="262" ht="12.75" customHeight="1">
      <c r="A262" s="44"/>
      <c r="B262" s="44"/>
    </row>
    <row r="263" ht="12.75" customHeight="1">
      <c r="A263" s="44"/>
      <c r="B263" s="44"/>
    </row>
    <row r="264" ht="12.75" customHeight="1">
      <c r="A264" s="44"/>
      <c r="B264" s="44"/>
    </row>
    <row r="265" ht="12.75" customHeight="1">
      <c r="A265" s="44"/>
      <c r="B265" s="44"/>
    </row>
    <row r="266" ht="12.75" customHeight="1">
      <c r="A266" s="44"/>
      <c r="B266" s="44"/>
    </row>
    <row r="267" ht="12.75" customHeight="1">
      <c r="A267" s="44"/>
      <c r="B267" s="44"/>
    </row>
    <row r="268" ht="12.75" customHeight="1">
      <c r="A268" s="44"/>
      <c r="B268" s="44"/>
    </row>
    <row r="269" ht="12.75" customHeight="1">
      <c r="A269" s="44"/>
      <c r="B269" s="44"/>
    </row>
    <row r="270" ht="12.75" customHeight="1">
      <c r="A270" s="44"/>
      <c r="B270" s="44"/>
    </row>
    <row r="271" ht="12.75" customHeight="1">
      <c r="A271" s="44"/>
      <c r="B271" s="44"/>
    </row>
    <row r="272" ht="12.75" customHeight="1">
      <c r="A272" s="44"/>
      <c r="B272" s="44"/>
    </row>
    <row r="273" ht="12.75" customHeight="1">
      <c r="A273" s="44"/>
      <c r="B273" s="44"/>
    </row>
    <row r="274" ht="12.75" customHeight="1">
      <c r="A274" s="44"/>
      <c r="B274" s="44"/>
    </row>
    <row r="275" ht="12.75" customHeight="1">
      <c r="A275" s="44"/>
      <c r="B275" s="44"/>
    </row>
    <row r="276" ht="12.75" customHeight="1">
      <c r="A276" s="44"/>
      <c r="B276" s="44"/>
    </row>
    <row r="277" ht="12.75" customHeight="1">
      <c r="A277" s="44"/>
      <c r="B277" s="44"/>
    </row>
    <row r="278" ht="12.75" customHeight="1">
      <c r="A278" s="44"/>
      <c r="B278" s="44"/>
    </row>
    <row r="279" ht="12.75" customHeight="1">
      <c r="A279" s="44"/>
      <c r="B279" s="44"/>
    </row>
    <row r="280" ht="12.75" customHeight="1">
      <c r="A280" s="44"/>
      <c r="B280" s="44"/>
    </row>
    <row r="281" ht="12.75" customHeight="1">
      <c r="A281" s="44"/>
      <c r="B281" s="44"/>
    </row>
    <row r="282" ht="12.75" customHeight="1">
      <c r="A282" s="44"/>
      <c r="B282" s="44"/>
    </row>
    <row r="283" ht="12.75" customHeight="1">
      <c r="A283" s="44"/>
      <c r="B283" s="44"/>
    </row>
    <row r="284" ht="12.75" customHeight="1">
      <c r="A284" s="44"/>
      <c r="B284" s="44"/>
    </row>
    <row r="285" ht="12.75" customHeight="1">
      <c r="A285" s="44"/>
      <c r="B285" s="44"/>
    </row>
    <row r="286" ht="12.75" customHeight="1">
      <c r="A286" s="44"/>
      <c r="B286" s="44"/>
    </row>
    <row r="287" ht="12.75" customHeight="1">
      <c r="A287" s="44"/>
      <c r="B287" s="44"/>
    </row>
    <row r="288" ht="12.75" customHeight="1">
      <c r="A288" s="44"/>
      <c r="B288" s="44"/>
    </row>
    <row r="289" ht="12.75" customHeight="1">
      <c r="A289" s="44"/>
      <c r="B289" s="44"/>
    </row>
    <row r="290" ht="12.75" customHeight="1">
      <c r="A290" s="44"/>
      <c r="B290" s="44"/>
    </row>
    <row r="291" ht="12.75" customHeight="1">
      <c r="A291" s="44"/>
      <c r="B291" s="44"/>
    </row>
    <row r="292" ht="12.75" customHeight="1">
      <c r="A292" s="44"/>
      <c r="B292" s="44"/>
    </row>
    <row r="293" ht="12.75" customHeight="1">
      <c r="A293" s="44"/>
      <c r="B293" s="44"/>
    </row>
    <row r="294" ht="12.75" customHeight="1">
      <c r="A294" s="44"/>
      <c r="B294" s="44"/>
    </row>
    <row r="295" ht="12.75" customHeight="1">
      <c r="A295" s="44"/>
      <c r="B295" s="44"/>
    </row>
    <row r="296" ht="12.75" customHeight="1">
      <c r="A296" s="44"/>
      <c r="B296" s="44"/>
    </row>
    <row r="297" ht="12.75" customHeight="1">
      <c r="A297" s="44"/>
      <c r="B297" s="44"/>
    </row>
    <row r="298" ht="12.75" customHeight="1">
      <c r="A298" s="44"/>
      <c r="B298" s="44"/>
    </row>
    <row r="299" ht="12.75" customHeight="1">
      <c r="A299" s="44"/>
      <c r="B299" s="44"/>
    </row>
    <row r="300" ht="12.75" customHeight="1">
      <c r="A300" s="44"/>
      <c r="B300" s="44"/>
    </row>
    <row r="301" ht="12.75" customHeight="1">
      <c r="A301" s="44"/>
      <c r="B301" s="44"/>
    </row>
    <row r="302" ht="12.75" customHeight="1">
      <c r="A302" s="44"/>
      <c r="B302" s="44"/>
    </row>
    <row r="303" ht="12.75" customHeight="1">
      <c r="A303" s="44"/>
      <c r="B303" s="44"/>
    </row>
    <row r="304" ht="12.75" customHeight="1">
      <c r="A304" s="44"/>
      <c r="B304" s="44"/>
    </row>
    <row r="305" ht="12.75" customHeight="1">
      <c r="A305" s="44"/>
      <c r="B305" s="44"/>
    </row>
    <row r="306" ht="12.75" customHeight="1">
      <c r="A306" s="44"/>
      <c r="B306" s="44"/>
    </row>
    <row r="307" ht="12.75" customHeight="1">
      <c r="A307" s="44"/>
      <c r="B307" s="44"/>
    </row>
    <row r="308" ht="12.75" customHeight="1">
      <c r="A308" s="44"/>
      <c r="B308" s="44"/>
    </row>
    <row r="309" ht="12.75" customHeight="1">
      <c r="A309" s="44"/>
      <c r="B309" s="44"/>
    </row>
    <row r="310" ht="12.75" customHeight="1">
      <c r="A310" s="44"/>
      <c r="B310" s="44"/>
    </row>
    <row r="311" ht="12.75" customHeight="1">
      <c r="A311" s="44"/>
      <c r="B311" s="44"/>
    </row>
    <row r="312" ht="12.75" customHeight="1">
      <c r="A312" s="44"/>
      <c r="B312" s="44"/>
    </row>
    <row r="313" ht="12.75" customHeight="1">
      <c r="A313" s="44"/>
      <c r="B313" s="44"/>
    </row>
    <row r="314" ht="12.75" customHeight="1">
      <c r="A314" s="44"/>
      <c r="B314" s="44"/>
    </row>
    <row r="315" ht="12.75" customHeight="1">
      <c r="A315" s="44"/>
      <c r="B315" s="44"/>
    </row>
    <row r="316" ht="12.75" customHeight="1">
      <c r="A316" s="44"/>
      <c r="B316" s="44"/>
    </row>
    <row r="317" ht="12.75" customHeight="1">
      <c r="A317" s="44"/>
      <c r="B317" s="44"/>
    </row>
    <row r="318" ht="12.75" customHeight="1">
      <c r="A318" s="44"/>
      <c r="B318" s="44"/>
    </row>
    <row r="319" ht="12.75" customHeight="1">
      <c r="A319" s="44"/>
      <c r="B319" s="44"/>
    </row>
    <row r="320" ht="12.75" customHeight="1">
      <c r="A320" s="44"/>
      <c r="B320" s="44"/>
    </row>
    <row r="321" ht="12.75" customHeight="1">
      <c r="A321" s="44"/>
      <c r="B321" s="44"/>
    </row>
    <row r="322" ht="12.75" customHeight="1">
      <c r="A322" s="44"/>
      <c r="B322" s="44"/>
    </row>
    <row r="323" ht="12.75" customHeight="1">
      <c r="A323" s="44"/>
      <c r="B323" s="44"/>
    </row>
    <row r="324" ht="12.75" customHeight="1">
      <c r="A324" s="44"/>
      <c r="B324" s="44"/>
    </row>
    <row r="325" ht="12.75" customHeight="1">
      <c r="A325" s="44"/>
      <c r="B325" s="44"/>
    </row>
    <row r="326" ht="12.75" customHeight="1">
      <c r="A326" s="44"/>
      <c r="B326" s="44"/>
    </row>
    <row r="327" ht="12.75" customHeight="1">
      <c r="A327" s="44"/>
      <c r="B327" s="44"/>
    </row>
    <row r="328" ht="12.75" customHeight="1">
      <c r="A328" s="44"/>
      <c r="B328" s="44"/>
    </row>
    <row r="329" ht="12.75" customHeight="1">
      <c r="A329" s="44"/>
      <c r="B329" s="44"/>
    </row>
    <row r="330" ht="12.75" customHeight="1">
      <c r="A330" s="44"/>
      <c r="B330" s="44"/>
    </row>
    <row r="331" ht="12.75" customHeight="1">
      <c r="A331" s="44"/>
      <c r="B331" s="44"/>
    </row>
    <row r="332" ht="12.75" customHeight="1">
      <c r="A332" s="44"/>
      <c r="B332" s="44"/>
    </row>
    <row r="333" ht="12.75" customHeight="1">
      <c r="A333" s="44"/>
      <c r="B333" s="44"/>
    </row>
    <row r="334" ht="12.75" customHeight="1">
      <c r="A334" s="44"/>
      <c r="B334" s="44"/>
    </row>
    <row r="335" ht="12.75" customHeight="1">
      <c r="A335" s="44"/>
      <c r="B335" s="44"/>
    </row>
    <row r="336" ht="12.75" customHeight="1">
      <c r="A336" s="44"/>
      <c r="B336" s="44"/>
    </row>
    <row r="337" ht="12.75" customHeight="1">
      <c r="A337" s="44"/>
      <c r="B337" s="44"/>
    </row>
    <row r="338" ht="12.75" customHeight="1">
      <c r="A338" s="44"/>
      <c r="B338" s="44"/>
    </row>
    <row r="339" ht="12.75" customHeight="1">
      <c r="A339" s="44"/>
      <c r="B339" s="44"/>
    </row>
    <row r="340" ht="12.75" customHeight="1">
      <c r="A340" s="44"/>
      <c r="B340" s="44"/>
    </row>
    <row r="341" ht="12.75" customHeight="1">
      <c r="A341" s="44"/>
      <c r="B341" s="44"/>
    </row>
    <row r="342" ht="12.75" customHeight="1">
      <c r="A342" s="44"/>
      <c r="B342" s="44"/>
    </row>
    <row r="343" ht="12.75" customHeight="1">
      <c r="A343" s="44"/>
      <c r="B343" s="44"/>
    </row>
    <row r="344" ht="12.75" customHeight="1">
      <c r="A344" s="44"/>
      <c r="B344" s="44"/>
    </row>
    <row r="345" ht="12.75" customHeight="1">
      <c r="A345" s="44"/>
      <c r="B345" s="44"/>
    </row>
    <row r="346" ht="12.75" customHeight="1">
      <c r="A346" s="44"/>
      <c r="B346" s="44"/>
    </row>
    <row r="347" ht="12.75" customHeight="1">
      <c r="A347" s="44"/>
      <c r="B347" s="44"/>
    </row>
    <row r="348" ht="12.75" customHeight="1">
      <c r="A348" s="44"/>
      <c r="B348" s="44"/>
    </row>
    <row r="349" ht="12.75" customHeight="1">
      <c r="A349" s="44"/>
      <c r="B349" s="44"/>
    </row>
    <row r="350" ht="12.75" customHeight="1">
      <c r="A350" s="44"/>
      <c r="B350" s="44"/>
    </row>
    <row r="351" ht="12.75" customHeight="1">
      <c r="A351" s="44"/>
      <c r="B351" s="44"/>
    </row>
    <row r="352" ht="12.75" customHeight="1">
      <c r="A352" s="44"/>
      <c r="B352" s="44"/>
    </row>
    <row r="353" ht="12.75" customHeight="1">
      <c r="A353" s="44"/>
      <c r="B353" s="44"/>
    </row>
    <row r="354" ht="12.75" customHeight="1">
      <c r="A354" s="44"/>
      <c r="B354" s="44"/>
    </row>
    <row r="355" ht="12.75" customHeight="1">
      <c r="A355" s="44"/>
      <c r="B355" s="44"/>
    </row>
    <row r="356" ht="12.75" customHeight="1">
      <c r="A356" s="44"/>
      <c r="B356" s="44"/>
    </row>
    <row r="357" ht="12.75" customHeight="1">
      <c r="A357" s="44"/>
      <c r="B357" s="44"/>
    </row>
    <row r="358" ht="12.75" customHeight="1">
      <c r="A358" s="44"/>
      <c r="B358" s="44"/>
    </row>
    <row r="359" ht="12.75" customHeight="1">
      <c r="A359" s="44"/>
      <c r="B359" s="44"/>
    </row>
    <row r="360" ht="12.75" customHeight="1">
      <c r="A360" s="44"/>
      <c r="B360" s="44"/>
    </row>
    <row r="361" ht="12.75" customHeight="1">
      <c r="A361" s="44"/>
      <c r="B361" s="44"/>
    </row>
    <row r="362" ht="12.75" customHeight="1">
      <c r="A362" s="44"/>
      <c r="B362" s="44"/>
    </row>
    <row r="363" ht="12.75" customHeight="1">
      <c r="A363" s="44"/>
      <c r="B363" s="44"/>
    </row>
    <row r="364" ht="12.75" customHeight="1">
      <c r="A364" s="44"/>
      <c r="B364" s="44"/>
    </row>
    <row r="365" ht="12.75" customHeight="1">
      <c r="A365" s="44"/>
      <c r="B365" s="44"/>
    </row>
    <row r="366" ht="12.75" customHeight="1">
      <c r="A366" s="44"/>
      <c r="B366" s="44"/>
    </row>
    <row r="367" ht="12.75" customHeight="1">
      <c r="A367" s="44"/>
      <c r="B367" s="44"/>
    </row>
    <row r="368" ht="12.75" customHeight="1">
      <c r="A368" s="44"/>
      <c r="B368" s="44"/>
    </row>
    <row r="369" ht="12.75" customHeight="1">
      <c r="A369" s="44"/>
      <c r="B369" s="44"/>
    </row>
    <row r="370" ht="12.75" customHeight="1">
      <c r="A370" s="44"/>
      <c r="B370" s="44"/>
    </row>
    <row r="371" ht="12.75" customHeight="1">
      <c r="A371" s="44"/>
      <c r="B371" s="44"/>
    </row>
    <row r="372" ht="12.75" customHeight="1">
      <c r="A372" s="44"/>
      <c r="B372" s="44"/>
    </row>
    <row r="373" ht="12.75" customHeight="1">
      <c r="A373" s="44"/>
      <c r="B373" s="44"/>
    </row>
    <row r="374" ht="12.75" customHeight="1">
      <c r="A374" s="44"/>
      <c r="B374" s="44"/>
    </row>
    <row r="375" ht="12.75" customHeight="1">
      <c r="A375" s="44"/>
      <c r="B375" s="44"/>
    </row>
    <row r="376" ht="12.75" customHeight="1">
      <c r="A376" s="44"/>
      <c r="B376" s="44"/>
    </row>
    <row r="377" ht="12.75" customHeight="1">
      <c r="A377" s="44"/>
      <c r="B377" s="44"/>
    </row>
    <row r="378" ht="12.75" customHeight="1">
      <c r="A378" s="44"/>
      <c r="B378" s="44"/>
    </row>
    <row r="379" ht="12.75" customHeight="1">
      <c r="A379" s="44"/>
      <c r="B379" s="44"/>
    </row>
    <row r="380" ht="12.75" customHeight="1">
      <c r="A380" s="44"/>
      <c r="B380" s="44"/>
    </row>
    <row r="381" ht="12.75" customHeight="1">
      <c r="A381" s="44"/>
      <c r="B381" s="44"/>
    </row>
    <row r="382" ht="12.75" customHeight="1">
      <c r="A382" s="44"/>
      <c r="B382" s="44"/>
    </row>
    <row r="383" ht="12.75" customHeight="1">
      <c r="A383" s="44"/>
      <c r="B383" s="44"/>
    </row>
    <row r="384" ht="12.75" customHeight="1">
      <c r="A384" s="44"/>
      <c r="B384" s="44"/>
    </row>
    <row r="385" ht="12.75" customHeight="1">
      <c r="A385" s="44"/>
      <c r="B385" s="44"/>
    </row>
    <row r="386" ht="12.75" customHeight="1">
      <c r="A386" s="44"/>
      <c r="B386" s="44"/>
    </row>
    <row r="387" ht="12.75" customHeight="1">
      <c r="A387" s="44"/>
      <c r="B387" s="44"/>
    </row>
    <row r="388" ht="12.75" customHeight="1">
      <c r="A388" s="44"/>
      <c r="B388" s="44"/>
    </row>
    <row r="389" ht="12.75" customHeight="1">
      <c r="A389" s="44"/>
      <c r="B389" s="44"/>
    </row>
    <row r="390" ht="12.75" customHeight="1">
      <c r="A390" s="44"/>
      <c r="B390" s="44"/>
    </row>
    <row r="391" ht="12.75" customHeight="1">
      <c r="A391" s="44"/>
      <c r="B391" s="44"/>
    </row>
    <row r="392" ht="12.75" customHeight="1">
      <c r="A392" s="44"/>
      <c r="B392" s="44"/>
    </row>
    <row r="393" ht="12.75" customHeight="1">
      <c r="A393" s="44"/>
      <c r="B393" s="44"/>
    </row>
    <row r="394" ht="12.75" customHeight="1">
      <c r="A394" s="44"/>
      <c r="B394" s="44"/>
    </row>
    <row r="395" ht="12.75" customHeight="1">
      <c r="A395" s="44"/>
      <c r="B395" s="44"/>
    </row>
    <row r="396" ht="12.75" customHeight="1">
      <c r="A396" s="44"/>
      <c r="B396" s="44"/>
    </row>
    <row r="397" ht="12.75" customHeight="1">
      <c r="A397" s="44"/>
      <c r="B397" s="44"/>
    </row>
    <row r="398" ht="12.75" customHeight="1">
      <c r="A398" s="44"/>
      <c r="B398" s="44"/>
    </row>
    <row r="399" ht="12.75" customHeight="1">
      <c r="A399" s="44"/>
      <c r="B399" s="44"/>
    </row>
    <row r="400" ht="12.75" customHeight="1">
      <c r="A400" s="44"/>
      <c r="B400" s="44"/>
    </row>
    <row r="401" ht="12.75" customHeight="1">
      <c r="A401" s="44"/>
      <c r="B401" s="44"/>
    </row>
    <row r="402" ht="12.75" customHeight="1">
      <c r="A402" s="44"/>
      <c r="B402" s="44"/>
    </row>
    <row r="403" ht="12.75" customHeight="1">
      <c r="A403" s="44"/>
      <c r="B403" s="44"/>
    </row>
    <row r="404" ht="12.75" customHeight="1">
      <c r="A404" s="44"/>
      <c r="B404" s="44"/>
    </row>
    <row r="405" ht="12.75" customHeight="1">
      <c r="A405" s="44"/>
      <c r="B405" s="44"/>
    </row>
    <row r="406" ht="12.75" customHeight="1">
      <c r="A406" s="44"/>
      <c r="B406" s="44"/>
    </row>
    <row r="407" ht="12.75" customHeight="1">
      <c r="A407" s="44"/>
      <c r="B407" s="44"/>
    </row>
    <row r="408" ht="12.75" customHeight="1">
      <c r="A408" s="44"/>
      <c r="B408" s="44"/>
    </row>
    <row r="409" ht="12.75" customHeight="1">
      <c r="A409" s="44"/>
      <c r="B409" s="44"/>
    </row>
    <row r="410" ht="12.75" customHeight="1">
      <c r="A410" s="44"/>
      <c r="B410" s="44"/>
    </row>
    <row r="411" ht="12.75" customHeight="1">
      <c r="A411" s="44"/>
      <c r="B411" s="44"/>
    </row>
    <row r="412" ht="12.75" customHeight="1">
      <c r="A412" s="44"/>
      <c r="B412" s="44"/>
    </row>
    <row r="413" ht="12.75" customHeight="1">
      <c r="A413" s="44"/>
      <c r="B413" s="44"/>
    </row>
    <row r="414" ht="12.75" customHeight="1">
      <c r="A414" s="44"/>
      <c r="B414" s="44"/>
    </row>
    <row r="415" ht="12.75" customHeight="1">
      <c r="A415" s="44"/>
      <c r="B415" s="44"/>
    </row>
    <row r="416" ht="12.75" customHeight="1">
      <c r="A416" s="44"/>
      <c r="B416" s="44"/>
    </row>
    <row r="417" ht="12.75" customHeight="1">
      <c r="A417" s="44"/>
      <c r="B417" s="44"/>
    </row>
    <row r="418" ht="12.75" customHeight="1">
      <c r="A418" s="44"/>
      <c r="B418" s="44"/>
    </row>
    <row r="419" ht="12.75" customHeight="1">
      <c r="A419" s="44"/>
      <c r="B419" s="44"/>
    </row>
    <row r="420" ht="12.75" customHeight="1">
      <c r="A420" s="44"/>
      <c r="B420" s="44"/>
    </row>
    <row r="421" ht="12.75" customHeight="1">
      <c r="A421" s="44"/>
      <c r="B421" s="44"/>
    </row>
    <row r="422" ht="12.75" customHeight="1">
      <c r="A422" s="44"/>
      <c r="B422" s="44"/>
    </row>
    <row r="423" ht="12.75" customHeight="1">
      <c r="A423" s="44"/>
      <c r="B423" s="44"/>
    </row>
    <row r="424" ht="12.75" customHeight="1">
      <c r="A424" s="44"/>
      <c r="B424" s="44"/>
    </row>
    <row r="425" ht="12.75" customHeight="1">
      <c r="A425" s="44"/>
      <c r="B425" s="44"/>
    </row>
    <row r="426" ht="12.75" customHeight="1">
      <c r="A426" s="44"/>
      <c r="B426" s="44"/>
    </row>
    <row r="427" ht="12.75" customHeight="1">
      <c r="A427" s="44"/>
      <c r="B427" s="44"/>
    </row>
    <row r="428" ht="12.75" customHeight="1">
      <c r="A428" s="44"/>
      <c r="B428" s="44"/>
    </row>
    <row r="429" ht="12.75" customHeight="1">
      <c r="A429" s="44"/>
      <c r="B429" s="44"/>
    </row>
    <row r="430" ht="12.75" customHeight="1">
      <c r="A430" s="44"/>
      <c r="B430" s="44"/>
    </row>
    <row r="431" ht="12.75" customHeight="1">
      <c r="A431" s="44"/>
      <c r="B431" s="44"/>
    </row>
    <row r="432" ht="12.75" customHeight="1">
      <c r="A432" s="44"/>
      <c r="B432" s="44"/>
    </row>
    <row r="433" ht="12.75" customHeight="1">
      <c r="A433" s="44"/>
      <c r="B433" s="44"/>
    </row>
    <row r="434" ht="12.75" customHeight="1">
      <c r="A434" s="44"/>
      <c r="B434" s="44"/>
    </row>
    <row r="435" ht="12.75" customHeight="1">
      <c r="A435" s="44"/>
      <c r="B435" s="44"/>
    </row>
    <row r="436" ht="12.75" customHeight="1">
      <c r="A436" s="44"/>
      <c r="B436" s="44"/>
    </row>
    <row r="437" ht="12.75" customHeight="1">
      <c r="A437" s="44"/>
      <c r="B437" s="44"/>
    </row>
    <row r="438" ht="12.75" customHeight="1">
      <c r="A438" s="44"/>
      <c r="B438" s="44"/>
    </row>
    <row r="439" ht="12.75" customHeight="1">
      <c r="A439" s="44"/>
      <c r="B439" s="44"/>
    </row>
    <row r="440" ht="12.75" customHeight="1">
      <c r="A440" s="44"/>
      <c r="B440" s="44"/>
    </row>
    <row r="441" ht="12.75" customHeight="1">
      <c r="A441" s="44"/>
      <c r="B441" s="44"/>
    </row>
    <row r="442" ht="12.75" customHeight="1">
      <c r="A442" s="44"/>
      <c r="B442" s="44"/>
    </row>
    <row r="443" ht="12.75" customHeight="1">
      <c r="A443" s="44"/>
      <c r="B443" s="44"/>
    </row>
    <row r="444" ht="12.75" customHeight="1">
      <c r="A444" s="44"/>
      <c r="B444" s="44"/>
    </row>
    <row r="445" ht="12.75" customHeight="1">
      <c r="A445" s="44"/>
      <c r="B445" s="44"/>
    </row>
    <row r="446" ht="12.75" customHeight="1">
      <c r="A446" s="44"/>
      <c r="B446" s="44"/>
    </row>
    <row r="447" ht="12.75" customHeight="1">
      <c r="A447" s="44"/>
      <c r="B447" s="44"/>
    </row>
    <row r="448" ht="12.75" customHeight="1">
      <c r="A448" s="44"/>
      <c r="B448" s="44"/>
    </row>
    <row r="449" ht="12.75" customHeight="1">
      <c r="A449" s="44"/>
      <c r="B449" s="44"/>
    </row>
    <row r="450" ht="12.75" customHeight="1">
      <c r="A450" s="44"/>
      <c r="B450" s="44"/>
    </row>
    <row r="451" ht="12.75" customHeight="1">
      <c r="A451" s="44"/>
      <c r="B451" s="44"/>
    </row>
    <row r="452" ht="12.75" customHeight="1">
      <c r="A452" s="44"/>
      <c r="B452" s="44"/>
    </row>
    <row r="453" ht="12.75" customHeight="1">
      <c r="A453" s="44"/>
      <c r="B453" s="44"/>
    </row>
    <row r="454" ht="12.75" customHeight="1">
      <c r="A454" s="44"/>
      <c r="B454" s="44"/>
    </row>
    <row r="455" ht="12.75" customHeight="1">
      <c r="A455" s="44"/>
      <c r="B455" s="44"/>
    </row>
    <row r="456" ht="12.75" customHeight="1">
      <c r="A456" s="44"/>
      <c r="B456" s="44"/>
    </row>
    <row r="457" ht="12.75" customHeight="1">
      <c r="A457" s="44"/>
      <c r="B457" s="44"/>
    </row>
    <row r="458" ht="12.75" customHeight="1">
      <c r="A458" s="44"/>
      <c r="B458" s="44"/>
    </row>
    <row r="459" ht="12.75" customHeight="1">
      <c r="A459" s="44"/>
      <c r="B459" s="44"/>
    </row>
    <row r="460" ht="12.75" customHeight="1">
      <c r="A460" s="44"/>
      <c r="B460" s="44"/>
    </row>
    <row r="461" ht="12.75" customHeight="1">
      <c r="A461" s="44"/>
      <c r="B461" s="44"/>
    </row>
    <row r="462" ht="12.75" customHeight="1">
      <c r="A462" s="44"/>
      <c r="B462" s="44"/>
    </row>
    <row r="463" ht="12.75" customHeight="1">
      <c r="A463" s="44"/>
      <c r="B463" s="44"/>
    </row>
    <row r="464" ht="12.75" customHeight="1">
      <c r="A464" s="44"/>
      <c r="B464" s="44"/>
    </row>
    <row r="465" ht="12.75" customHeight="1">
      <c r="A465" s="44"/>
      <c r="B465" s="44"/>
    </row>
    <row r="466" ht="12.75" customHeight="1">
      <c r="A466" s="44"/>
      <c r="B466" s="44"/>
    </row>
    <row r="467" ht="12.75" customHeight="1">
      <c r="A467" s="44"/>
      <c r="B467" s="44"/>
    </row>
    <row r="468" ht="12.75" customHeight="1">
      <c r="A468" s="44"/>
      <c r="B468" s="44"/>
    </row>
    <row r="469" ht="12.75" customHeight="1">
      <c r="A469" s="44"/>
      <c r="B469" s="44"/>
    </row>
    <row r="470" ht="12.75" customHeight="1">
      <c r="A470" s="44"/>
      <c r="B470" s="44"/>
    </row>
    <row r="471" ht="12.75" customHeight="1">
      <c r="A471" s="44"/>
      <c r="B471" s="44"/>
    </row>
    <row r="472" ht="12.75" customHeight="1">
      <c r="A472" s="44"/>
      <c r="B472" s="44"/>
    </row>
    <row r="473" ht="12.75" customHeight="1">
      <c r="A473" s="44"/>
      <c r="B473" s="44"/>
    </row>
    <row r="474" ht="12.75" customHeight="1">
      <c r="A474" s="44"/>
      <c r="B474" s="44"/>
    </row>
    <row r="475" ht="12.75" customHeight="1">
      <c r="A475" s="44"/>
      <c r="B475" s="44"/>
    </row>
    <row r="476" ht="12.75" customHeight="1">
      <c r="A476" s="44"/>
      <c r="B476" s="44"/>
    </row>
    <row r="477" ht="12.75" customHeight="1">
      <c r="A477" s="44"/>
      <c r="B477" s="44"/>
    </row>
    <row r="478" ht="12.75" customHeight="1">
      <c r="A478" s="44"/>
      <c r="B478" s="44"/>
    </row>
    <row r="479" ht="12.75" customHeight="1">
      <c r="A479" s="44"/>
      <c r="B479" s="44"/>
    </row>
    <row r="480" ht="12.75" customHeight="1">
      <c r="A480" s="44"/>
      <c r="B480" s="44"/>
    </row>
    <row r="481" ht="12.75" customHeight="1">
      <c r="A481" s="44"/>
      <c r="B481" s="44"/>
    </row>
    <row r="482" ht="12.75" customHeight="1">
      <c r="A482" s="44"/>
      <c r="B482" s="44"/>
    </row>
    <row r="483" ht="12.75" customHeight="1">
      <c r="A483" s="44"/>
      <c r="B483" s="44"/>
    </row>
    <row r="484" ht="12.75" customHeight="1">
      <c r="A484" s="44"/>
      <c r="B484" s="44"/>
    </row>
    <row r="485" ht="12.75" customHeight="1">
      <c r="A485" s="44"/>
      <c r="B485" s="44"/>
    </row>
    <row r="486" ht="12.75" customHeight="1">
      <c r="A486" s="44"/>
      <c r="B486" s="44"/>
    </row>
    <row r="487" ht="12.75" customHeight="1">
      <c r="A487" s="44"/>
      <c r="B487" s="44"/>
    </row>
    <row r="488" ht="12.75" customHeight="1">
      <c r="A488" s="44"/>
      <c r="B488" s="44"/>
    </row>
    <row r="489" ht="12.75" customHeight="1">
      <c r="A489" s="44"/>
      <c r="B489" s="44"/>
    </row>
    <row r="490" ht="12.75" customHeight="1">
      <c r="A490" s="44"/>
      <c r="B490" s="44"/>
    </row>
    <row r="491" ht="12.75" customHeight="1">
      <c r="A491" s="44"/>
      <c r="B491" s="44"/>
    </row>
    <row r="492" ht="12.75" customHeight="1">
      <c r="A492" s="44"/>
      <c r="B492" s="44"/>
    </row>
    <row r="493" ht="12.75" customHeight="1">
      <c r="A493" s="44"/>
      <c r="B493" s="44"/>
    </row>
    <row r="494" ht="12.75" customHeight="1">
      <c r="A494" s="44"/>
      <c r="B494" s="44"/>
    </row>
    <row r="495" ht="12.75" customHeight="1">
      <c r="A495" s="44"/>
      <c r="B495" s="44"/>
    </row>
    <row r="496" ht="12.75" customHeight="1">
      <c r="A496" s="44"/>
      <c r="B496" s="44"/>
    </row>
    <row r="497" ht="12.75" customHeight="1">
      <c r="A497" s="44"/>
      <c r="B497" s="44"/>
    </row>
    <row r="498" ht="12.75" customHeight="1">
      <c r="A498" s="44"/>
      <c r="B498" s="44"/>
    </row>
    <row r="499" ht="12.75" customHeight="1">
      <c r="A499" s="44"/>
      <c r="B499" s="44"/>
    </row>
    <row r="500" ht="12.75" customHeight="1">
      <c r="A500" s="44"/>
      <c r="B500" s="44"/>
    </row>
    <row r="501" ht="12.75" customHeight="1">
      <c r="A501" s="44"/>
      <c r="B501" s="44"/>
    </row>
    <row r="502" ht="12.75" customHeight="1">
      <c r="A502" s="44"/>
      <c r="B502" s="44"/>
    </row>
    <row r="503" ht="12.75" customHeight="1">
      <c r="A503" s="44"/>
      <c r="B503" s="44"/>
    </row>
    <row r="504" ht="12.75" customHeight="1">
      <c r="A504" s="44"/>
      <c r="B504" s="44"/>
    </row>
    <row r="505" ht="12.75" customHeight="1">
      <c r="A505" s="44"/>
      <c r="B505" s="44"/>
    </row>
    <row r="506" ht="12.75" customHeight="1">
      <c r="A506" s="44"/>
      <c r="B506" s="44"/>
    </row>
    <row r="507" ht="12.75" customHeight="1">
      <c r="A507" s="44"/>
      <c r="B507" s="44"/>
    </row>
    <row r="508" ht="12.75" customHeight="1">
      <c r="A508" s="44"/>
      <c r="B508" s="44"/>
    </row>
    <row r="509" ht="12.75" customHeight="1">
      <c r="A509" s="44"/>
      <c r="B509" s="44"/>
    </row>
    <row r="510" ht="12.75" customHeight="1">
      <c r="A510" s="44"/>
      <c r="B510" s="44"/>
    </row>
    <row r="511" ht="12.75" customHeight="1">
      <c r="A511" s="44"/>
      <c r="B511" s="44"/>
    </row>
    <row r="512" ht="12.75" customHeight="1">
      <c r="A512" s="44"/>
      <c r="B512" s="44"/>
    </row>
    <row r="513" ht="12.75" customHeight="1">
      <c r="A513" s="44"/>
      <c r="B513" s="44"/>
    </row>
    <row r="514" ht="12.75" customHeight="1">
      <c r="A514" s="44"/>
      <c r="B514" s="44"/>
    </row>
    <row r="515" ht="12.75" customHeight="1">
      <c r="A515" s="44"/>
      <c r="B515" s="44"/>
    </row>
    <row r="516" ht="12.75" customHeight="1">
      <c r="A516" s="44"/>
      <c r="B516" s="44"/>
    </row>
    <row r="517" ht="12.75" customHeight="1">
      <c r="A517" s="44"/>
      <c r="B517" s="44"/>
    </row>
    <row r="518" ht="12.75" customHeight="1">
      <c r="A518" s="44"/>
      <c r="B518" s="44"/>
    </row>
    <row r="519" ht="12.75" customHeight="1">
      <c r="A519" s="44"/>
      <c r="B519" s="44"/>
    </row>
    <row r="520" ht="12.75" customHeight="1">
      <c r="A520" s="44"/>
      <c r="B520" s="44"/>
    </row>
    <row r="521" ht="12.75" customHeight="1">
      <c r="A521" s="44"/>
      <c r="B521" s="44"/>
    </row>
    <row r="522" ht="12.75" customHeight="1">
      <c r="A522" s="44"/>
      <c r="B522" s="44"/>
    </row>
    <row r="523" ht="12.75" customHeight="1">
      <c r="A523" s="44"/>
      <c r="B523" s="44"/>
    </row>
    <row r="524" ht="12.75" customHeight="1">
      <c r="A524" s="44"/>
      <c r="B524" s="44"/>
    </row>
    <row r="525" ht="12.75" customHeight="1">
      <c r="A525" s="44"/>
      <c r="B525" s="44"/>
    </row>
    <row r="526" ht="12.75" customHeight="1">
      <c r="A526" s="44"/>
      <c r="B526" s="44"/>
    </row>
    <row r="527" ht="12.75" customHeight="1">
      <c r="A527" s="44"/>
      <c r="B527" s="44"/>
    </row>
    <row r="528" ht="12.75" customHeight="1">
      <c r="A528" s="44"/>
      <c r="B528" s="44"/>
    </row>
    <row r="529" ht="12.75" customHeight="1">
      <c r="A529" s="44"/>
      <c r="B529" s="44"/>
    </row>
    <row r="530" ht="12.75" customHeight="1">
      <c r="A530" s="44"/>
      <c r="B530" s="44"/>
    </row>
    <row r="531" ht="12.75" customHeight="1">
      <c r="A531" s="44"/>
      <c r="B531" s="44"/>
    </row>
    <row r="532" ht="12.75" customHeight="1">
      <c r="A532" s="44"/>
      <c r="B532" s="44"/>
    </row>
    <row r="533" ht="12.75" customHeight="1">
      <c r="A533" s="44"/>
      <c r="B533" s="44"/>
    </row>
    <row r="534" ht="12.75" customHeight="1">
      <c r="A534" s="44"/>
      <c r="B534" s="44"/>
    </row>
    <row r="535" ht="12.75" customHeight="1">
      <c r="A535" s="44"/>
      <c r="B535" s="44"/>
    </row>
    <row r="536" ht="12.75" customHeight="1">
      <c r="A536" s="44"/>
      <c r="B536" s="44"/>
    </row>
    <row r="537" ht="12.75" customHeight="1">
      <c r="A537" s="44"/>
      <c r="B537" s="44"/>
    </row>
    <row r="538" ht="12.75" customHeight="1">
      <c r="A538" s="44"/>
      <c r="B538" s="44"/>
    </row>
    <row r="539" ht="12.75" customHeight="1">
      <c r="A539" s="44"/>
      <c r="B539" s="44"/>
    </row>
    <row r="540" ht="12.75" customHeight="1">
      <c r="A540" s="44"/>
      <c r="B540" s="44"/>
    </row>
    <row r="541" ht="12.75" customHeight="1">
      <c r="A541" s="44"/>
      <c r="B541" s="44"/>
    </row>
    <row r="542" ht="12.75" customHeight="1">
      <c r="A542" s="44"/>
      <c r="B542" s="44"/>
    </row>
    <row r="543" ht="12.75" customHeight="1">
      <c r="A543" s="44"/>
      <c r="B543" s="44"/>
    </row>
    <row r="544" ht="12.75" customHeight="1">
      <c r="A544" s="44"/>
      <c r="B544" s="44"/>
    </row>
    <row r="545" ht="12.75" customHeight="1">
      <c r="A545" s="44"/>
      <c r="B545" s="44"/>
    </row>
    <row r="546" ht="12.75" customHeight="1">
      <c r="A546" s="44"/>
      <c r="B546" s="44"/>
    </row>
    <row r="547" ht="12.75" customHeight="1">
      <c r="A547" s="44"/>
      <c r="B547" s="44"/>
    </row>
    <row r="548" ht="12.75" customHeight="1">
      <c r="A548" s="44"/>
      <c r="B548" s="44"/>
    </row>
    <row r="549" ht="12.75" customHeight="1">
      <c r="A549" s="44"/>
      <c r="B549" s="44"/>
    </row>
    <row r="550" ht="12.75" customHeight="1">
      <c r="A550" s="44"/>
      <c r="B550" s="44"/>
    </row>
    <row r="551" ht="12.75" customHeight="1">
      <c r="A551" s="44"/>
      <c r="B551" s="44"/>
    </row>
    <row r="552" ht="12.75" customHeight="1">
      <c r="A552" s="44"/>
      <c r="B552" s="44"/>
    </row>
    <row r="553" ht="12.75" customHeight="1">
      <c r="A553" s="44"/>
      <c r="B553" s="44"/>
    </row>
    <row r="554" ht="12.75" customHeight="1">
      <c r="A554" s="44"/>
      <c r="B554" s="44"/>
    </row>
    <row r="555" ht="12.75" customHeight="1">
      <c r="A555" s="44"/>
      <c r="B555" s="44"/>
    </row>
    <row r="556" ht="12.75" customHeight="1">
      <c r="A556" s="44"/>
      <c r="B556" s="44"/>
    </row>
    <row r="557" ht="12.75" customHeight="1">
      <c r="A557" s="44"/>
      <c r="B557" s="44"/>
    </row>
    <row r="558" ht="12.75" customHeight="1">
      <c r="A558" s="44"/>
      <c r="B558" s="44"/>
    </row>
    <row r="559" ht="12.75" customHeight="1">
      <c r="A559" s="44"/>
      <c r="B559" s="44"/>
    </row>
    <row r="560" ht="12.75" customHeight="1">
      <c r="A560" s="44"/>
      <c r="B560" s="44"/>
    </row>
    <row r="561" ht="12.75" customHeight="1">
      <c r="A561" s="44"/>
      <c r="B561" s="44"/>
    </row>
    <row r="562" ht="12.75" customHeight="1">
      <c r="A562" s="44"/>
      <c r="B562" s="44"/>
    </row>
    <row r="563" ht="12.75" customHeight="1">
      <c r="A563" s="44"/>
      <c r="B563" s="44"/>
    </row>
    <row r="564" ht="12.75" customHeight="1">
      <c r="A564" s="44"/>
      <c r="B564" s="44"/>
    </row>
    <row r="565" ht="12.75" customHeight="1">
      <c r="A565" s="44"/>
      <c r="B565" s="44"/>
    </row>
    <row r="566" ht="12.75" customHeight="1">
      <c r="A566" s="44"/>
      <c r="B566" s="44"/>
    </row>
    <row r="567" ht="12.75" customHeight="1">
      <c r="A567" s="44"/>
      <c r="B567" s="44"/>
    </row>
    <row r="568" ht="12.75" customHeight="1">
      <c r="A568" s="44"/>
      <c r="B568" s="44"/>
    </row>
    <row r="569" ht="12.75" customHeight="1">
      <c r="A569" s="44"/>
      <c r="B569" s="44"/>
    </row>
    <row r="570" ht="12.75" customHeight="1">
      <c r="A570" s="44"/>
      <c r="B570" s="44"/>
    </row>
    <row r="571" ht="12.75" customHeight="1">
      <c r="A571" s="44"/>
      <c r="B571" s="44"/>
    </row>
    <row r="572" ht="12.75" customHeight="1">
      <c r="A572" s="44"/>
      <c r="B572" s="44"/>
    </row>
    <row r="573" ht="12.75" customHeight="1">
      <c r="A573" s="44"/>
      <c r="B573" s="44"/>
    </row>
    <row r="574" ht="12.75" customHeight="1">
      <c r="A574" s="44"/>
      <c r="B574" s="44"/>
    </row>
    <row r="575" ht="12.75" customHeight="1">
      <c r="A575" s="44"/>
      <c r="B575" s="44"/>
    </row>
    <row r="576" ht="12.75" customHeight="1">
      <c r="A576" s="44"/>
      <c r="B576" s="44"/>
    </row>
    <row r="577" ht="12.75" customHeight="1">
      <c r="A577" s="44"/>
      <c r="B577" s="44"/>
    </row>
    <row r="578" ht="12.75" customHeight="1">
      <c r="A578" s="44"/>
      <c r="B578" s="44"/>
    </row>
    <row r="579" ht="12.75" customHeight="1">
      <c r="A579" s="44"/>
      <c r="B579" s="44"/>
    </row>
    <row r="580" ht="12.75" customHeight="1">
      <c r="A580" s="44"/>
      <c r="B580" s="44"/>
    </row>
    <row r="581" ht="12.75" customHeight="1">
      <c r="A581" s="44"/>
      <c r="B581" s="44"/>
    </row>
    <row r="582" ht="12.75" customHeight="1">
      <c r="A582" s="44"/>
      <c r="B582" s="44"/>
    </row>
    <row r="583" ht="12.75" customHeight="1">
      <c r="A583" s="44"/>
      <c r="B583" s="44"/>
    </row>
    <row r="584" ht="12.75" customHeight="1">
      <c r="A584" s="44"/>
      <c r="B584" s="44"/>
    </row>
    <row r="585" ht="12.75" customHeight="1">
      <c r="A585" s="44"/>
      <c r="B585" s="44"/>
    </row>
    <row r="586" ht="12.75" customHeight="1">
      <c r="A586" s="44"/>
      <c r="B586" s="44"/>
    </row>
    <row r="587" ht="12.75" customHeight="1">
      <c r="A587" s="44"/>
      <c r="B587" s="44"/>
    </row>
    <row r="588" ht="12.75" customHeight="1">
      <c r="A588" s="44"/>
      <c r="B588" s="44"/>
    </row>
    <row r="589" ht="12.75" customHeight="1">
      <c r="A589" s="44"/>
      <c r="B589" s="44"/>
    </row>
    <row r="590" ht="12.75" customHeight="1">
      <c r="A590" s="44"/>
      <c r="B590" s="44"/>
    </row>
    <row r="591" ht="12.75" customHeight="1">
      <c r="A591" s="44"/>
      <c r="B591" s="44"/>
    </row>
    <row r="592" ht="12.75" customHeight="1">
      <c r="A592" s="44"/>
      <c r="B592" s="44"/>
    </row>
    <row r="593" ht="12.75" customHeight="1">
      <c r="A593" s="44"/>
      <c r="B593" s="44"/>
    </row>
    <row r="594" ht="12.75" customHeight="1">
      <c r="A594" s="44"/>
      <c r="B594" s="44"/>
    </row>
    <row r="595" ht="12.75" customHeight="1">
      <c r="A595" s="44"/>
      <c r="B595" s="44"/>
    </row>
    <row r="596" ht="12.75" customHeight="1">
      <c r="A596" s="44"/>
      <c r="B596" s="44"/>
    </row>
    <row r="597" ht="12.75" customHeight="1">
      <c r="A597" s="44"/>
      <c r="B597" s="44"/>
    </row>
    <row r="598" ht="12.75" customHeight="1">
      <c r="A598" s="44"/>
      <c r="B598" s="44"/>
    </row>
    <row r="599" ht="12.75" customHeight="1">
      <c r="A599" s="44"/>
      <c r="B599" s="44"/>
    </row>
    <row r="600" ht="12.75" customHeight="1">
      <c r="A600" s="44"/>
      <c r="B600" s="44"/>
    </row>
    <row r="601" ht="12.75" customHeight="1">
      <c r="A601" s="44"/>
      <c r="B601" s="44"/>
    </row>
    <row r="602" ht="12.75" customHeight="1">
      <c r="A602" s="44"/>
      <c r="B602" s="44"/>
    </row>
    <row r="603" ht="12.75" customHeight="1">
      <c r="A603" s="44"/>
      <c r="B603" s="44"/>
    </row>
    <row r="604" ht="12.75" customHeight="1">
      <c r="A604" s="44"/>
      <c r="B604" s="44"/>
    </row>
    <row r="605" ht="12.75" customHeight="1">
      <c r="A605" s="44"/>
      <c r="B605" s="44"/>
    </row>
    <row r="606" ht="12.75" customHeight="1">
      <c r="A606" s="44"/>
      <c r="B606" s="44"/>
    </row>
    <row r="607" ht="12.75" customHeight="1">
      <c r="A607" s="44"/>
      <c r="B607" s="44"/>
    </row>
    <row r="608" ht="12.75" customHeight="1">
      <c r="A608" s="44"/>
      <c r="B608" s="44"/>
    </row>
    <row r="609" ht="12.75" customHeight="1">
      <c r="A609" s="44"/>
      <c r="B609" s="44"/>
    </row>
    <row r="610" ht="12.75" customHeight="1">
      <c r="A610" s="44"/>
      <c r="B610" s="44"/>
    </row>
    <row r="611" ht="12.75" customHeight="1">
      <c r="A611" s="44"/>
      <c r="B611" s="44"/>
    </row>
    <row r="612" ht="12.75" customHeight="1">
      <c r="A612" s="44"/>
      <c r="B612" s="44"/>
    </row>
    <row r="613" ht="12.75" customHeight="1">
      <c r="A613" s="44"/>
      <c r="B613" s="44"/>
    </row>
    <row r="614" ht="12.75" customHeight="1">
      <c r="A614" s="44"/>
      <c r="B614" s="44"/>
    </row>
    <row r="615" ht="12.75" customHeight="1">
      <c r="A615" s="44"/>
      <c r="B615" s="44"/>
    </row>
    <row r="616" ht="12.75" customHeight="1">
      <c r="A616" s="44"/>
      <c r="B616" s="44"/>
    </row>
    <row r="617" ht="12.75" customHeight="1">
      <c r="A617" s="44"/>
      <c r="B617" s="44"/>
    </row>
    <row r="618" ht="12.75" customHeight="1">
      <c r="A618" s="44"/>
      <c r="B618" s="44"/>
    </row>
    <row r="619" ht="12.75" customHeight="1">
      <c r="A619" s="44"/>
      <c r="B619" s="44"/>
    </row>
    <row r="620" ht="12.75" customHeight="1">
      <c r="A620" s="44"/>
      <c r="B620" s="44"/>
    </row>
    <row r="621" ht="12.75" customHeight="1">
      <c r="A621" s="44"/>
      <c r="B621" s="44"/>
    </row>
    <row r="622" ht="12.75" customHeight="1">
      <c r="A622" s="44"/>
      <c r="B622" s="44"/>
    </row>
    <row r="623" ht="12.75" customHeight="1">
      <c r="A623" s="44"/>
      <c r="B623" s="44"/>
    </row>
    <row r="624" ht="12.75" customHeight="1">
      <c r="A624" s="44"/>
      <c r="B624" s="44"/>
    </row>
    <row r="625" ht="12.75" customHeight="1">
      <c r="A625" s="44"/>
      <c r="B625" s="44"/>
    </row>
    <row r="626" ht="12.75" customHeight="1">
      <c r="A626" s="44"/>
      <c r="B626" s="44"/>
    </row>
    <row r="627" ht="12.75" customHeight="1">
      <c r="A627" s="44"/>
      <c r="B627" s="44"/>
    </row>
    <row r="628" ht="12.75" customHeight="1">
      <c r="A628" s="44"/>
      <c r="B628" s="44"/>
    </row>
    <row r="629" ht="12.75" customHeight="1">
      <c r="A629" s="44"/>
      <c r="B629" s="44"/>
    </row>
    <row r="630" ht="12.75" customHeight="1">
      <c r="A630" s="44"/>
      <c r="B630" s="44"/>
    </row>
    <row r="631" ht="12.75" customHeight="1">
      <c r="A631" s="44"/>
      <c r="B631" s="44"/>
    </row>
    <row r="632" ht="12.75" customHeight="1">
      <c r="A632" s="44"/>
      <c r="B632" s="44"/>
    </row>
    <row r="633" ht="12.75" customHeight="1">
      <c r="A633" s="44"/>
      <c r="B633" s="44"/>
    </row>
    <row r="634" ht="12.75" customHeight="1">
      <c r="A634" s="44"/>
      <c r="B634" s="44"/>
    </row>
    <row r="635" ht="12.75" customHeight="1">
      <c r="A635" s="44"/>
      <c r="B635" s="44"/>
    </row>
    <row r="636" ht="12.75" customHeight="1">
      <c r="A636" s="44"/>
      <c r="B636" s="44"/>
    </row>
    <row r="637" ht="12.75" customHeight="1">
      <c r="A637" s="44"/>
      <c r="B637" s="44"/>
    </row>
    <row r="638" ht="12.75" customHeight="1">
      <c r="A638" s="44"/>
      <c r="B638" s="44"/>
    </row>
    <row r="639" ht="12.75" customHeight="1">
      <c r="A639" s="44"/>
      <c r="B639" s="44"/>
    </row>
    <row r="640" ht="12.75" customHeight="1">
      <c r="A640" s="44"/>
      <c r="B640" s="44"/>
    </row>
    <row r="641" ht="12.75" customHeight="1">
      <c r="A641" s="44"/>
      <c r="B641" s="44"/>
    </row>
    <row r="642" ht="12.75" customHeight="1">
      <c r="A642" s="44"/>
      <c r="B642" s="44"/>
    </row>
    <row r="643" ht="12.75" customHeight="1">
      <c r="A643" s="44"/>
      <c r="B643" s="44"/>
    </row>
    <row r="644" ht="12.75" customHeight="1">
      <c r="A644" s="44"/>
      <c r="B644" s="44"/>
    </row>
    <row r="645" ht="12.75" customHeight="1">
      <c r="A645" s="44"/>
      <c r="B645" s="44"/>
    </row>
    <row r="646" ht="12.75" customHeight="1">
      <c r="A646" s="44"/>
      <c r="B646" s="44"/>
    </row>
    <row r="647" ht="12.75" customHeight="1">
      <c r="A647" s="44"/>
      <c r="B647" s="44"/>
    </row>
    <row r="648" ht="12.75" customHeight="1">
      <c r="A648" s="44"/>
      <c r="B648" s="44"/>
    </row>
    <row r="649" ht="12.75" customHeight="1">
      <c r="A649" s="44"/>
      <c r="B649" s="44"/>
    </row>
    <row r="650" ht="12.75" customHeight="1">
      <c r="A650" s="44"/>
      <c r="B650" s="44"/>
    </row>
    <row r="651" ht="12.75" customHeight="1">
      <c r="A651" s="44"/>
      <c r="B651" s="44"/>
    </row>
    <row r="652" ht="12.75" customHeight="1">
      <c r="A652" s="44"/>
      <c r="B652" s="44"/>
    </row>
    <row r="653" ht="12.75" customHeight="1">
      <c r="A653" s="44"/>
      <c r="B653" s="44"/>
    </row>
    <row r="654" ht="12.75" customHeight="1">
      <c r="A654" s="44"/>
      <c r="B654" s="44"/>
    </row>
    <row r="655" ht="12.75" customHeight="1">
      <c r="A655" s="44"/>
      <c r="B655" s="44"/>
    </row>
    <row r="656" ht="12.75" customHeight="1">
      <c r="A656" s="44"/>
      <c r="B656" s="44"/>
    </row>
    <row r="657" ht="12.75" customHeight="1">
      <c r="A657" s="44"/>
      <c r="B657" s="44"/>
    </row>
    <row r="658" ht="12.75" customHeight="1">
      <c r="A658" s="44"/>
      <c r="B658" s="44"/>
    </row>
    <row r="659" ht="12.75" customHeight="1">
      <c r="A659" s="44"/>
      <c r="B659" s="44"/>
    </row>
    <row r="660" ht="12.75" customHeight="1">
      <c r="A660" s="44"/>
      <c r="B660" s="44"/>
    </row>
    <row r="661" ht="12.75" customHeight="1">
      <c r="A661" s="44"/>
      <c r="B661" s="44"/>
    </row>
    <row r="662" ht="12.75" customHeight="1">
      <c r="A662" s="44"/>
      <c r="B662" s="44"/>
    </row>
    <row r="663" ht="12.75" customHeight="1">
      <c r="A663" s="44"/>
      <c r="B663" s="44"/>
    </row>
    <row r="664" ht="12.75" customHeight="1">
      <c r="A664" s="44"/>
      <c r="B664" s="44"/>
    </row>
    <row r="665" ht="12.75" customHeight="1">
      <c r="A665" s="44"/>
      <c r="B665" s="44"/>
    </row>
    <row r="666" ht="12.75" customHeight="1">
      <c r="A666" s="44"/>
      <c r="B666" s="44"/>
    </row>
    <row r="667" ht="12.75" customHeight="1">
      <c r="A667" s="44"/>
      <c r="B667" s="44"/>
    </row>
    <row r="668" ht="12.75" customHeight="1">
      <c r="A668" s="44"/>
      <c r="B668" s="44"/>
    </row>
    <row r="669" ht="12.75" customHeight="1">
      <c r="A669" s="44"/>
      <c r="B669" s="44"/>
    </row>
    <row r="670" ht="12.75" customHeight="1">
      <c r="A670" s="44"/>
      <c r="B670" s="44"/>
    </row>
    <row r="671" ht="12.75" customHeight="1">
      <c r="A671" s="44"/>
      <c r="B671" s="44"/>
    </row>
    <row r="672" ht="12.75" customHeight="1">
      <c r="A672" s="44"/>
      <c r="B672" s="44"/>
    </row>
    <row r="673" ht="12.75" customHeight="1">
      <c r="A673" s="44"/>
      <c r="B673" s="44"/>
    </row>
    <row r="674" ht="12.75" customHeight="1">
      <c r="A674" s="44"/>
      <c r="B674" s="44"/>
    </row>
    <row r="675" ht="12.75" customHeight="1">
      <c r="A675" s="44"/>
      <c r="B675" s="44"/>
    </row>
    <row r="676" ht="12.75" customHeight="1">
      <c r="A676" s="44"/>
      <c r="B676" s="44"/>
    </row>
    <row r="677" ht="12.75" customHeight="1">
      <c r="A677" s="44"/>
      <c r="B677" s="44"/>
    </row>
    <row r="678" ht="12.75" customHeight="1">
      <c r="A678" s="44"/>
      <c r="B678" s="44"/>
    </row>
    <row r="679" ht="12.75" customHeight="1">
      <c r="A679" s="44"/>
      <c r="B679" s="44"/>
    </row>
    <row r="680" ht="12.75" customHeight="1">
      <c r="A680" s="44"/>
      <c r="B680" s="44"/>
    </row>
    <row r="681" ht="12.75" customHeight="1">
      <c r="A681" s="44"/>
      <c r="B681" s="44"/>
    </row>
    <row r="682" ht="12.75" customHeight="1">
      <c r="A682" s="44"/>
      <c r="B682" s="44"/>
    </row>
    <row r="683" ht="12.75" customHeight="1">
      <c r="A683" s="44"/>
      <c r="B683" s="44"/>
    </row>
    <row r="684" ht="12.75" customHeight="1">
      <c r="A684" s="44"/>
      <c r="B684" s="44"/>
    </row>
    <row r="685" ht="12.75" customHeight="1">
      <c r="A685" s="44"/>
      <c r="B685" s="44"/>
    </row>
    <row r="686" ht="12.75" customHeight="1">
      <c r="A686" s="44"/>
      <c r="B686" s="44"/>
    </row>
    <row r="687" ht="12.75" customHeight="1">
      <c r="A687" s="44"/>
      <c r="B687" s="44"/>
    </row>
    <row r="688" ht="12.75" customHeight="1">
      <c r="A688" s="44"/>
      <c r="B688" s="44"/>
    </row>
    <row r="689" ht="12.75" customHeight="1">
      <c r="A689" s="44"/>
      <c r="B689" s="44"/>
    </row>
    <row r="690" ht="12.75" customHeight="1">
      <c r="A690" s="44"/>
      <c r="B690" s="44"/>
    </row>
    <row r="691" ht="12.75" customHeight="1">
      <c r="A691" s="44"/>
      <c r="B691" s="44"/>
    </row>
    <row r="692" ht="12.75" customHeight="1">
      <c r="A692" s="44"/>
      <c r="B692" s="44"/>
    </row>
    <row r="693" ht="12.75" customHeight="1">
      <c r="A693" s="44"/>
      <c r="B693" s="44"/>
    </row>
    <row r="694" ht="12.75" customHeight="1">
      <c r="A694" s="44"/>
      <c r="B694" s="44"/>
    </row>
    <row r="695" ht="12.75" customHeight="1">
      <c r="A695" s="44"/>
      <c r="B695" s="44"/>
    </row>
    <row r="696" ht="12.75" customHeight="1">
      <c r="A696" s="44"/>
      <c r="B696" s="44"/>
    </row>
    <row r="697" ht="12.75" customHeight="1">
      <c r="A697" s="44"/>
      <c r="B697" s="44"/>
    </row>
    <row r="698" ht="12.75" customHeight="1">
      <c r="A698" s="44"/>
      <c r="B698" s="44"/>
    </row>
    <row r="699" ht="12.75" customHeight="1">
      <c r="A699" s="44"/>
      <c r="B699" s="44"/>
    </row>
    <row r="700" ht="12.75" customHeight="1">
      <c r="A700" s="44"/>
      <c r="B700" s="44"/>
    </row>
    <row r="701" ht="12.75" customHeight="1">
      <c r="A701" s="44"/>
      <c r="B701" s="44"/>
    </row>
    <row r="702" ht="12.75" customHeight="1">
      <c r="A702" s="44"/>
      <c r="B702" s="44"/>
    </row>
    <row r="703" ht="12.75" customHeight="1">
      <c r="A703" s="44"/>
      <c r="B703" s="44"/>
    </row>
    <row r="704" ht="12.75" customHeight="1">
      <c r="A704" s="44"/>
      <c r="B704" s="44"/>
    </row>
    <row r="705" ht="12.75" customHeight="1">
      <c r="A705" s="44"/>
      <c r="B705" s="44"/>
    </row>
    <row r="706" ht="12.75" customHeight="1">
      <c r="A706" s="44"/>
      <c r="B706" s="44"/>
    </row>
    <row r="707" ht="12.75" customHeight="1">
      <c r="A707" s="44"/>
      <c r="B707" s="44"/>
    </row>
    <row r="708" ht="12.75" customHeight="1">
      <c r="A708" s="44"/>
      <c r="B708" s="44"/>
    </row>
    <row r="709" ht="12.75" customHeight="1">
      <c r="A709" s="44"/>
      <c r="B709" s="44"/>
    </row>
    <row r="710" ht="12.75" customHeight="1">
      <c r="A710" s="44"/>
      <c r="B710" s="44"/>
    </row>
    <row r="711" ht="12.75" customHeight="1">
      <c r="A711" s="44"/>
      <c r="B711" s="44"/>
    </row>
    <row r="712" ht="12.75" customHeight="1">
      <c r="A712" s="44"/>
      <c r="B712" s="44"/>
    </row>
    <row r="713" ht="12.75" customHeight="1">
      <c r="A713" s="44"/>
      <c r="B713" s="44"/>
    </row>
    <row r="714" ht="12.75" customHeight="1">
      <c r="A714" s="44"/>
      <c r="B714" s="44"/>
    </row>
    <row r="715" ht="12.75" customHeight="1">
      <c r="A715" s="44"/>
      <c r="B715" s="44"/>
    </row>
    <row r="716" ht="12.75" customHeight="1">
      <c r="A716" s="44"/>
      <c r="B716" s="44"/>
    </row>
    <row r="717" ht="12.75" customHeight="1">
      <c r="A717" s="44"/>
      <c r="B717" s="44"/>
    </row>
    <row r="718" ht="12.75" customHeight="1">
      <c r="A718" s="44"/>
      <c r="B718" s="44"/>
    </row>
    <row r="719" ht="12.75" customHeight="1">
      <c r="A719" s="44"/>
      <c r="B719" s="44"/>
    </row>
    <row r="720" ht="12.75" customHeight="1">
      <c r="A720" s="44"/>
      <c r="B720" s="44"/>
    </row>
    <row r="721" ht="12.75" customHeight="1">
      <c r="A721" s="44"/>
      <c r="B721" s="44"/>
    </row>
    <row r="722" ht="12.75" customHeight="1">
      <c r="A722" s="44"/>
      <c r="B722" s="44"/>
    </row>
    <row r="723" ht="12.75" customHeight="1">
      <c r="A723" s="44"/>
      <c r="B723" s="44"/>
    </row>
    <row r="724" ht="12.75" customHeight="1">
      <c r="A724" s="44"/>
      <c r="B724" s="44"/>
    </row>
    <row r="725" ht="12.75" customHeight="1">
      <c r="A725" s="44"/>
      <c r="B725" s="44"/>
    </row>
    <row r="726" ht="12.75" customHeight="1">
      <c r="A726" s="44"/>
      <c r="B726" s="44"/>
    </row>
    <row r="727" ht="12.75" customHeight="1">
      <c r="A727" s="44"/>
      <c r="B727" s="44"/>
    </row>
    <row r="728" ht="12.75" customHeight="1">
      <c r="A728" s="44"/>
      <c r="B728" s="44"/>
    </row>
    <row r="729" ht="12.75" customHeight="1">
      <c r="A729" s="44"/>
      <c r="B729" s="44"/>
    </row>
    <row r="730" ht="12.75" customHeight="1">
      <c r="A730" s="44"/>
      <c r="B730" s="44"/>
    </row>
    <row r="731" ht="12.75" customHeight="1">
      <c r="A731" s="44"/>
      <c r="B731" s="44"/>
    </row>
    <row r="732" ht="12.75" customHeight="1">
      <c r="A732" s="44"/>
      <c r="B732" s="44"/>
    </row>
    <row r="733" ht="12.75" customHeight="1">
      <c r="A733" s="44"/>
      <c r="B733" s="44"/>
    </row>
    <row r="734" ht="12.75" customHeight="1">
      <c r="A734" s="44"/>
      <c r="B734" s="44"/>
    </row>
    <row r="735" ht="12.75" customHeight="1">
      <c r="A735" s="44"/>
      <c r="B735" s="44"/>
    </row>
    <row r="736" ht="12.75" customHeight="1">
      <c r="A736" s="44"/>
      <c r="B736" s="44"/>
    </row>
    <row r="737" ht="12.75" customHeight="1">
      <c r="A737" s="44"/>
      <c r="B737" s="44"/>
    </row>
    <row r="738" ht="12.75" customHeight="1">
      <c r="A738" s="44"/>
      <c r="B738" s="44"/>
    </row>
    <row r="739" ht="12.75" customHeight="1">
      <c r="A739" s="44"/>
      <c r="B739" s="44"/>
    </row>
    <row r="740" ht="12.75" customHeight="1">
      <c r="A740" s="44"/>
      <c r="B740" s="44"/>
    </row>
    <row r="741" ht="12.75" customHeight="1">
      <c r="A741" s="44"/>
      <c r="B741" s="44"/>
    </row>
    <row r="742" ht="12.75" customHeight="1">
      <c r="A742" s="44"/>
      <c r="B742" s="44"/>
    </row>
    <row r="743" ht="12.75" customHeight="1">
      <c r="A743" s="44"/>
      <c r="B743" s="44"/>
    </row>
    <row r="744" ht="12.75" customHeight="1">
      <c r="A744" s="44"/>
      <c r="B744" s="44"/>
    </row>
    <row r="745" ht="12.75" customHeight="1">
      <c r="A745" s="44"/>
      <c r="B745" s="44"/>
    </row>
    <row r="746" ht="12.75" customHeight="1">
      <c r="A746" s="44"/>
      <c r="B746" s="44"/>
    </row>
    <row r="747" ht="12.75" customHeight="1">
      <c r="A747" s="44"/>
      <c r="B747" s="44"/>
    </row>
    <row r="748" ht="12.75" customHeight="1">
      <c r="A748" s="44"/>
      <c r="B748" s="44"/>
    </row>
    <row r="749" ht="12.75" customHeight="1">
      <c r="A749" s="44"/>
      <c r="B749" s="44"/>
    </row>
    <row r="750" ht="12.75" customHeight="1">
      <c r="A750" s="44"/>
      <c r="B750" s="44"/>
    </row>
    <row r="751" ht="12.75" customHeight="1">
      <c r="A751" s="44"/>
      <c r="B751" s="44"/>
    </row>
    <row r="752" ht="12.75" customHeight="1">
      <c r="A752" s="44"/>
      <c r="B752" s="44"/>
    </row>
    <row r="753" ht="12.75" customHeight="1">
      <c r="A753" s="44"/>
      <c r="B753" s="44"/>
    </row>
    <row r="754" ht="12.75" customHeight="1">
      <c r="A754" s="44"/>
      <c r="B754" s="44"/>
    </row>
    <row r="755" ht="12.75" customHeight="1">
      <c r="A755" s="44"/>
      <c r="B755" s="44"/>
    </row>
    <row r="756" ht="12.75" customHeight="1">
      <c r="A756" s="44"/>
      <c r="B756" s="44"/>
    </row>
    <row r="757" ht="12.75" customHeight="1">
      <c r="A757" s="44"/>
      <c r="B757" s="44"/>
    </row>
    <row r="758" ht="12.75" customHeight="1">
      <c r="A758" s="44"/>
      <c r="B758" s="44"/>
    </row>
    <row r="759" ht="12.75" customHeight="1">
      <c r="A759" s="44"/>
      <c r="B759" s="44"/>
    </row>
    <row r="760" ht="12.75" customHeight="1">
      <c r="A760" s="44"/>
      <c r="B760" s="44"/>
    </row>
    <row r="761" ht="12.75" customHeight="1">
      <c r="A761" s="44"/>
      <c r="B761" s="44"/>
    </row>
    <row r="762" ht="12.75" customHeight="1">
      <c r="A762" s="44"/>
      <c r="B762" s="44"/>
    </row>
    <row r="763" ht="12.75" customHeight="1">
      <c r="A763" s="44"/>
      <c r="B763" s="44"/>
    </row>
    <row r="764" ht="12.75" customHeight="1">
      <c r="A764" s="44"/>
      <c r="B764" s="44"/>
    </row>
    <row r="765" ht="12.75" customHeight="1">
      <c r="A765" s="44"/>
      <c r="B765" s="44"/>
    </row>
    <row r="766" ht="12.75" customHeight="1">
      <c r="A766" s="44"/>
      <c r="B766" s="44"/>
    </row>
    <row r="767" ht="12.75" customHeight="1">
      <c r="A767" s="44"/>
      <c r="B767" s="44"/>
    </row>
    <row r="768" ht="12.75" customHeight="1">
      <c r="A768" s="44"/>
      <c r="B768" s="44"/>
    </row>
    <row r="769" ht="12.75" customHeight="1">
      <c r="A769" s="44"/>
      <c r="B769" s="44"/>
    </row>
    <row r="770" ht="12.75" customHeight="1">
      <c r="A770" s="44"/>
      <c r="B770" s="44"/>
    </row>
    <row r="771" ht="12.75" customHeight="1">
      <c r="A771" s="44"/>
      <c r="B771" s="44"/>
    </row>
    <row r="772" ht="12.75" customHeight="1">
      <c r="A772" s="44"/>
      <c r="B772" s="44"/>
    </row>
    <row r="773" ht="12.75" customHeight="1">
      <c r="A773" s="44"/>
      <c r="B773" s="44"/>
    </row>
    <row r="774" ht="12.75" customHeight="1">
      <c r="A774" s="44"/>
      <c r="B774" s="44"/>
    </row>
    <row r="775" ht="12.75" customHeight="1">
      <c r="A775" s="44"/>
      <c r="B775" s="44"/>
    </row>
    <row r="776" ht="12.75" customHeight="1">
      <c r="A776" s="44"/>
      <c r="B776" s="44"/>
    </row>
    <row r="777" ht="12.75" customHeight="1">
      <c r="A777" s="44"/>
      <c r="B777" s="44"/>
    </row>
    <row r="778" ht="12.75" customHeight="1">
      <c r="A778" s="44"/>
      <c r="B778" s="44"/>
    </row>
    <row r="779" ht="12.75" customHeight="1">
      <c r="A779" s="44"/>
      <c r="B779" s="44"/>
    </row>
    <row r="780" ht="12.75" customHeight="1">
      <c r="A780" s="44"/>
      <c r="B780" s="44"/>
    </row>
    <row r="781" ht="12.75" customHeight="1">
      <c r="A781" s="44"/>
      <c r="B781" s="44"/>
    </row>
    <row r="782" ht="12.75" customHeight="1">
      <c r="A782" s="44"/>
      <c r="B782" s="44"/>
    </row>
    <row r="783" ht="12.75" customHeight="1">
      <c r="A783" s="44"/>
      <c r="B783" s="44"/>
    </row>
    <row r="784" ht="12.75" customHeight="1">
      <c r="A784" s="44"/>
      <c r="B784" s="44"/>
    </row>
    <row r="785" ht="12.75" customHeight="1">
      <c r="A785" s="44"/>
      <c r="B785" s="44"/>
    </row>
    <row r="786" ht="12.75" customHeight="1">
      <c r="A786" s="44"/>
      <c r="B786" s="44"/>
    </row>
    <row r="787" ht="12.75" customHeight="1">
      <c r="A787" s="44"/>
      <c r="B787" s="44"/>
    </row>
    <row r="788" ht="12.75" customHeight="1">
      <c r="A788" s="44"/>
      <c r="B788" s="44"/>
    </row>
    <row r="789" ht="12.75" customHeight="1">
      <c r="A789" s="44"/>
      <c r="B789" s="44"/>
    </row>
    <row r="790" ht="12.75" customHeight="1">
      <c r="A790" s="44"/>
      <c r="B790" s="44"/>
    </row>
    <row r="791" ht="12.75" customHeight="1">
      <c r="A791" s="44"/>
      <c r="B791" s="44"/>
    </row>
    <row r="792" ht="12.75" customHeight="1">
      <c r="A792" s="44"/>
      <c r="B792" s="44"/>
    </row>
    <row r="793" ht="12.75" customHeight="1">
      <c r="A793" s="44"/>
      <c r="B793" s="44"/>
    </row>
    <row r="794" ht="12.75" customHeight="1">
      <c r="A794" s="44"/>
      <c r="B794" s="44"/>
    </row>
    <row r="795" ht="12.75" customHeight="1">
      <c r="A795" s="44"/>
      <c r="B795" s="44"/>
    </row>
    <row r="796" ht="12.75" customHeight="1">
      <c r="A796" s="44"/>
      <c r="B796" s="44"/>
    </row>
    <row r="797" ht="12.75" customHeight="1">
      <c r="A797" s="44"/>
      <c r="B797" s="44"/>
    </row>
    <row r="798" ht="12.75" customHeight="1">
      <c r="A798" s="44"/>
      <c r="B798" s="44"/>
    </row>
    <row r="799" ht="12.75" customHeight="1">
      <c r="A799" s="44"/>
      <c r="B799" s="44"/>
    </row>
    <row r="800" ht="12.75" customHeight="1">
      <c r="A800" s="44"/>
      <c r="B800" s="44"/>
    </row>
    <row r="801" ht="12.75" customHeight="1">
      <c r="A801" s="44"/>
      <c r="B801" s="44"/>
    </row>
    <row r="802" ht="12.75" customHeight="1">
      <c r="A802" s="44"/>
      <c r="B802" s="44"/>
    </row>
    <row r="803" ht="12.75" customHeight="1">
      <c r="A803" s="44"/>
      <c r="B803" s="44"/>
    </row>
    <row r="804" ht="12.75" customHeight="1">
      <c r="A804" s="44"/>
      <c r="B804" s="44"/>
    </row>
    <row r="805" ht="12.75" customHeight="1">
      <c r="A805" s="44"/>
      <c r="B805" s="44"/>
    </row>
    <row r="806" ht="12.75" customHeight="1">
      <c r="A806" s="44"/>
      <c r="B806" s="44"/>
    </row>
    <row r="807" ht="12.75" customHeight="1">
      <c r="A807" s="44"/>
      <c r="B807" s="44"/>
    </row>
    <row r="808" ht="12.75" customHeight="1">
      <c r="A808" s="44"/>
      <c r="B808" s="44"/>
    </row>
    <row r="809" ht="12.75" customHeight="1">
      <c r="A809" s="44"/>
      <c r="B809" s="44"/>
    </row>
    <row r="810" ht="12.75" customHeight="1">
      <c r="A810" s="44"/>
      <c r="B810" s="44"/>
    </row>
    <row r="811" ht="12.75" customHeight="1">
      <c r="A811" s="44"/>
      <c r="B811" s="44"/>
    </row>
    <row r="812" ht="12.75" customHeight="1">
      <c r="A812" s="44"/>
      <c r="B812" s="44"/>
    </row>
    <row r="813" ht="12.75" customHeight="1">
      <c r="A813" s="44"/>
      <c r="B813" s="44"/>
    </row>
    <row r="814" ht="12.75" customHeight="1">
      <c r="A814" s="44"/>
      <c r="B814" s="44"/>
    </row>
    <row r="815" ht="12.75" customHeight="1">
      <c r="A815" s="44"/>
      <c r="B815" s="44"/>
    </row>
    <row r="816" ht="12.75" customHeight="1">
      <c r="A816" s="44"/>
      <c r="B816" s="44"/>
    </row>
    <row r="817" ht="12.75" customHeight="1">
      <c r="A817" s="44"/>
      <c r="B817" s="44"/>
    </row>
    <row r="818" ht="12.75" customHeight="1">
      <c r="A818" s="44"/>
      <c r="B818" s="44"/>
    </row>
    <row r="819" ht="12.75" customHeight="1">
      <c r="A819" s="44"/>
      <c r="B819" s="44"/>
    </row>
    <row r="820" ht="12.75" customHeight="1">
      <c r="A820" s="44"/>
      <c r="B820" s="44"/>
    </row>
    <row r="821" ht="12.75" customHeight="1">
      <c r="A821" s="44"/>
      <c r="B821" s="44"/>
    </row>
    <row r="822" ht="12.75" customHeight="1">
      <c r="A822" s="44"/>
      <c r="B822" s="44"/>
    </row>
    <row r="823" ht="12.75" customHeight="1">
      <c r="A823" s="44"/>
      <c r="B823" s="44"/>
    </row>
    <row r="824" ht="12.75" customHeight="1">
      <c r="A824" s="44"/>
      <c r="B824" s="44"/>
    </row>
    <row r="825" ht="12.75" customHeight="1">
      <c r="A825" s="44"/>
      <c r="B825" s="44"/>
    </row>
    <row r="826" ht="12.75" customHeight="1">
      <c r="A826" s="44"/>
      <c r="B826" s="44"/>
    </row>
    <row r="827" ht="12.75" customHeight="1">
      <c r="A827" s="44"/>
      <c r="B827" s="44"/>
    </row>
    <row r="828" ht="12.75" customHeight="1">
      <c r="A828" s="44"/>
      <c r="B828" s="44"/>
    </row>
    <row r="829" ht="12.75" customHeight="1">
      <c r="A829" s="44"/>
      <c r="B829" s="44"/>
    </row>
    <row r="830" ht="12.75" customHeight="1">
      <c r="A830" s="44"/>
      <c r="B830" s="44"/>
    </row>
    <row r="831" ht="12.75" customHeight="1">
      <c r="A831" s="44"/>
      <c r="B831" s="44"/>
    </row>
    <row r="832" ht="12.75" customHeight="1">
      <c r="A832" s="44"/>
      <c r="B832" s="44"/>
    </row>
    <row r="833" ht="12.75" customHeight="1">
      <c r="A833" s="44"/>
      <c r="B833" s="44"/>
    </row>
    <row r="834" ht="12.75" customHeight="1">
      <c r="A834" s="44"/>
      <c r="B834" s="44"/>
    </row>
    <row r="835" ht="12.75" customHeight="1">
      <c r="A835" s="44"/>
      <c r="B835" s="44"/>
    </row>
    <row r="836" ht="12.75" customHeight="1">
      <c r="A836" s="44"/>
      <c r="B836" s="44"/>
    </row>
    <row r="837" ht="12.75" customHeight="1">
      <c r="A837" s="44"/>
      <c r="B837" s="44"/>
    </row>
    <row r="838" ht="12.75" customHeight="1">
      <c r="A838" s="44"/>
      <c r="B838" s="44"/>
    </row>
    <row r="839" ht="12.75" customHeight="1">
      <c r="A839" s="44"/>
      <c r="B839" s="44"/>
    </row>
    <row r="840" ht="12.75" customHeight="1">
      <c r="A840" s="44"/>
      <c r="B840" s="44"/>
    </row>
    <row r="841" ht="12.75" customHeight="1">
      <c r="A841" s="44"/>
      <c r="B841" s="44"/>
    </row>
    <row r="842" ht="12.75" customHeight="1">
      <c r="A842" s="44"/>
      <c r="B842" s="44"/>
    </row>
    <row r="843" ht="12.75" customHeight="1">
      <c r="A843" s="44"/>
      <c r="B843" s="44"/>
    </row>
    <row r="844" ht="12.75" customHeight="1">
      <c r="A844" s="44"/>
      <c r="B844" s="44"/>
    </row>
    <row r="845" ht="12.75" customHeight="1">
      <c r="A845" s="44"/>
      <c r="B845" s="44"/>
    </row>
    <row r="846" ht="12.75" customHeight="1">
      <c r="A846" s="44"/>
      <c r="B846" s="44"/>
    </row>
    <row r="847" ht="12.75" customHeight="1">
      <c r="A847" s="44"/>
      <c r="B847" s="44"/>
    </row>
    <row r="848" ht="12.75" customHeight="1">
      <c r="A848" s="44"/>
      <c r="B848" s="44"/>
    </row>
    <row r="849" ht="12.75" customHeight="1">
      <c r="A849" s="44"/>
      <c r="B849" s="44"/>
    </row>
    <row r="850" ht="12.75" customHeight="1">
      <c r="A850" s="44"/>
      <c r="B850" s="44"/>
    </row>
    <row r="851" ht="12.75" customHeight="1">
      <c r="A851" s="44"/>
      <c r="B851" s="44"/>
    </row>
    <row r="852" ht="12.75" customHeight="1">
      <c r="A852" s="44"/>
      <c r="B852" s="44"/>
    </row>
    <row r="853" ht="12.75" customHeight="1">
      <c r="A853" s="44"/>
      <c r="B853" s="44"/>
    </row>
    <row r="854" ht="12.75" customHeight="1">
      <c r="A854" s="44"/>
      <c r="B854" s="44"/>
    </row>
    <row r="855" ht="12.75" customHeight="1">
      <c r="A855" s="44"/>
      <c r="B855" s="44"/>
    </row>
    <row r="856" ht="12.75" customHeight="1">
      <c r="A856" s="44"/>
      <c r="B856" s="44"/>
    </row>
    <row r="857" ht="12.75" customHeight="1">
      <c r="A857" s="44"/>
      <c r="B857" s="44"/>
    </row>
    <row r="858" ht="12.75" customHeight="1">
      <c r="A858" s="44"/>
      <c r="B858" s="44"/>
    </row>
    <row r="859" ht="12.75" customHeight="1">
      <c r="A859" s="44"/>
      <c r="B859" s="44"/>
    </row>
    <row r="860" ht="12.75" customHeight="1">
      <c r="A860" s="44"/>
      <c r="B860" s="44"/>
    </row>
    <row r="861" ht="12.75" customHeight="1">
      <c r="A861" s="44"/>
      <c r="B861" s="44"/>
    </row>
    <row r="862" ht="12.75" customHeight="1">
      <c r="A862" s="44"/>
      <c r="B862" s="44"/>
    </row>
    <row r="863" ht="12.75" customHeight="1">
      <c r="A863" s="44"/>
      <c r="B863" s="44"/>
    </row>
    <row r="864" ht="12.75" customHeight="1">
      <c r="A864" s="44"/>
      <c r="B864" s="44"/>
    </row>
    <row r="865" ht="12.75" customHeight="1">
      <c r="A865" s="44"/>
      <c r="B865" s="44"/>
    </row>
    <row r="866" ht="12.75" customHeight="1">
      <c r="A866" s="44"/>
      <c r="B866" s="44"/>
    </row>
    <row r="867" ht="12.75" customHeight="1">
      <c r="A867" s="44"/>
      <c r="B867" s="44"/>
    </row>
    <row r="868" ht="12.75" customHeight="1">
      <c r="A868" s="44"/>
      <c r="B868" s="44"/>
    </row>
    <row r="869" ht="12.75" customHeight="1">
      <c r="A869" s="44"/>
      <c r="B869" s="44"/>
    </row>
    <row r="870" ht="12.75" customHeight="1">
      <c r="A870" s="44"/>
      <c r="B870" s="44"/>
    </row>
    <row r="871" ht="12.75" customHeight="1">
      <c r="A871" s="44"/>
      <c r="B871" s="44"/>
    </row>
    <row r="872" ht="12.75" customHeight="1">
      <c r="A872" s="44"/>
      <c r="B872" s="44"/>
    </row>
    <row r="873" ht="12.75" customHeight="1">
      <c r="A873" s="44"/>
      <c r="B873" s="44"/>
    </row>
    <row r="874" ht="12.75" customHeight="1">
      <c r="A874" s="44"/>
      <c r="B874" s="44"/>
    </row>
    <row r="875" ht="12.75" customHeight="1">
      <c r="A875" s="44"/>
      <c r="B875" s="44"/>
    </row>
    <row r="876" ht="12.75" customHeight="1">
      <c r="A876" s="44"/>
      <c r="B876" s="44"/>
    </row>
    <row r="877" ht="12.75" customHeight="1">
      <c r="A877" s="44"/>
      <c r="B877" s="44"/>
    </row>
    <row r="878" ht="12.75" customHeight="1">
      <c r="A878" s="44"/>
      <c r="B878" s="44"/>
    </row>
    <row r="879" ht="12.75" customHeight="1">
      <c r="A879" s="44"/>
      <c r="B879" s="44"/>
    </row>
    <row r="880" ht="12.75" customHeight="1">
      <c r="A880" s="44"/>
      <c r="B880" s="44"/>
    </row>
    <row r="881" ht="12.75" customHeight="1">
      <c r="A881" s="44"/>
      <c r="B881" s="44"/>
    </row>
    <row r="882" ht="12.75" customHeight="1">
      <c r="A882" s="44"/>
      <c r="B882" s="44"/>
    </row>
    <row r="883" ht="12.75" customHeight="1">
      <c r="A883" s="44"/>
      <c r="B883" s="44"/>
    </row>
    <row r="884" ht="12.75" customHeight="1">
      <c r="A884" s="44"/>
      <c r="B884" s="44"/>
    </row>
    <row r="885" ht="12.75" customHeight="1">
      <c r="A885" s="44"/>
      <c r="B885" s="44"/>
    </row>
    <row r="886" ht="12.75" customHeight="1">
      <c r="A886" s="44"/>
      <c r="B886" s="44"/>
    </row>
    <row r="887" ht="12.75" customHeight="1">
      <c r="A887" s="44"/>
      <c r="B887" s="44"/>
    </row>
    <row r="888" ht="12.75" customHeight="1">
      <c r="A888" s="44"/>
      <c r="B888" s="44"/>
    </row>
    <row r="889" ht="12.75" customHeight="1">
      <c r="A889" s="44"/>
      <c r="B889" s="44"/>
    </row>
    <row r="890" ht="12.75" customHeight="1">
      <c r="A890" s="44"/>
      <c r="B890" s="44"/>
    </row>
    <row r="891" ht="12.75" customHeight="1">
      <c r="A891" s="44"/>
      <c r="B891" s="44"/>
    </row>
    <row r="892" ht="12.75" customHeight="1">
      <c r="A892" s="44"/>
      <c r="B892" s="44"/>
    </row>
    <row r="893" ht="12.75" customHeight="1">
      <c r="A893" s="44"/>
      <c r="B893" s="44"/>
    </row>
    <row r="894" ht="12.75" customHeight="1">
      <c r="A894" s="44"/>
      <c r="B894" s="44"/>
    </row>
    <row r="895" ht="12.75" customHeight="1">
      <c r="A895" s="44"/>
      <c r="B895" s="44"/>
    </row>
    <row r="896" ht="12.75" customHeight="1">
      <c r="A896" s="44"/>
      <c r="B896" s="44"/>
    </row>
    <row r="897" ht="12.75" customHeight="1">
      <c r="A897" s="44"/>
      <c r="B897" s="44"/>
    </row>
    <row r="898" ht="12.75" customHeight="1">
      <c r="A898" s="44"/>
      <c r="B898" s="44"/>
    </row>
    <row r="899" ht="12.75" customHeight="1">
      <c r="A899" s="44"/>
      <c r="B899" s="44"/>
    </row>
    <row r="900" ht="12.75" customHeight="1">
      <c r="A900" s="44"/>
      <c r="B900" s="44"/>
    </row>
    <row r="901" ht="12.75" customHeight="1">
      <c r="A901" s="44"/>
      <c r="B901" s="44"/>
    </row>
    <row r="902" ht="12.75" customHeight="1">
      <c r="A902" s="44"/>
      <c r="B902" s="44"/>
    </row>
    <row r="903" ht="12.75" customHeight="1">
      <c r="A903" s="44"/>
      <c r="B903" s="44"/>
    </row>
    <row r="904" ht="12.75" customHeight="1">
      <c r="A904" s="44"/>
      <c r="B904" s="44"/>
    </row>
    <row r="905" ht="12.75" customHeight="1">
      <c r="A905" s="44"/>
      <c r="B905" s="44"/>
    </row>
    <row r="906" ht="12.75" customHeight="1">
      <c r="A906" s="44"/>
      <c r="B906" s="44"/>
    </row>
    <row r="907" ht="12.75" customHeight="1">
      <c r="A907" s="44"/>
      <c r="B907" s="44"/>
    </row>
    <row r="908" ht="12.75" customHeight="1">
      <c r="A908" s="44"/>
      <c r="B908" s="44"/>
    </row>
    <row r="909" ht="12.75" customHeight="1">
      <c r="A909" s="44"/>
      <c r="B909" s="44"/>
    </row>
    <row r="910" ht="12.75" customHeight="1">
      <c r="A910" s="44"/>
      <c r="B910" s="44"/>
    </row>
    <row r="911" ht="12.75" customHeight="1">
      <c r="A911" s="44"/>
      <c r="B911" s="44"/>
    </row>
    <row r="912" ht="12.75" customHeight="1">
      <c r="A912" s="44"/>
      <c r="B912" s="44"/>
    </row>
    <row r="913" ht="12.75" customHeight="1">
      <c r="A913" s="44"/>
      <c r="B913" s="44"/>
    </row>
    <row r="914" ht="12.75" customHeight="1">
      <c r="A914" s="44"/>
      <c r="B914" s="44"/>
    </row>
    <row r="915" ht="12.75" customHeight="1">
      <c r="A915" s="44"/>
      <c r="B915" s="44"/>
    </row>
    <row r="916" ht="12.75" customHeight="1">
      <c r="A916" s="44"/>
      <c r="B916" s="44"/>
    </row>
    <row r="917" ht="12.75" customHeight="1">
      <c r="A917" s="44"/>
      <c r="B917" s="44"/>
    </row>
    <row r="918" ht="12.75" customHeight="1">
      <c r="A918" s="44"/>
      <c r="B918" s="44"/>
    </row>
    <row r="919" ht="12.75" customHeight="1">
      <c r="A919" s="44"/>
      <c r="B919" s="44"/>
    </row>
    <row r="920" ht="12.75" customHeight="1">
      <c r="A920" s="44"/>
      <c r="B920" s="44"/>
    </row>
    <row r="921" ht="12.75" customHeight="1">
      <c r="A921" s="44"/>
      <c r="B921" s="44"/>
    </row>
    <row r="922" ht="12.75" customHeight="1">
      <c r="A922" s="44"/>
      <c r="B922" s="44"/>
    </row>
    <row r="923" ht="12.75" customHeight="1">
      <c r="A923" s="44"/>
      <c r="B923" s="44"/>
    </row>
    <row r="924" ht="12.75" customHeight="1">
      <c r="A924" s="44"/>
      <c r="B924" s="44"/>
    </row>
    <row r="925" ht="12.75" customHeight="1">
      <c r="A925" s="44"/>
      <c r="B925" s="44"/>
    </row>
    <row r="926" ht="12.75" customHeight="1">
      <c r="A926" s="44"/>
      <c r="B926" s="44"/>
    </row>
    <row r="927" ht="12.75" customHeight="1">
      <c r="A927" s="44"/>
      <c r="B927" s="44"/>
    </row>
    <row r="928" ht="12.75" customHeight="1">
      <c r="A928" s="44"/>
      <c r="B928" s="44"/>
    </row>
    <row r="929" ht="12.75" customHeight="1">
      <c r="A929" s="44"/>
      <c r="B929" s="44"/>
    </row>
    <row r="930" ht="12.75" customHeight="1">
      <c r="A930" s="44"/>
      <c r="B930" s="44"/>
    </row>
    <row r="931" ht="12.75" customHeight="1">
      <c r="A931" s="44"/>
      <c r="B931" s="44"/>
    </row>
    <row r="932" ht="12.75" customHeight="1">
      <c r="A932" s="44"/>
      <c r="B932" s="44"/>
    </row>
    <row r="933" ht="12.75" customHeight="1">
      <c r="A933" s="44"/>
      <c r="B933" s="44"/>
    </row>
    <row r="934" ht="12.75" customHeight="1">
      <c r="A934" s="44"/>
      <c r="B934" s="44"/>
    </row>
    <row r="935" ht="12.75" customHeight="1">
      <c r="A935" s="44"/>
      <c r="B935" s="44"/>
    </row>
    <row r="936" ht="12.75" customHeight="1">
      <c r="A936" s="44"/>
      <c r="B936" s="44"/>
    </row>
    <row r="937" ht="12.75" customHeight="1">
      <c r="A937" s="44"/>
      <c r="B937" s="44"/>
    </row>
    <row r="938" ht="12.75" customHeight="1">
      <c r="A938" s="44"/>
      <c r="B938" s="44"/>
    </row>
    <row r="939" ht="12.75" customHeight="1">
      <c r="A939" s="44"/>
      <c r="B939" s="44"/>
    </row>
    <row r="940" ht="12.75" customHeight="1">
      <c r="A940" s="44"/>
      <c r="B940" s="44"/>
    </row>
    <row r="941" ht="12.75" customHeight="1">
      <c r="A941" s="44"/>
      <c r="B941" s="44"/>
    </row>
    <row r="942" ht="12.75" customHeight="1">
      <c r="A942" s="44"/>
      <c r="B942" s="44"/>
    </row>
    <row r="943" ht="12.75" customHeight="1">
      <c r="A943" s="44"/>
      <c r="B943" s="44"/>
    </row>
    <row r="944" ht="12.75" customHeight="1">
      <c r="A944" s="44"/>
      <c r="B944" s="44"/>
    </row>
    <row r="945" ht="12.75" customHeight="1">
      <c r="A945" s="44"/>
      <c r="B945" s="44"/>
    </row>
    <row r="946" ht="12.75" customHeight="1">
      <c r="A946" s="44"/>
      <c r="B946" s="44"/>
    </row>
    <row r="947" ht="12.75" customHeight="1">
      <c r="A947" s="44"/>
      <c r="B947" s="44"/>
    </row>
    <row r="948" ht="12.75" customHeight="1">
      <c r="A948" s="44"/>
      <c r="B948" s="44"/>
    </row>
    <row r="949" ht="12.75" customHeight="1">
      <c r="A949" s="44"/>
      <c r="B949" s="44"/>
    </row>
    <row r="950" ht="12.75" customHeight="1">
      <c r="A950" s="44"/>
      <c r="B950" s="44"/>
    </row>
    <row r="951" ht="12.75" customHeight="1">
      <c r="A951" s="44"/>
      <c r="B951" s="44"/>
    </row>
    <row r="952" ht="12.75" customHeight="1">
      <c r="A952" s="44"/>
      <c r="B952" s="44"/>
    </row>
    <row r="953" ht="12.75" customHeight="1">
      <c r="A953" s="44"/>
      <c r="B953" s="44"/>
    </row>
    <row r="954" ht="12.75" customHeight="1">
      <c r="A954" s="44"/>
      <c r="B954" s="44"/>
    </row>
    <row r="955" ht="12.75" customHeight="1">
      <c r="A955" s="44"/>
      <c r="B955" s="44"/>
    </row>
    <row r="956" ht="12.75" customHeight="1">
      <c r="A956" s="44"/>
      <c r="B956" s="44"/>
    </row>
    <row r="957" ht="12.75" customHeight="1">
      <c r="A957" s="44"/>
      <c r="B957" s="44"/>
    </row>
    <row r="958" ht="12.75" customHeight="1">
      <c r="A958" s="44"/>
      <c r="B958" s="44"/>
    </row>
    <row r="959" ht="12.75" customHeight="1">
      <c r="A959" s="44"/>
      <c r="B959" s="44"/>
    </row>
    <row r="960" ht="12.75" customHeight="1">
      <c r="A960" s="44"/>
      <c r="B960" s="44"/>
    </row>
    <row r="961" ht="12.75" customHeight="1">
      <c r="A961" s="44"/>
      <c r="B961" s="44"/>
    </row>
    <row r="962" ht="12.75" customHeight="1">
      <c r="A962" s="44"/>
      <c r="B962" s="44"/>
    </row>
    <row r="963" ht="12.75" customHeight="1">
      <c r="A963" s="44"/>
      <c r="B963" s="44"/>
    </row>
    <row r="964" ht="12.75" customHeight="1">
      <c r="A964" s="44"/>
      <c r="B964" s="44"/>
    </row>
    <row r="965" ht="12.75" customHeight="1">
      <c r="A965" s="44"/>
      <c r="B965" s="44"/>
    </row>
    <row r="966" ht="12.75" customHeight="1">
      <c r="A966" s="44"/>
      <c r="B966" s="44"/>
    </row>
    <row r="967" ht="12.75" customHeight="1">
      <c r="A967" s="44"/>
      <c r="B967" s="44"/>
    </row>
    <row r="968" ht="12.75" customHeight="1">
      <c r="A968" s="44"/>
      <c r="B968" s="44"/>
    </row>
    <row r="969" ht="12.75" customHeight="1">
      <c r="A969" s="44"/>
      <c r="B969" s="44"/>
    </row>
    <row r="970" ht="12.75" customHeight="1">
      <c r="A970" s="44"/>
      <c r="B970" s="44"/>
    </row>
    <row r="971" ht="12.75" customHeight="1">
      <c r="A971" s="44"/>
      <c r="B971" s="44"/>
    </row>
    <row r="972" ht="12.75" customHeight="1">
      <c r="A972" s="44"/>
      <c r="B972" s="44"/>
    </row>
    <row r="973" ht="12.75" customHeight="1">
      <c r="A973" s="44"/>
      <c r="B973" s="44"/>
    </row>
    <row r="974" ht="12.75" customHeight="1">
      <c r="A974" s="44"/>
      <c r="B974" s="44"/>
    </row>
    <row r="975" ht="12.75" customHeight="1">
      <c r="A975" s="44"/>
      <c r="B975" s="44"/>
    </row>
    <row r="976" ht="12.75" customHeight="1">
      <c r="A976" s="44"/>
      <c r="B976" s="44"/>
    </row>
    <row r="977" ht="12.75" customHeight="1">
      <c r="A977" s="44"/>
      <c r="B977" s="44"/>
    </row>
    <row r="978" ht="12.75" customHeight="1">
      <c r="A978" s="44"/>
      <c r="B978" s="44"/>
    </row>
    <row r="979" ht="12.75" customHeight="1">
      <c r="A979" s="44"/>
      <c r="B979" s="44"/>
    </row>
    <row r="980" ht="12.75" customHeight="1">
      <c r="A980" s="44"/>
      <c r="B980" s="44"/>
    </row>
    <row r="981" ht="12.75" customHeight="1">
      <c r="A981" s="44"/>
      <c r="B981" s="44"/>
    </row>
    <row r="982" ht="12.75" customHeight="1">
      <c r="A982" s="44"/>
      <c r="B982" s="44"/>
    </row>
    <row r="983" ht="12.75" customHeight="1">
      <c r="A983" s="44"/>
      <c r="B983" s="44"/>
    </row>
    <row r="984" ht="12.75" customHeight="1">
      <c r="A984" s="44"/>
      <c r="B984" s="44"/>
    </row>
    <row r="985" ht="12.75" customHeight="1">
      <c r="A985" s="44"/>
      <c r="B985" s="44"/>
    </row>
    <row r="986" ht="12.75" customHeight="1">
      <c r="A986" s="44"/>
      <c r="B986" s="44"/>
    </row>
    <row r="987" ht="12.75" customHeight="1">
      <c r="A987" s="44"/>
      <c r="B987" s="44"/>
    </row>
    <row r="988" ht="12.75" customHeight="1">
      <c r="A988" s="44"/>
      <c r="B988" s="44"/>
    </row>
    <row r="989" ht="12.75" customHeight="1">
      <c r="A989" s="44"/>
      <c r="B989" s="44"/>
    </row>
    <row r="990" ht="12.75" customHeight="1">
      <c r="A990" s="44"/>
      <c r="B990" s="44"/>
    </row>
    <row r="991" ht="12.75" customHeight="1">
      <c r="A991" s="44"/>
      <c r="B991" s="44"/>
    </row>
    <row r="992" ht="12.75" customHeight="1">
      <c r="A992" s="44"/>
      <c r="B992" s="44"/>
    </row>
    <row r="993" ht="12.75" customHeight="1">
      <c r="A993" s="44"/>
      <c r="B993" s="44"/>
    </row>
    <row r="994" ht="12.75" customHeight="1">
      <c r="A994" s="44"/>
      <c r="B994" s="44"/>
    </row>
    <row r="995" ht="12.75" customHeight="1">
      <c r="A995" s="44"/>
      <c r="B995" s="44"/>
    </row>
    <row r="996" ht="12.75" customHeight="1">
      <c r="A996" s="44"/>
      <c r="B996" s="44"/>
    </row>
    <row r="997" ht="12.75" customHeight="1">
      <c r="A997" s="44"/>
      <c r="B997" s="44"/>
    </row>
    <row r="998" ht="12.75" customHeight="1">
      <c r="A998" s="44"/>
      <c r="B998" s="44"/>
    </row>
    <row r="999" ht="12.75" customHeight="1">
      <c r="A999" s="44"/>
      <c r="B999" s="44"/>
    </row>
    <row r="1000" ht="12.75" customHeight="1">
      <c r="A1000" s="44"/>
      <c r="B1000" s="44"/>
    </row>
  </sheetData>
  <mergeCells count="1">
    <mergeCell ref="E1:Q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2014-03-10T14:05:11Z</dcterms:created>
  <dc:creator>aija</dc:creator>
</cp:coreProperties>
</file>